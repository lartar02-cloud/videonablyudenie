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332DFFC3-47BB-40D0-BADC-27B6DCE8D7B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базу'!$A$1:$L$259</definedName>
    <definedName name="ExternalData_1" localSheetId="9" hidden="1">'10 Въезд ангар'!$A$1:$L$633</definedName>
    <definedName name="ExternalData_1" localSheetId="10" hidden="1">'11 Навес пилмат'!$A$1:$L$310</definedName>
    <definedName name="ExternalData_1" localSheetId="11" hidden="1">'12 Площадка 3 кран'!$A$1:$L$245</definedName>
    <definedName name="ExternalData_1" localSheetId="12" hidden="1">'13 Склад хол'!$A$1:$L$207</definedName>
    <definedName name="ExternalData_1" localSheetId="13" hidden="1">'14 На гаражи'!$A$1:$L$36</definedName>
    <definedName name="ExternalData_1" localSheetId="14" hidden="1">'15 Вход столярка'!$A$1:$L$5</definedName>
    <definedName name="ExternalData_1" localSheetId="15" hidden="1">'16 Столярка'!$A$1:$L$6</definedName>
    <definedName name="ExternalData_1" localSheetId="16" hidden="1">'17 Площадка с навесом'!$A$1:$L$8</definedName>
    <definedName name="ExternalData_1" localSheetId="18" hidden="1">'19 Хронометраж'!$A$1:$L$39</definedName>
    <definedName name="ExternalData_1" localSheetId="1" hidden="1">'2 Поката пилорама'!$A$1:$L$281</definedName>
    <definedName name="ExternalData_1" localSheetId="2" hidden="1">'3 Парковка офиса'!$A$1:$L$163</definedName>
    <definedName name="ExternalData_1" localSheetId="3" hidden="1">'4 Крыльцо офиса'!$A$1:$L$261</definedName>
    <definedName name="ExternalData_1" localSheetId="4" hidden="1">'5 Крыльцо общага'!$A$1:$L$358</definedName>
    <definedName name="ExternalData_1" localSheetId="5" hidden="1">'6 Площадка 1 общага'!$A$1:$L$204</definedName>
    <definedName name="ExternalData_1" localSheetId="6" hidden="1">'7 Площадка 2 бетонщики'!$A$1:$L$323</definedName>
    <definedName name="ExternalData_1" localSheetId="7" hidden="1">'8 Ангар вход'!$A$1:$L$299</definedName>
    <definedName name="ExternalData_1" localSheetId="8" hidden="1">'9 Ангар рейсмус'!$A$1:$L$612</definedName>
    <definedName name="ExternalData_1" localSheetId="19" hidden="1">Загрузка!$A$1:$L$258</definedName>
    <definedName name="ExternalData_1" localSheetId="20" hidden="1">'Стороний транспорт'!$A$1:$L$165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2" i="44"/>
  <c r="M3" i="44"/>
  <c r="M4" i="44"/>
  <c r="M5" i="44"/>
  <c r="M6" i="44"/>
  <c r="M7" i="44"/>
  <c r="M8" i="44"/>
  <c r="M2" i="43"/>
  <c r="M3" i="43"/>
  <c r="M4" i="43"/>
  <c r="M5" i="43"/>
  <c r="M6" i="43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2" i="42"/>
  <c r="M3" i="42"/>
  <c r="M4" i="42"/>
  <c r="M5" i="42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<sst xmlns="http://schemas.openxmlformats.org/spreadsheetml/2006/main" count="55363" uniqueCount="13492">
  <si>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</si>
  <si>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</si>
  <si>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</si>
  <si>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</si>
  <si>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</si>
  <si>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</si>
  <si>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</si>
  <si>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</si>
  <si>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</si>
  <si>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</si>
  <si>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</si>
  <si>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</si>
  <si>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</si>
  <si>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</si>
  <si>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</si>
  <si>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</si>
  <si>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</si>
  <si>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</si>
  <si>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</si>
  <si>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</si>
  <si>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</si>
  <si>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</si>
  <si>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</si>
  <si>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</si>
  <si>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</si>
  <si>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</si>
  <si>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</si>
  <si>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</si>
  <si>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</si>
  <si>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</si>
  <si>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</si>
  <si>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</si>
  <si>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</si>
  <si>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</si>
  <si>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</si>
  <si>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</si>
  <si>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</si>
  <si>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</si>
  <si>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</si>
  <si>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</si>
  <si>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</si>
  <si>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</si>
  <si>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</si>
  <si>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</si>
  <si>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</si>
  <si>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</si>
  <si>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</si>
  <si>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</si>
  <si>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</si>
  <si>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</si>
  <si>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</si>
  <si>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</si>
  <si>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</si>
  <si>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</si>
  <si>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</si>
  <si>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</si>
  <si>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</si>
  <si>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</si>
  <si>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</si>
  <si>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</si>
  <si>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</si>
  <si>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</si>
  <si>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</si>
  <si>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</si>
  <si>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</si>
  <si>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</si>
  <si>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</si>
  <si>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</si>
  <si>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</si>
  <si>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</si>
  <si>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</si>
  <si>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</si>
  <si>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</si>
  <si>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</si>
  <si>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</si>
  <si>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</si>
  <si>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</si>
  <si>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</si>
  <si>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</si>
  <si>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</si>
  <si>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</si>
  <si>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</si>
  <si>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</si>
  <si>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</si>
  <si>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</si>
  <si>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</si>
  <si>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</si>
  <si>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</si>
  <si>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</si>
  <si>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</si>
  <si>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</si>
  <si>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</si>
  <si>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</si>
  <si>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</si>
  <si>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</si>
  <si>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</si>
  <si>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</si>
  <si>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</si>
  <si>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</si>
  <si>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</si>
  <si>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</si>
  <si>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</si>
  <si>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</si>
  <si>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</si>
  <si>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</si>
  <si>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</si>
  <si>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</si>
  <si>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</si>
  <si>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</si>
  <si>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</si>
  <si>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</si>
  <si>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</si>
  <si>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</si>
  <si>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</si>
  <si>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</si>
  <si>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</si>
  <si>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</si>
  <si>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</si>
  <si>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</si>
  <si>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</si>
  <si>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</si>
  <si>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</si>
  <si>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</si>
  <si>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</si>
  <si>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</si>
  <si>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</si>
  <si>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</si>
  <si>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</si>
  <si>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</si>
  <si>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</si>
  <si>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</si>
  <si>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</si>
  <si>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</si>
  <si>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</si>
  <si>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</si>
  <si>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</si>
  <si>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</si>
  <si>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</si>
  <si>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</si>
  <si>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</si>
  <si>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</si>
  <si>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</si>
  <si>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</si>
  <si>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</si>
  <si>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</si>
  <si>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</si>
  <si>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</si>
  <si>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</si>
  <si>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</si>
  <si>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</si>
  <si>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</si>
  <si>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</si>
  <si>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</si>
  <si>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</si>
  <si>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</si>
  <si>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</si>
  <si>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</si>
  <si>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</si>
  <si>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</si>
  <si>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</si>
  <si>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</si>
  <si>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</si>
  <si>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</si>
  <si>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</si>
  <si>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</si>
  <si>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</si>
  <si>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</si>
  <si>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</si>
  <si>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</si>
  <si>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</si>
  <si>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</si>
  <si>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</si>
  <si>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</si>
  <si>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</si>
  <si>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</si>
  <si>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</si>
  <si>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</si>
  <si>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</si>
  <si>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</si>
  <si>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</si>
  <si>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</si>
  <si>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</si>
  <si>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</si>
  <si>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</si>
  <si>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</si>
  <si>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</si>
  <si>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</si>
  <si>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</si>
  <si>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</si>
  <si>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</si>
  <si>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</si>
  <si>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</si>
  <si>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</si>
  <si>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</si>
  <si>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</si>
  <si>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</si>
  <si>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</si>
  <si>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</si>
  <si>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</si>
  <si>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</si>
  <si>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</si>
  <si>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</si>
  <si>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</si>
  <si>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</si>
  <si>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</si>
  <si>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</si>
  <si>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</si>
  <si>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</si>
  <si>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</si>
  <si>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</si>
  <si>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</si>
  <si>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</si>
  <si>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</si>
  <si>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</si>
  <si>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</si>
  <si>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</si>
  <si>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</si>
  <si>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</si>
  <si>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</si>
  <si>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</si>
  <si>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</si>
  <si>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</si>
  <si>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</si>
  <si>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</si>
  <si>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</si>
  <si>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</si>
  <si>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</si>
  <si>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</si>
  <si>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</si>
  <si>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</si>
  <si>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</si>
  <si>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</si>
  <si>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</si>
  <si>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</si>
  <si>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</si>
  <si>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</si>
  <si>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</si>
  <si>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</si>
  <si>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</si>
  <si>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</si>
  <si>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</si>
  <si>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</si>
  <si>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</si>
  <si>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</si>
  <si>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</si>
  <si>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</si>
  <si>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</si>
  <si>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</si>
  <si>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</si>
  <si>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</si>
  <si>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</si>
  <si>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</si>
  <si>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</si>
  <si>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</si>
  <si>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</si>
  <si>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</si>
  <si>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</si>
  <si>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</si>
  <si>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</si>
  <si>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</si>
  <si>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</si>
  <si>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</si>
  <si>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</si>
  <si>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</si>
  <si>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</si>
  <si>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</si>
  <si>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</si>
  <si>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</si>
  <si>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</si>
  <si>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</si>
  <si>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</si>
  <si>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</si>
  <si>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</si>
  <si>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</si>
  <si>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</si>
  <si>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</si>
  <si>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</si>
  <si>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</si>
  <si>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</si>
  <si>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</si>
  <si>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</si>
  <si>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</si>
  <si>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</si>
  <si>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</si>
  <si>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</si>
  <si>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</si>
  <si>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</si>
  <si>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</si>
  <si>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</si>
  <si>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</si>
  <si>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</si>
  <si>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</si>
  <si>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</si>
  <si>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</si>
  <si>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</si>
  <si>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</si>
  <si>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</si>
  <si>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</si>
  <si>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</si>
  <si>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</si>
  <si>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</si>
  <si>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</si>
  <si>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</si>
  <si>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</si>
  <si>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</si>
  <si>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</si>
  <si>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</si>
  <si>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</si>
  <si>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</si>
  <si>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</si>
  <si>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</si>
  <si>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</si>
  <si>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</si>
  <si>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</si>
  <si>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</si>
  <si>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</si>
  <si>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</si>
  <si>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</si>
  <si>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</si>
  <si>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</si>
  <si>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</si>
  <si>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</si>
  <si>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</si>
  <si>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</si>
  <si>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</si>
  <si>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</si>
  <si>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</si>
  <si>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</si>
  <si>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</si>
  <si>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</si>
  <si>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</si>
  <si>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</si>
  <si>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</si>
  <si>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</si>
  <si>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</si>
  <si>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</si>
  <si>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</si>
  <si>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</si>
  <si>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</si>
  <si>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</si>
  <si>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</si>
  <si>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</si>
  <si>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</si>
  <si>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</si>
  <si>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</si>
  <si>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</si>
  <si>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</si>
  <si>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</si>
  <si>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</si>
  <si>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</si>
  <si>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</si>
  <si>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</si>
  <si>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</si>
  <si>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</si>
  <si>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</si>
  <si>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</si>
  <si>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</si>
  <si>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</si>
  <si>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</si>
  <si>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</si>
  <si>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</si>
  <si>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</si>
  <si>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</si>
  <si>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</si>
  <si>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</si>
  <si>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</si>
  <si>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</si>
  <si>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</si>
  <si>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</si>
  <si>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</si>
  <si>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</si>
  <si>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</si>
  <si>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</si>
  <si>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</si>
  <si>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</si>
  <si>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</si>
  <si>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</si>
  <si>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</si>
  <si>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</si>
  <si>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</si>
  <si>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</si>
  <si>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</si>
  <si>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</si>
  <si>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</si>
  <si>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</si>
  <si>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</si>
  <si>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</si>
  <si>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</si>
  <si>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</si>
  <si>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</si>
  <si>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</si>
  <si>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</si>
  <si>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</si>
  <si>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</si>
  <si>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</si>
  <si>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</si>
  <si>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</si>
  <si>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</si>
  <si>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</si>
  <si>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</si>
  <si>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</si>
  <si>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</si>
  <si>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</si>
  <si>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</si>
  <si>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</si>
  <si>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</si>
  <si>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</si>
  <si>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</si>
  <si>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</si>
  <si>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</si>
  <si>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</si>
  <si>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</si>
  <si>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</si>
  <si>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</si>
  <si>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</si>
  <si>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</si>
  <si>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</si>
  <si>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</si>
  <si>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</si>
  <si>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</si>
  <si>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</si>
  <si>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</si>
  <si>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</si>
  <si>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</si>
  <si>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</si>
  <si>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</si>
  <si>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</si>
  <si>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</si>
  <si>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</si>
  <si>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</si>
  <si>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</si>
  <si>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</si>
  <si>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</si>
  <si>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</si>
  <si>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</si>
  <si>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</si>
  <si>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</si>
  <si>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</si>
  <si>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</si>
  <si>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</si>
  <si>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</si>
  <si>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</si>
  <si>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</si>
  <si>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</si>
  <si>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</si>
  <si>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</si>
  <si>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</si>
  <si>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</si>
  <si>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</si>
  <si>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</si>
  <si>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</si>
  <si>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</si>
  <si>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</si>
  <si>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</si>
  <si>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</si>
  <si>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</si>
  <si>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</si>
  <si>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</si>
  <si>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</si>
  <si>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</si>
  <si>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</si>
  <si>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</si>
  <si>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</si>
  <si>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</si>
  <si>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</si>
  <si>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</si>
  <si>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</si>
  <si>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</si>
  <si>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</si>
  <si>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</si>
  <si>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</si>
  <si>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</si>
  <si>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</si>
  <si>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</si>
  <si>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</si>
  <si>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</si>
  <si>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</si>
  <si>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</si>
  <si>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</si>
  <si>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</si>
  <si>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</si>
  <si>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</si>
  <si>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</si>
  <si>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</si>
  <si>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</si>
  <si>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</si>
  <si>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</si>
  <si>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</si>
  <si>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</si>
  <si>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</si>
  <si>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</si>
  <si>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</si>
  <si>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</si>
  <si>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</si>
  <si>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</si>
  <si>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</si>
  <si>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</si>
  <si>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</si>
  <si>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</si>
  <si>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</si>
  <si>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</si>
  <si>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</si>
  <si>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</si>
  <si>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</si>
  <si>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</si>
  <si>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</si>
  <si>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</si>
  <si>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</si>
  <si>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</si>
  <si>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</si>
  <si>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</si>
  <si>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</si>
  <si>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</si>
  <si>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</si>
  <si>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</si>
  <si>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</si>
  <si>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</si>
  <si>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</si>
  <si>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</si>
  <si>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</si>
  <si>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</si>
  <si>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</si>
  <si>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</si>
  <si>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</si>
  <si>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</si>
  <si>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</si>
  <si>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</si>
  <si>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</si>
  <si>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</si>
  <si>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</si>
  <si>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</si>
  <si>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</si>
  <si>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</si>
  <si>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</si>
  <si>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</si>
  <si>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</si>
  <si>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</si>
  <si>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</si>
  <si>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</si>
  <si>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</si>
  <si>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</si>
  <si>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</si>
  <si>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</si>
  <si>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</si>
  <si>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</si>
  <si>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</si>
  <si>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</si>
  <si>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</si>
  <si>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</si>
  <si>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</si>
  <si>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</si>
  <si>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</si>
  <si>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</si>
  <si>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</si>
  <si>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</si>
  <si>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</si>
  <si>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</si>
  <si>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</si>
  <si>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</si>
  <si>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</si>
  <si>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</si>
  <si>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</si>
  <si>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</si>
  <si>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</si>
  <si>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</si>
  <si>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</si>
  <si>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</si>
  <si>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</si>
  <si>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</si>
  <si>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</si>
  <si>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</si>
  <si>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</si>
  <si>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</si>
  <si>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</si>
  <si>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</si>
  <si>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</si>
  <si>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</si>
  <si>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</si>
  <si>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</si>
  <si>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</si>
  <si>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</si>
  <si>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</si>
  <si>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</si>
  <si>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</si>
  <si>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</si>
  <si>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</si>
  <si>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</si>
  <si>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</si>
  <si>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</si>
  <si>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</si>
  <si>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</si>
  <si>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</si>
  <si>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</si>
  <si>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</si>
  <si>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</si>
  <si>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</si>
  <si>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</si>
  <si>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</si>
  <si>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</si>
  <si>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</si>
  <si>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</si>
  <si>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</si>
  <si>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</si>
  <si>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</si>
  <si>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</si>
  <si>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</si>
  <si>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</si>
  <si>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</si>
  <si>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</si>
  <si>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</si>
  <si>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</si>
  <si>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</si>
  <si>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</si>
  <si>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</si>
  <si>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</si>
  <si>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</si>
  <si>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</si>
  <si>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</si>
  <si>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</si>
  <si>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</si>
  <si>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</si>
  <si>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</si>
  <si>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</si>
  <si>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</si>
  <si>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</si>
  <si>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</si>
  <si>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</si>
  <si>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</si>
  <si>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</si>
  <si>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</si>
  <si>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</si>
  <si>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</si>
  <si>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</si>
  <si>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</si>
  <si>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</si>
  <si>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</si>
  <si>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</si>
  <si>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</si>
  <si>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</si>
  <si>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</si>
  <si>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</si>
  <si>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</si>
  <si>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</si>
  <si>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</si>
  <si>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</si>
  <si>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</si>
  <si>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</si>
  <si>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</si>
  <si>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</si>
  <si>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</si>
  <si>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</si>
  <si>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</si>
  <si>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</si>
  <si>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</si>
  <si>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</si>
  <si>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</si>
  <si>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</si>
  <si>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</si>
  <si>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</si>
  <si>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</si>
  <si>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</si>
  <si>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</si>
  <si>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</si>
  <si>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</si>
  <si>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</si>
  <si>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</si>
  <si>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</si>
  <si>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</si>
  <si>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</si>
  <si>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</si>
  <si>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</si>
  <si>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</si>
  <si>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</si>
  <si>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</si>
  <si>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</si>
  <si>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</si>
  <si>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</si>
  <si>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</si>
  <si>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</si>
  <si>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</si>
  <si>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</si>
  <si>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</si>
  <si>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</si>
  <si>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</si>
  <si>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</si>
  <si>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</si>
  <si>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</si>
  <si>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</si>
  <si>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</si>
  <si>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</si>
  <si>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</si>
  <si>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</si>
  <si>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</si>
  <si>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</si>
  <si>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</si>
  <si>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</si>
  <si>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</si>
  <si>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</si>
  <si>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</si>
  <si>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</si>
  <si>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</si>
  <si>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</si>
  <si>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</si>
  <si>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</si>
  <si>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</si>
  <si>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</si>
  <si>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</si>
  <si>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</si>
  <si>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</si>
  <si>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</si>
  <si>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</si>
  <si>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</si>
  <si>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</si>
  <si>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</si>
  <si>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</si>
  <si>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</si>
  <si>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</si>
  <si>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</si>
  <si>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</si>
  <si>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</si>
  <si>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</si>
  <si>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</si>
  <si>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</si>
  <si>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</si>
  <si>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</si>
  <si>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</si>
  <si>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</si>
  <si>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</si>
  <si>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</si>
  <si>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</si>
  <si>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</si>
  <si>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</si>
  <si>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</si>
  <si>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</si>
  <si>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</si>
  <si>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</si>
  <si>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</si>
  <si>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</si>
  <si>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</si>
  <si>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</si>
  <si>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</si>
  <si>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</si>
  <si>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</si>
  <si>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</si>
  <si>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</si>
  <si>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</si>
  <si>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</si>
  <si>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</si>
  <si>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</si>
  <si>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</si>
  <si>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</si>
  <si>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</si>
  <si>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</si>
  <si>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</si>
  <si>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</si>
  <si>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</si>
  <si>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</si>
  <si>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</si>
  <si>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</si>
  <si>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</si>
  <si>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</si>
  <si>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</si>
  <si>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</si>
  <si>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</si>
  <si>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</si>
  <si>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</si>
  <si>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</si>
  <si>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</si>
  <si>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</si>
  <si>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</si>
  <si>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</si>
  <si>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</si>
  <si>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</si>
  <si>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</si>
  <si>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</si>
  <si>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</si>
  <si>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</si>
  <si>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</si>
  <si>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</si>
  <si>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</si>
  <si>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</si>
  <si>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</si>
  <si>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</si>
  <si>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</si>
  <si>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</si>
  <si>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</si>
  <si>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</si>
  <si>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</si>
  <si>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</si>
  <si>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</si>
  <si>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</si>
  <si>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</si>
  <si>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</si>
  <si>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</si>
  <si>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</si>
  <si>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</si>
  <si>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</si>
  <si>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</si>
  <si>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</si>
  <si>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</si>
  <si>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</si>
  <si>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</si>
  <si>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</si>
  <si>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</si>
  <si>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</si>
  <si>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</si>
  <si>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</si>
  <si>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</si>
  <si>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</si>
  <si>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</si>
  <si>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</si>
  <si>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</si>
  <si>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</si>
  <si>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</si>
  <si>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</si>
  <si>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</si>
  <si>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</si>
  <si>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</si>
  <si>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</si>
  <si>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</si>
  <si>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</si>
  <si>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</si>
  <si>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</si>
  <si>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</si>
  <si>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</si>
  <si>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</si>
  <si>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</si>
  <si>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</si>
  <si>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</si>
  <si>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</si>
  <si>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</si>
  <si>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</si>
  <si>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</si>
  <si>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</si>
  <si>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</si>
  <si>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</si>
  <si>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</si>
  <si>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</si>
  <si>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</si>
  <si>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</si>
  <si>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</si>
  <si>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</si>
  <si>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</si>
  <si>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</si>
  <si>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</si>
  <si>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</si>
  <si>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</si>
  <si>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</si>
  <si>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</si>
  <si>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</si>
  <si>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</si>
  <si>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</si>
  <si>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</si>
  <si>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</si>
  <si>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</si>
  <si>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</si>
  <si>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</si>
  <si>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</si>
  <si>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</si>
  <si>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</si>
  <si>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</si>
  <si>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</si>
  <si>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</si>
  <si>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</si>
  <si>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</si>
  <si>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</si>
  <si>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</si>
  <si>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</si>
  <si>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</si>
  <si>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</si>
  <si>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</si>
  <si>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</si>
  <si>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</si>
  <si>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</si>
  <si>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</si>
  <si>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</si>
  <si>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</si>
  <si>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</si>
  <si>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</si>
  <si>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</si>
  <si>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</si>
  <si>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</si>
  <si>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</si>
  <si>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</si>
  <si>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</si>
  <si>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</si>
  <si>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</si>
  <si>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</si>
  <si>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</si>
  <si>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</si>
  <si>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</si>
  <si>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</si>
  <si>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</si>
  <si>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</si>
  <si>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</si>
  <si>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</si>
  <si>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</si>
  <si>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</si>
  <si>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</si>
  <si>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</si>
  <si>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</si>
  <si>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</si>
  <si>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</si>
  <si>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</si>
  <si>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</si>
  <si>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</si>
  <si>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</si>
  <si>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</si>
  <si>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</si>
  <si>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</si>
  <si>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</si>
  <si>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</si>
  <si>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</si>
  <si>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</si>
  <si>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</si>
  <si>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</si>
  <si>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</si>
  <si>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</si>
  <si>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</si>
  <si>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</si>
  <si>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</si>
  <si>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</si>
  <si>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</si>
  <si>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</si>
  <si>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</si>
  <si>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</si>
  <si>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</si>
  <si>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</si>
  <si>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</si>
  <si>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</si>
  <si>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</si>
  <si>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</si>
  <si>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</si>
  <si>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</si>
  <si>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</si>
  <si>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</si>
  <si>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</si>
  <si>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</si>
  <si>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</si>
  <si>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</si>
  <si>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</si>
  <si>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</si>
  <si>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</si>
  <si>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</si>
  <si>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</si>
  <si>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</si>
  <si>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</si>
  <si>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</si>
  <si>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</si>
  <si>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</si>
  <si>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</si>
  <si>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</si>
  <si>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</si>
  <si>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</si>
  <si>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</si>
  <si>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</si>
  <si>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</si>
  <si>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</si>
  <si>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</si>
  <si>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</si>
  <si>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</si>
  <si>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</si>
  <si>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</si>
  <si>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</si>
  <si>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</si>
  <si>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</si>
  <si>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</si>
  <si>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</si>
  <si>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</si>
  <si>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</si>
  <si>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</si>
  <si>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</si>
  <si>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</si>
  <si>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</si>
  <si>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</si>
  <si>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</si>
  <si>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</si>
  <si>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</si>
  <si>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</si>
  <si>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</si>
  <si>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</si>
  <si>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</si>
  <si>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</si>
  <si>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</si>
  <si>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</si>
  <si>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</si>
  <si>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</si>
  <si>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</si>
  <si>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</si>
  <si>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</si>
  <si>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</si>
  <si>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</si>
  <si>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</si>
  <si>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</si>
  <si>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</si>
  <si>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</si>
  <si>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</si>
  <si>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</si>
  <si>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</si>
  <si>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</si>
  <si>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</si>
  <si>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</si>
  <si>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</si>
  <si>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</si>
  <si>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</si>
  <si>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</si>
  <si>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</si>
  <si>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</si>
  <si>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</si>
  <si>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</si>
  <si>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</si>
  <si>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</si>
  <si>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</si>
  <si>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</si>
  <si>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</si>
  <si>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</si>
  <si>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</si>
  <si>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</si>
  <si>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</si>
  <si>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</si>
  <si>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</si>
  <si>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</si>
  <si>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</si>
  <si>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</si>
  <si>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</si>
  <si>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</si>
  <si>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</si>
  <si>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</si>
  <si>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</si>
  <si>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</si>
  <si>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</si>
  <si>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</si>
  <si>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</si>
  <si>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</si>
  <si>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</si>
  <si>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</si>
  <si>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</si>
  <si>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</si>
  <si>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</si>
  <si>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</si>
  <si>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</si>
  <si>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</si>
  <si>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</si>
  <si>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</si>
  <si>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</si>
  <si>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</si>
  <si>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</si>
  <si>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</si>
  <si>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</si>
  <si>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</si>
  <si>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</si>
  <si>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</si>
  <si>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</si>
  <si>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</si>
  <si>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</si>
  <si>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</si>
  <si>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</si>
  <si>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</si>
  <si>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</si>
  <si>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</si>
  <si>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</si>
  <si>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</si>
  <si>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</si>
  <si>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</si>
  <si>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</si>
  <si>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</si>
  <si>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</si>
  <si>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</si>
  <si>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</si>
  <si>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</si>
  <si>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</si>
  <si>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</si>
  <si>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</si>
  <si>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</si>
  <si>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</si>
  <si>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</si>
  <si>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</si>
  <si>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</si>
  <si>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</si>
  <si>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</si>
  <si>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</si>
  <si>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</si>
  <si>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</si>
  <si>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</si>
  <si>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</si>
  <si>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</si>
  <si>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</si>
  <si>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</si>
  <si>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</si>
  <si>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</si>
  <si>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</si>
  <si>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</si>
  <si>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</si>
  <si>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</si>
  <si>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</si>
  <si>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</si>
  <si>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</si>
  <si>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</si>
  <si>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</si>
  <si>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</si>
  <si>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</si>
  <si>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</si>
  <si>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</si>
  <si>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</si>
  <si>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</si>
  <si>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</si>
  <si>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</si>
  <si>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</si>
  <si>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</si>
  <si>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</si>
  <si>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</si>
  <si>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</si>
  <si>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</si>
  <si>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</si>
  <si>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</si>
  <si>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</si>
  <si>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</si>
  <si>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</si>
  <si>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</si>
  <si>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</si>
  <si>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</si>
  <si>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</si>
  <si>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</si>
  <si>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</si>
  <si>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</si>
  <si>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</si>
  <si>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</si>
  <si>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</si>
  <si>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</si>
  <si>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</si>
  <si>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</si>
  <si>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</si>
  <si>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</si>
  <si>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</si>
  <si>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</si>
  <si>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</si>
  <si>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</si>
  <si>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</si>
  <si>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</si>
  <si>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</si>
  <si>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</si>
  <si>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</si>
  <si>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</si>
  <si>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</si>
  <si>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</si>
  <si>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</si>
  <si>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</si>
  <si>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</si>
  <si>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</si>
  <si>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</si>
  <si>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</si>
  <si>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</si>
  <si>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</si>
  <si>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</si>
  <si>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</si>
  <si>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</si>
  <si>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</si>
  <si>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</si>
  <si>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</si>
  <si>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</si>
  <si>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</si>
  <si>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</si>
  <si>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</si>
  <si>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</si>
  <si>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</si>
  <si>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</si>
  <si>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</si>
  <si>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</si>
  <si>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</si>
  <si>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</si>
  <si>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</si>
  <si>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</si>
  <si>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</si>
  <si>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</si>
  <si>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</si>
  <si>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</si>
  <si>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</si>
  <si>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</si>
  <si>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</si>
  <si>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</si>
  <si>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</si>
  <si>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</si>
  <si>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</si>
  <si>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</si>
  <si>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</si>
  <si>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</si>
  <si>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</si>
  <si>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</si>
  <si>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</si>
  <si>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</si>
  <si>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</si>
  <si>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</si>
  <si>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</si>
  <si>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</si>
  <si>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</si>
  <si>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</si>
  <si>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</si>
  <si>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</si>
  <si>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</si>
  <si>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</si>
  <si>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</si>
  <si>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</si>
  <si>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</si>
  <si>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</si>
  <si>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</si>
  <si>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</si>
  <si>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</si>
  <si>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</si>
  <si>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</si>
  <si>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</si>
  <si>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</si>
  <si>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</si>
  <si>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</si>
  <si>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</si>
  <si>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</si>
  <si>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</si>
  <si>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</si>
  <si>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</si>
  <si>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</si>
  <si>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</si>
  <si>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</si>
  <si>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</si>
  <si>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</si>
  <si>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</si>
  <si>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</si>
  <si>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</si>
  <si>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</si>
  <si>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</si>
  <si>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</si>
  <si>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</si>
  <si>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</si>
  <si>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</si>
  <si>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</si>
  <si>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</si>
  <si>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</si>
  <si>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</si>
  <si>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</si>
  <si>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</si>
  <si>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</si>
  <si>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</si>
  <si>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</si>
  <si>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</si>
  <si>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</si>
  <si>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</si>
  <si>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</si>
  <si>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</si>
  <si>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</si>
  <si>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</si>
  <si>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</si>
  <si>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</si>
  <si>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</si>
  <si>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</si>
  <si>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</si>
  <si>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</si>
  <si>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</si>
  <si>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</si>
  <si>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</si>
  <si>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</si>
  <si>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</si>
  <si>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</si>
  <si>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</si>
  <si>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</si>
  <si>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</si>
  <si>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</si>
  <si>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</si>
  <si>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</si>
  <si>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</si>
  <si>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</si>
  <si>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</si>
  <si>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</si>
  <si>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</si>
  <si>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</si>
  <si>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</si>
  <si>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</si>
  <si>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</si>
  <si>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</si>
  <si>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</si>
  <si>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</si>
  <si>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</si>
  <si>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</si>
  <si>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</si>
  <si>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</si>
  <si>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</si>
  <si>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</si>
  <si>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</si>
  <si>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</si>
  <si>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</si>
  <si>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</si>
  <si>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</si>
  <si>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</si>
  <si>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</si>
  <si>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</si>
  <si>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</si>
  <si>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</si>
  <si>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</si>
  <si>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</si>
  <si>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</si>
  <si>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</si>
  <si>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</si>
  <si>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</si>
  <si>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</si>
  <si>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</si>
  <si>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</si>
  <si>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</si>
  <si>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</si>
  <si>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</si>
  <si>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</si>
  <si>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</si>
  <si>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</si>
  <si>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</si>
  <si>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</si>
  <si>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</si>
  <si>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</si>
  <si>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</si>
  <si>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</si>
  <si>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</si>
  <si>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</si>
  <si>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</si>
  <si>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</si>
  <si>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</si>
  <si>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</si>
  <si>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</si>
  <si>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</si>
  <si>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</si>
  <si>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</si>
  <si>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</si>
  <si>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</si>
  <si>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</si>
  <si>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</si>
  <si>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</si>
  <si>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</si>
  <si>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</si>
  <si>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</si>
  <si>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</si>
  <si>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</si>
  <si>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</si>
  <si>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</si>
  <si>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</si>
  <si>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</si>
  <si>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</si>
  <si>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</si>
  <si>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</si>
  <si>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</si>
  <si>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</si>
  <si>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</si>
  <si>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</si>
  <si>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</si>
  <si>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</si>
  <si>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</si>
  <si>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</si>
  <si>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</si>
  <si>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</si>
  <si>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</si>
  <si>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</si>
  <si>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</si>
  <si>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</si>
  <si>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</si>
  <si>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</si>
  <si>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</si>
  <si>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</si>
  <si>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</si>
  <si>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</si>
  <si>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</si>
  <si>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</si>
  <si>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</si>
  <si>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</si>
  <si>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</si>
  <si>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</si>
  <si>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</si>
  <si>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</si>
  <si>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</si>
  <si>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</si>
  <si>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</si>
  <si>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</si>
  <si>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</si>
  <si>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</si>
  <si>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</si>
  <si>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</si>
  <si>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</si>
  <si>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</si>
  <si>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</si>
  <si>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</si>
  <si>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</si>
  <si>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</si>
  <si>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</si>
  <si>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</si>
  <si>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</si>
  <si>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</si>
  <si>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</si>
  <si>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</si>
  <si>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</si>
  <si>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</si>
  <si>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</si>
  <si>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</si>
  <si>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</si>
  <si>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</si>
  <si>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</si>
  <si>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</si>
  <si>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</si>
  <si>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</si>
  <si>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</si>
  <si>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</si>
  <si>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</si>
  <si>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</si>
  <si>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</si>
  <si>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</si>
  <si>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</si>
  <si>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</si>
  <si>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</si>
  <si>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</si>
  <si>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</si>
  <si>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</si>
  <si>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</si>
  <si>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</si>
  <si>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</si>
  <si>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</si>
  <si>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</si>
  <si>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</si>
  <si>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</si>
  <si>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</si>
  <si>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</si>
  <si>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</si>
  <si>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</si>
  <si>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</si>
  <si>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</si>
  <si>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</si>
  <si>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</si>
  <si>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</si>
  <si>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</si>
  <si>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</si>
  <si>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</si>
  <si>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</si>
  <si>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</si>
  <si>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</si>
  <si>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</si>
  <si>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</si>
  <si>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</si>
  <si>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</si>
  <si>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</si>
  <si>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</si>
  <si>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</si>
  <si>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</si>
  <si>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</si>
  <si>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</si>
  <si>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</si>
  <si>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</si>
  <si>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</si>
  <si>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</si>
  <si>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</si>
  <si>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</si>
  <si>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</si>
  <si>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</si>
  <si>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</si>
  <si>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</si>
  <si>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</si>
  <si>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</si>
  <si>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</si>
  <si>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</si>
  <si>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</si>
  <si>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</si>
  <si>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</si>
  <si>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</si>
  <si>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</si>
  <si>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</si>
  <si>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</si>
  <si>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</si>
  <si>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</si>
  <si>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</si>
  <si>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</si>
  <si>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</si>
  <si>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</si>
  <si>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</si>
  <si>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</si>
  <si>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</si>
  <si>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</si>
  <si>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</si>
  <si>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</si>
  <si>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</si>
  <si>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</si>
  <si>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</si>
  <si>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</si>
  <si>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</si>
  <si>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</si>
  <si>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</si>
  <si>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</si>
  <si>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</si>
  <si>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</si>
  <si>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</si>
  <si>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</si>
  <si>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</si>
  <si>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</si>
  <si>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</si>
  <si>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</si>
  <si>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</si>
  <si>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</si>
  <si>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</si>
  <si>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</si>
  <si>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</si>
  <si>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</si>
  <si>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</si>
  <si>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</si>
  <si>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</si>
  <si>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</si>
  <si>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</si>
  <si>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</si>
  <si>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</si>
  <si>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</si>
  <si>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</si>
  <si>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</si>
  <si>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</si>
  <si>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</si>
  <si>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</si>
  <si>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</si>
  <si>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</si>
  <si>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</si>
  <si>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</si>
  <si>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</si>
  <si>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</si>
  <si>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</si>
  <si>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</si>
  <si>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</si>
  <si>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</si>
  <si>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</si>
  <si>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</si>
  <si>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</si>
  <si>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</si>
  <si>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</si>
  <si>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</si>
  <si>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</si>
  <si>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</si>
  <si>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</si>
  <si>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</si>
  <si>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</si>
  <si>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</si>
  <si>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</si>
  <si>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</si>
  <si>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</si>
  <si>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</si>
  <si>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</si>
  <si>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</si>
  <si>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</si>
  <si>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</si>
  <si>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</si>
  <si>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</si>
  <si>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</si>
  <si>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</si>
  <si>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</si>
  <si>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</si>
  <si>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</si>
  <si>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</si>
  <si>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</si>
  <si>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</si>
  <si>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</si>
  <si>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</si>
  <si>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</si>
  <si>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</si>
  <si>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</si>
  <si>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</si>
  <si>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</si>
  <si>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</si>
  <si>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</si>
  <si>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</si>
  <si>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</si>
  <si>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</si>
  <si>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</si>
  <si>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</si>
  <si>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</si>
  <si>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</si>
  <si>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</si>
  <si>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</si>
  <si>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</si>
  <si>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</si>
  <si>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</si>
  <si>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</si>
  <si>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</si>
  <si>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</si>
  <si>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</si>
  <si>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</si>
  <si>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</si>
  <si>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</si>
  <si>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</si>
  <si>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</si>
  <si>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</si>
  <si>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</si>
  <si>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</si>
  <si>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</si>
  <si>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</si>
  <si>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</si>
  <si>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</si>
  <si>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</si>
  <si>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</si>
  <si>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</si>
  <si>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</si>
  <si>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</si>
  <si>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</si>
  <si>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</si>
  <si>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</si>
  <si>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</si>
  <si>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</si>
  <si>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</si>
  <si>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</si>
  <si>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</si>
  <si>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</si>
  <si>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</si>
  <si>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</si>
  <si>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</si>
  <si>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</si>
  <si>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</si>
  <si>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</si>
  <si>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</si>
  <si>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</si>
  <si>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</si>
  <si>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</si>
  <si>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</si>
  <si>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</si>
  <si>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</si>
  <si>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</si>
  <si>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</si>
  <si>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</si>
  <si>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</si>
  <si>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</si>
  <si>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</si>
  <si>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</si>
  <si>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</si>
  <si>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</si>
  <si>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</si>
  <si>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</si>
  <si>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</si>
  <si>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</si>
  <si>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</si>
  <si>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</si>
  <si>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</si>
  <si>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</si>
  <si>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</si>
  <si>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</si>
  <si>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</si>
  <si>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</si>
  <si>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</si>
  <si>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</si>
  <si>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</si>
  <si>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</si>
  <si>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</si>
  <si>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</si>
  <si>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</si>
  <si>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</si>
  <si>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</si>
  <si>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</si>
  <si>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</si>
  <si>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</si>
  <si>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</si>
  <si>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</si>
  <si>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</si>
  <si>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</si>
  <si>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</si>
  <si>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</si>
  <si>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</si>
  <si>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</si>
  <si>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</si>
  <si>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</si>
  <si>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</si>
  <si>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</si>
  <si>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</si>
  <si>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</si>
  <si>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</si>
  <si>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</si>
  <si>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</si>
  <si>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</si>
  <si>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</si>
  <si>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</si>
  <si>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</si>
  <si>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</si>
  <si>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</si>
  <si>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</si>
  <si>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</si>
  <si>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</si>
  <si>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</si>
  <si>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</si>
  <si>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</si>
  <si>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</si>
  <si>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</si>
  <si>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</si>
  <si>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</si>
  <si>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</si>
  <si>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</si>
  <si>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</si>
  <si>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</si>
  <si>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</si>
  <si>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</si>
  <si>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</si>
  <si>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</si>
  <si>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</si>
  <si>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</si>
  <si>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</si>
  <si>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</si>
  <si>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</si>
  <si>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</si>
  <si>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</si>
  <si>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</si>
  <si>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</si>
  <si>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</si>
  <si>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</si>
  <si>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</si>
  <si>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</si>
  <si>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</si>
  <si>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</si>
  <si>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</si>
  <si>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</si>
  <si>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</si>
  <si>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</si>
  <si>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</si>
  <si>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</si>
  <si>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</si>
  <si>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</si>
  <si>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</si>
  <si>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</si>
  <si>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</si>
  <si>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</si>
  <si>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</si>
  <si>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</si>
  <si>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</si>
  <si>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</si>
  <si>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</si>
  <si>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</si>
  <si>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</si>
  <si>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</si>
  <si>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</si>
  <si>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</si>
  <si>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</si>
  <si>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</si>
  <si>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</si>
  <si>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</si>
  <si>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</si>
  <si>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</si>
  <si>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</si>
  <si>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</si>
  <si>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</si>
  <si>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</si>
  <si>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</si>
  <si>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</si>
  <si>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</si>
  <si>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</si>
  <si>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</si>
  <si>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</si>
  <si>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</si>
  <si>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</si>
  <si>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</si>
  <si>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</si>
  <si>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</si>
  <si>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</si>
  <si>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</si>
  <si>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</si>
  <si>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</si>
  <si>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</si>
  <si>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</si>
  <si>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</si>
  <si>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</si>
  <si>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</si>
  <si>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</si>
  <si>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</si>
  <si>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</si>
  <si>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</si>
  <si>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</si>
  <si>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</si>
  <si>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</si>
  <si>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</si>
  <si>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</si>
  <si>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</si>
  <si>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</si>
  <si>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</si>
  <si>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</si>
  <si>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</si>
  <si>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</si>
  <si>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</si>
  <si>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</si>
  <si>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</si>
  <si>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</si>
  <si>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</si>
  <si>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</si>
  <si>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</si>
  <si>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</si>
  <si>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</si>
  <si>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</si>
  <si>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</si>
  <si>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</si>
  <si>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</si>
  <si>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</si>
  <si>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</si>
  <si>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</si>
  <si>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</si>
  <si>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</si>
  <si>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</si>
  <si>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</si>
  <si>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</si>
  <si>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</si>
  <si>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</si>
  <si>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</si>
  <si>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</si>
  <si>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</si>
  <si>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</si>
  <si>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</si>
  <si>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</si>
  <si>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</si>
  <si>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</si>
  <si>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</si>
  <si>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</si>
  <si>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</si>
  <si>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</si>
  <si>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</si>
  <si>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</si>
  <si>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</si>
  <si>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</si>
  <si>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</si>
  <si>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</si>
  <si>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</si>
  <si>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</si>
  <si>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</si>
  <si>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</si>
  <si>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</si>
  <si>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</si>
  <si>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</si>
  <si>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</si>
  <si>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</si>
  <si>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</si>
  <si>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</si>
  <si>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</si>
  <si>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</si>
  <si>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</si>
  <si>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</si>
  <si>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</si>
  <si>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</si>
  <si>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</si>
  <si>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</si>
  <si>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</si>
  <si>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</si>
  <si>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</si>
  <si>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</si>
  <si>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</si>
  <si>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</si>
  <si>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</si>
  <si>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</si>
  <si>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</si>
  <si>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</si>
  <si>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</si>
  <si>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</si>
  <si>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</si>
  <si>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</si>
  <si>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</si>
  <si>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</si>
  <si>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</si>
  <si>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</si>
  <si>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</si>
  <si>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</si>
  <si>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</si>
  <si>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</si>
  <si>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</si>
  <si>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</si>
  <si>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</si>
  <si>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</si>
  <si>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</si>
  <si>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</si>
  <si>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</si>
  <si>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</si>
  <si>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</si>
  <si>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</si>
  <si>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</si>
  <si>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</si>
  <si>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</si>
  <si>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</si>
  <si>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</si>
  <si>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</si>
  <si>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</si>
  <si>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</si>
  <si>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</si>
  <si>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</si>
  <si>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</si>
  <si>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</si>
  <si>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</si>
  <si>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</si>
  <si>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</si>
  <si>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</si>
  <si>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</si>
  <si>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</si>
  <si>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</si>
  <si>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</si>
  <si>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</si>
  <si>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</si>
  <si>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</si>
  <si>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</si>
  <si>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</si>
  <si>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</si>
  <si>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</si>
  <si>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</si>
  <si>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</si>
  <si>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</si>
  <si>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</si>
  <si>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</si>
  <si>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</si>
  <si>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</si>
  <si>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</si>
  <si>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</si>
  <si>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</si>
  <si>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</si>
  <si>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</si>
  <si>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</si>
  <si>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</si>
  <si>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</si>
  <si>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</si>
  <si>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</si>
  <si>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</si>
  <si>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</si>
  <si>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</si>
  <si>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</si>
  <si>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</si>
  <si>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</si>
  <si>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</si>
  <si>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</si>
  <si>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</si>
  <si>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</si>
  <si>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</si>
  <si>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</si>
  <si>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</si>
  <si>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</si>
  <si>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</si>
  <si>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</si>
  <si>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</si>
  <si>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</si>
  <si>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</si>
  <si>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</si>
  <si>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</si>
  <si>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</si>
  <si>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</si>
  <si>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</si>
  <si>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</si>
  <si>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</si>
  <si>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</si>
  <si>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</si>
  <si>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</si>
  <si>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</si>
  <si>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</si>
  <si>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</si>
  <si>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</si>
  <si>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</si>
  <si>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</si>
  <si>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</si>
  <si>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</si>
  <si>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</si>
  <si>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</si>
  <si>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</si>
  <si>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</si>
  <si>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</si>
  <si>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</si>
  <si>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</si>
  <si>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</si>
  <si>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</si>
  <si>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</si>
  <si>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</si>
  <si>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</si>
  <si>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</si>
  <si>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</si>
  <si>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</si>
  <si>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</si>
  <si>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</si>
  <si>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</si>
  <si>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</si>
  <si>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</si>
  <si>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</si>
  <si>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</si>
  <si>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</si>
  <si>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</si>
  <si>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</si>
  <si>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</si>
  <si>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</si>
  <si>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</si>
  <si>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</si>
  <si>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</si>
  <si>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</si>
  <si>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</si>
  <si>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</si>
  <si>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</si>
  <si>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</si>
  <si>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</si>
  <si>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</si>
  <si>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</si>
  <si>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</si>
  <si>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</si>
  <si>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</si>
  <si>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</si>
  <si>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</si>
  <si>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</si>
  <si>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</si>
  <si>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</si>
  <si>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</si>
  <si>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</si>
  <si>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</si>
  <si>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</si>
  <si>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</si>
  <si>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</si>
  <si>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</si>
  <si>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</si>
  <si>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</si>
  <si>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</si>
  <si>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</si>
  <si>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</si>
  <si>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</si>
  <si>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</si>
  <si>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</si>
  <si>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</si>
  <si>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</si>
  <si>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</si>
  <si>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</si>
  <si>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</si>
  <si>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</si>
  <si>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</si>
  <si>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</si>
  <si>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</si>
  <si>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</si>
  <si>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</si>
  <si>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</si>
  <si>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</si>
  <si>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</si>
  <si>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</si>
  <si>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</si>
  <si>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</si>
  <si>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</si>
  <si>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</si>
  <si>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</si>
  <si>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</si>
  <si>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</si>
  <si>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</si>
  <si>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</si>
  <si>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</si>
  <si>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</si>
  <si>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</si>
  <si>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</si>
  <si>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</si>
  <si>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</si>
  <si>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</si>
  <si>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</si>
  <si>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</si>
  <si>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</si>
  <si>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</si>
  <si>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</si>
  <si>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</si>
  <si>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</si>
  <si>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</si>
  <si>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</si>
  <si>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</si>
  <si>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</si>
  <si>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</si>
  <si>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</si>
  <si>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</si>
  <si>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</si>
  <si>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</si>
  <si>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</si>
  <si>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</si>
  <si>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</si>
  <si>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</si>
  <si>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</si>
  <si>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</si>
  <si>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</si>
  <si>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</si>
  <si>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</si>
  <si>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</si>
  <si>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</si>
  <si>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</si>
  <si>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</si>
  <si>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</si>
  <si>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</si>
  <si>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</si>
  <si>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</si>
  <si>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</si>
  <si>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</si>
  <si>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</si>
  <si>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</si>
  <si>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</si>
  <si>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</si>
  <si>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</si>
  <si>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</si>
  <si>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</si>
  <si>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</si>
  <si>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</si>
  <si>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</si>
  <si>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</si>
  <si>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</si>
  <si>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</si>
  <si>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</si>
  <si>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</si>
  <si>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</si>
  <si>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</si>
  <si>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</si>
  <si>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</si>
  <si>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</si>
  <si>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</si>
  <si>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</si>
  <si>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</si>
  <si>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</si>
  <si>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</si>
  <si>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</si>
  <si>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</si>
  <si>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</si>
  <si>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</si>
  <si>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</si>
  <si>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</si>
  <si>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</si>
  <si>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</si>
  <si>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</si>
  <si>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</si>
  <si>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</si>
  <si>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</si>
  <si>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</si>
  <si>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</si>
  <si>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</si>
  <si>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</si>
  <si>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</si>
  <si>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</si>
  <si>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</si>
  <si>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</si>
  <si>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</si>
  <si>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</si>
  <si>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</si>
  <si>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</si>
  <si>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</si>
  <si>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</si>
  <si>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</si>
  <si>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</si>
  <si>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</si>
  <si>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</si>
  <si>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</si>
  <si>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</si>
  <si>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</si>
  <si>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</si>
  <si>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</si>
  <si>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</si>
  <si>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</si>
  <si>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</si>
  <si>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</si>
  <si>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</si>
  <si>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</si>
  <si>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</si>
  <si>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</si>
  <si>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</si>
  <si>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</si>
  <si>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</si>
  <si>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</si>
  <si>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</si>
  <si>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</si>
  <si>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</si>
  <si>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</si>
  <si>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</si>
  <si>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</si>
  <si>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</si>
  <si>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</si>
  <si>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</si>
  <si>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</si>
  <si>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</si>
  <si>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</si>
  <si>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</si>
  <si>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</si>
  <si>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</si>
  <si>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</si>
  <si>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</si>
  <si>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</si>
  <si>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</si>
  <si>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</si>
  <si>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</si>
  <si>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</si>
  <si>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</si>
  <si>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</si>
  <si>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</si>
  <si>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</si>
  <si>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</si>
  <si>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</si>
  <si>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</si>
  <si>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</si>
  <si>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</si>
  <si>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</si>
  <si>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</si>
  <si>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</si>
  <si>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</si>
  <si>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</si>
  <si>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</si>
  <si>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</si>
  <si>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</si>
  <si>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</si>
  <si>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</si>
  <si>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</si>
  <si>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</si>
  <si>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</si>
  <si>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</si>
  <si>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</si>
  <si>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</si>
  <si>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</si>
  <si>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</si>
  <si>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</si>
  <si>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</si>
  <si>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</si>
  <si>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</si>
  <si>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</si>
  <si>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</si>
  <si>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</si>
  <si>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</si>
  <si>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</si>
  <si>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</si>
  <si>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</si>
  <si>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</si>
  <si>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</si>
  <si>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</si>
  <si>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</si>
  <si>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</si>
  <si>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</si>
  <si>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</si>
  <si>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</si>
  <si>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</si>
  <si>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</si>
  <si>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</si>
  <si>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</si>
  <si>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</si>
  <si>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</si>
  <si>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</si>
  <si>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</si>
  <si>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</si>
  <si>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</si>
  <si>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</si>
  <si>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</si>
  <si>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</si>
  <si>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</si>
  <si>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</si>
  <si>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</si>
  <si>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</si>
  <si>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</si>
  <si>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</si>
  <si>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</si>
  <si>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</si>
  <si>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</si>
  <si>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</si>
  <si>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</si>
  <si>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</si>
  <si>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</si>
  <si>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</si>
  <si>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</si>
  <si>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</si>
  <si>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</si>
  <si>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</si>
  <si>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</si>
  <si>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</si>
  <si>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</si>
  <si>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</si>
  <si>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</si>
  <si>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</si>
  <si>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</si>
  <si>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</si>
  <si>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</si>
  <si>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</si>
  <si>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</si>
  <si>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</si>
  <si>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</si>
  <si>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</si>
  <si>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</si>
  <si>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</si>
  <si>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</si>
  <si>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</si>
  <si>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</si>
  <si>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</si>
  <si>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</si>
  <si>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</si>
  <si>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</si>
  <si>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</si>
  <si>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</si>
  <si>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</si>
  <si>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</si>
  <si>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</si>
  <si>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</si>
  <si>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</si>
  <si>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</si>
  <si>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</si>
  <si>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</si>
  <si>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</si>
  <si>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</si>
  <si>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</si>
  <si>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</si>
  <si>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</si>
  <si>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</si>
  <si>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</si>
  <si>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</si>
  <si>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</si>
  <si>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</si>
  <si>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</si>
  <si>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</si>
  <si>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</si>
  <si>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</si>
  <si>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</si>
  <si>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</si>
  <si>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</si>
  <si>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</si>
  <si>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</si>
  <si>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</si>
  <si>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</si>
  <si>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</si>
  <si>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</si>
  <si>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</si>
  <si>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</si>
  <si>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</si>
  <si>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</si>
  <si>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</si>
  <si>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</si>
  <si>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</si>
  <si>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</si>
  <si>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</si>
  <si>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</si>
  <si>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</si>
  <si>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</si>
  <si>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</si>
  <si>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</si>
  <si>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</si>
  <si>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</si>
  <si>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</si>
  <si>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</si>
  <si>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</si>
  <si>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</si>
  <si>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</si>
  <si>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</si>
  <si>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</si>
  <si>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</si>
  <si>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</si>
  <si>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</si>
  <si>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</si>
  <si>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</si>
  <si>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</si>
  <si>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</si>
  <si>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</si>
  <si>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</si>
  <si>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</si>
  <si>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</si>
  <si>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</si>
  <si>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</si>
  <si>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</si>
  <si>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</si>
  <si>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</si>
  <si>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</si>
  <si>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</si>
  <si>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</si>
  <si>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</si>
  <si>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</si>
  <si>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</si>
  <si>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</si>
  <si>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</si>
  <si>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</si>
  <si>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</si>
  <si>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</si>
  <si>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</si>
  <si>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</si>
  <si>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</si>
  <si>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</si>
  <si>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</si>
  <si>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</si>
  <si>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</si>
  <si>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</si>
  <si>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</si>
  <si>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</si>
  <si>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</si>
  <si>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</si>
  <si>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</si>
  <si>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</si>
  <si>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</si>
  <si>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</si>
  <si>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</si>
  <si>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</si>
  <si>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</si>
  <si>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</si>
  <si>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</si>
  <si>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</si>
  <si>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</si>
  <si>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</si>
  <si>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</si>
  <si>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</si>
  <si>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</si>
  <si>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</si>
  <si>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</si>
  <si>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</si>
  <si>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</si>
  <si>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</si>
  <si>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</si>
  <si>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</si>
  <si>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</si>
  <si>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</si>
  <si>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</si>
  <si>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</si>
  <si>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</si>
  <si>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</si>
  <si>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</si>
  <si>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</si>
  <si>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</si>
  <si>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</si>
  <si>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</si>
  <si>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</si>
  <si>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</si>
  <si>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</si>
  <si>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</si>
  <si>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</si>
  <si>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</si>
  <si>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</si>
  <si>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</si>
  <si>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</si>
  <si>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</si>
  <si>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</si>
  <si>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</si>
  <si>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</si>
  <si>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</si>
  <si>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</si>
  <si>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</si>
  <si>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</si>
  <si>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</si>
  <si>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</si>
  <si>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</si>
  <si>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</si>
  <si>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</si>
  <si>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</si>
  <si>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</si>
  <si>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</si>
  <si>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</si>
  <si>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</si>
  <si>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</si>
  <si>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</si>
  <si>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</si>
  <si>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</si>
  <si>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</si>
  <si>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</si>
  <si>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</si>
  <si>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</si>
  <si>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</si>
  <si>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</si>
  <si>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</si>
  <si>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</si>
  <si>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</si>
  <si>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</si>
  <si>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</si>
  <si>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</si>
  <si>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</si>
  <si>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</si>
  <si>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</si>
  <si>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</si>
  <si>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</si>
  <si>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</si>
  <si>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</si>
  <si>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</si>
  <si>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</si>
  <si>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</si>
  <si>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</si>
  <si>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</si>
  <si>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</si>
  <si>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</si>
  <si>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</si>
  <si>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</si>
  <si>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</si>
  <si>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</si>
  <si>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</si>
  <si>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</si>
  <si>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</si>
  <si>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</si>
  <si>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</si>
  <si>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</si>
  <si>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</si>
  <si>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</si>
  <si>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</si>
  <si>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</si>
  <si>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</si>
  <si>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</si>
  <si>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</si>
  <si>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</si>
  <si>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</si>
  <si>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</si>
  <si>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</si>
  <si>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</si>
  <si>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</si>
  <si>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</si>
  <si>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</si>
  <si>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</si>
  <si>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</si>
  <si>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</si>
  <si>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</si>
  <si>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</si>
  <si>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</si>
  <si>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</si>
  <si>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</si>
  <si>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</si>
  <si>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</si>
  <si>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</si>
  <si>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</si>
  <si>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</si>
  <si>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</si>
  <si>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</si>
  <si>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</si>
  <si>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</si>
  <si>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</si>
  <si>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</si>
  <si>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</si>
  <si>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</si>
  <si>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</si>
  <si>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</si>
  <si>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</si>
  <si>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</si>
  <si>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</si>
  <si>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</si>
  <si>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</si>
  <si>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</si>
  <si>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</si>
  <si>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</si>
  <si>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</si>
  <si>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</si>
  <si>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</si>
  <si>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</si>
  <si>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</si>
  <si>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</si>
  <si>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</si>
  <si>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</si>
  <si>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</si>
  <si>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</si>
  <si>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</si>
  <si>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</si>
  <si>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</si>
  <si>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</si>
  <si>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</si>
  <si>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</si>
  <si>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</si>
  <si>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</si>
  <si>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</si>
  <si>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</si>
  <si>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</si>
  <si>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</si>
  <si>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</si>
  <si>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</si>
  <si>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</si>
  <si>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</si>
  <si>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</si>
  <si>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</si>
  <si>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</si>
  <si>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</si>
  <si>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</si>
  <si>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</si>
  <si>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</si>
  <si>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</si>
  <si>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</si>
  <si>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</si>
  <si>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</si>
  <si>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</si>
  <si>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</si>
  <si>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</si>
  <si>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</si>
  <si>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</si>
  <si>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</si>
  <si>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</si>
  <si>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</si>
  <si>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</si>
  <si>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</si>
  <si>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</si>
  <si>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</si>
  <si>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</si>
  <si>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</si>
  <si>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</si>
  <si>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</si>
  <si>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</si>
  <si>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</si>
  <si>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</si>
  <si>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</si>
  <si>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</si>
  <si>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</si>
  <si>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</si>
  <si>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</si>
  <si>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</si>
  <si>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</si>
  <si>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</si>
  <si>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</si>
  <si>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</si>
  <si>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</si>
  <si>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</si>
  <si>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</si>
  <si>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</si>
  <si>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</si>
  <si>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</si>
  <si>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</si>
  <si>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</si>
  <si>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</si>
  <si>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</si>
  <si>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</si>
  <si>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</si>
  <si>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</si>
  <si>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</si>
  <si>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</si>
  <si>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</si>
  <si>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</si>
  <si>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</si>
  <si>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</si>
  <si>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</si>
  <si>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</si>
  <si>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</si>
  <si>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</si>
  <si>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</si>
  <si>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</si>
  <si>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</si>
  <si>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</si>
  <si>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</si>
  <si>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</si>
  <si>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</si>
  <si>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</si>
  <si>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</si>
  <si>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</si>
  <si>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</si>
  <si>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</si>
  <si>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</si>
  <si>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</si>
  <si>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</si>
  <si>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</si>
  <si>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</si>
  <si>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</si>
  <si>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</si>
  <si>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</si>
  <si>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</si>
  <si>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</si>
  <si>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</si>
  <si>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</si>
  <si>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</si>
  <si>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</si>
  <si>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</si>
  <si>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</si>
  <si>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</si>
  <si>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</si>
  <si>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</si>
  <si>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</si>
  <si>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</si>
  <si>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</si>
  <si>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</si>
  <si>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</si>
  <si>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</si>
  <si>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</si>
  <si>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</si>
  <si>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</si>
  <si>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</si>
  <si>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</si>
  <si>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</si>
  <si>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</si>
  <si>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</si>
  <si>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</si>
  <si>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</si>
  <si>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</si>
  <si>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</si>
  <si>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</si>
  <si>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</si>
  <si>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</si>
  <si>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</si>
  <si>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</si>
  <si>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</si>
  <si>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</si>
  <si>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</si>
  <si>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</si>
  <si>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</si>
  <si>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</si>
  <si>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</si>
  <si>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</si>
  <si>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</si>
  <si>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</si>
  <si>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</si>
  <si>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</si>
  <si>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</si>
  <si>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</si>
  <si>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</si>
  <si>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</si>
  <si>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</si>
  <si>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</si>
  <si>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</si>
  <si>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</si>
  <si>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</si>
  <si>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</si>
  <si>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</si>
  <si>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</si>
  <si>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</si>
  <si>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</si>
  <si>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</si>
  <si>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</si>
  <si>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</si>
  <si>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</si>
  <si>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</si>
  <si>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</si>
  <si>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</si>
  <si>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</si>
  <si>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</si>
  <si>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</si>
  <si>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</si>
  <si>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</si>
  <si>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</si>
  <si>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</si>
  <si>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</si>
  <si>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</si>
  <si>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</si>
  <si>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</si>
  <si>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</si>
  <si>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</si>
  <si>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</si>
  <si>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</si>
  <si>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</si>
  <si>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</si>
  <si>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</si>
  <si>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</si>
  <si>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</si>
  <si>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</si>
  <si>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</si>
  <si>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</si>
  <si>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</si>
  <si>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</si>
  <si>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</si>
  <si>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</si>
  <si>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</si>
  <si>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</si>
  <si>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</si>
  <si>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</si>
  <si>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</si>
  <si>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</si>
  <si>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</si>
  <si>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</si>
  <si>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</si>
  <si>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</si>
  <si>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</si>
  <si>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</si>
  <si>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</si>
  <si>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</si>
  <si>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</si>
  <si>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</si>
  <si>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</si>
  <si>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</si>
  <si>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</si>
  <si>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</si>
  <si>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</si>
  <si>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</si>
  <si>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</si>
  <si>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</si>
  <si>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</si>
  <si>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</si>
  <si>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</si>
  <si>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</si>
  <si>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</si>
  <si>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</si>
  <si>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</si>
  <si>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</si>
  <si>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</si>
  <si>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</si>
  <si>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</si>
  <si>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</si>
  <si>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</si>
  <si>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</si>
  <si>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</si>
  <si>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</si>
  <si>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</si>
  <si>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</si>
  <si>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</si>
  <si>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</si>
  <si>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</si>
  <si>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</si>
  <si>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</si>
  <si>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</si>
  <si>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</si>
  <si>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</si>
  <si>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</si>
  <si>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</si>
  <si>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</si>
  <si>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</si>
  <si>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</si>
  <si>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</si>
  <si>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</si>
  <si>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</si>
  <si>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</si>
  <si>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</si>
  <si>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</si>
  <si>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</si>
  <si>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</si>
  <si>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</si>
  <si>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</si>
  <si>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</si>
  <si>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</si>
  <si>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</si>
  <si>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</si>
  <si>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</si>
  <si>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</si>
  <si>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</si>
  <si>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</si>
  <si>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</si>
  <si>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</si>
  <si>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</si>
  <si>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</si>
  <si>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</si>
  <si>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</si>
  <si>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</si>
  <si>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</si>
  <si>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</si>
  <si>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</si>
  <si>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</si>
  <si>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</si>
  <si>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</si>
  <si>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</si>
  <si>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</si>
  <si>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</si>
  <si>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</si>
  <si>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</si>
  <si>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</si>
  <si>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</si>
  <si>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</si>
  <si>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</si>
  <si>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</si>
  <si>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</si>
  <si>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</si>
  <si>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</si>
  <si>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</si>
  <si>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</si>
  <si>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</si>
  <si>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</si>
  <si>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</si>
  <si>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</si>
  <si>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</si>
  <si>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</si>
  <si>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</si>
  <si>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</si>
  <si>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</si>
  <si>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</si>
  <si>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</si>
  <si>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</si>
  <si>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</si>
  <si>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</si>
  <si>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</si>
  <si>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</si>
  <si>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</si>
  <si>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</si>
  <si>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</si>
  <si>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</si>
  <si>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</si>
  <si>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</si>
  <si>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</si>
  <si>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</si>
  <si>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</si>
  <si>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</si>
  <si>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</si>
  <si>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</si>
  <si>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</si>
  <si>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</si>
  <si>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</si>
  <si>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</si>
  <si>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</si>
  <si>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</si>
  <si>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</si>
  <si>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</si>
  <si>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</si>
  <si>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</si>
  <si>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</si>
  <si>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</si>
  <si>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</si>
  <si>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</si>
  <si>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</si>
  <si>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</si>
  <si>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</si>
  <si>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</si>
  <si>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</si>
  <si>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</si>
  <si>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</si>
  <si>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</si>
  <si>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</si>
  <si>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</si>
  <si>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</si>
  <si>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</si>
  <si>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</si>
  <si>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</si>
  <si>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</si>
  <si>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</si>
  <si>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</si>
  <si>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</si>
  <si>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</si>
  <si>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</si>
  <si>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</si>
  <si>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</si>
  <si>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</si>
  <si>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</si>
  <si>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</si>
  <si>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</si>
  <si>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</si>
  <si>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</si>
  <si>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</si>
  <si>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</si>
  <si>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</si>
  <si>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</si>
  <si>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</si>
  <si>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</si>
  <si>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</si>
  <si>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</si>
  <si>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</si>
  <si>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</si>
  <si>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</si>
  <si>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</si>
  <si>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</si>
  <si>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</si>
  <si>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</si>
  <si>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</si>
  <si>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</si>
  <si>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</si>
  <si>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</si>
  <si>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</si>
  <si>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</si>
  <si>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</si>
  <si>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</si>
  <si>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</si>
  <si>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</si>
  <si>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</si>
  <si>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</si>
  <si>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</si>
  <si>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</si>
  <si>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</si>
  <si>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</si>
  <si>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</si>
  <si>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</si>
  <si>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</si>
  <si>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</si>
  <si>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</si>
  <si>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</si>
  <si>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</si>
  <si>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</si>
  <si>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</si>
  <si>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</si>
  <si>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</si>
  <si>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</si>
  <si>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</si>
  <si>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</si>
  <si>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</si>
  <si>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</si>
  <si>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</si>
  <si>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</si>
  <si>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</si>
  <si>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</si>
  <si>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</si>
  <si>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</si>
  <si>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</si>
  <si>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</si>
  <si>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</si>
  <si>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</si>
  <si>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</si>
  <si>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</si>
  <si>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</si>
  <si>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</si>
  <si>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</si>
  <si>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</si>
  <si>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</si>
  <si>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</si>
  <si>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</si>
  <si>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</si>
  <si>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</si>
  <si>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</si>
  <si>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</si>
  <si>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</si>
  <si>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</si>
  <si>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</si>
  <si>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</si>
  <si>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</si>
  <si>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</si>
  <si>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</si>
  <si>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</si>
  <si>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</si>
  <si>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</si>
  <si>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</si>
  <si>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</si>
  <si>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</si>
  <si>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</si>
  <si>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</si>
  <si>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</si>
  <si>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</si>
  <si>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</si>
  <si>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</si>
  <si>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</si>
  <si>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</si>
  <si>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</si>
  <si>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</si>
  <si>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</si>
  <si>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</si>
  <si>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</si>
  <si>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</si>
  <si>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</si>
  <si>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</si>
  <si>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</si>
  <si>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</si>
  <si>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</si>
  <si>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</si>
  <si>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</si>
  <si>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</si>
  <si>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</si>
  <si>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</si>
  <si>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</si>
  <si>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</si>
  <si>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</si>
  <si>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</si>
  <si>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</si>
  <si>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</si>
  <si>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</si>
  <si>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</si>
  <si>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</si>
  <si>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</si>
  <si>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</si>
  <si>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</si>
  <si>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</si>
  <si>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</si>
  <si>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</si>
  <si>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</si>
  <si>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</si>
  <si>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</si>
  <si>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</si>
  <si>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</si>
  <si>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</si>
  <si>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</si>
  <si>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</si>
  <si>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</si>
  <si>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</si>
  <si>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</si>
  <si>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</si>
  <si>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</si>
  <si>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</si>
  <si>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</si>
  <si>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</si>
  <si>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</si>
  <si>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</si>
  <si>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</si>
  <si>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</si>
  <si>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</si>
  <si>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</si>
  <si>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</si>
  <si>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</si>
  <si>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</si>
  <si>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</si>
  <si>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</si>
  <si>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</si>
  <si>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</si>
  <si>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</si>
  <si>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</si>
  <si>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</si>
  <si>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</si>
  <si>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</si>
  <si>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</si>
  <si>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</si>
  <si>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</si>
  <si>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</si>
  <si>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</si>
  <si>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</si>
  <si>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</si>
  <si>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</si>
  <si>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</si>
  <si>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</si>
  <si>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</si>
  <si>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</si>
  <si>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</si>
  <si>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</si>
  <si>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</si>
  <si>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</si>
  <si>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</si>
  <si>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</si>
  <si>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</si>
  <si>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</si>
  <si>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</si>
  <si>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</si>
  <si>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</si>
  <si>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</si>
  <si>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</si>
  <si>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</si>
  <si>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</si>
  <si>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</si>
  <si>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</si>
  <si>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</si>
  <si>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</si>
  <si>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</si>
  <si>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</si>
  <si>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</si>
  <si>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</si>
  <si>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</si>
  <si>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</si>
  <si>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</si>
  <si>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</si>
  <si>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</si>
  <si>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</si>
  <si>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</si>
  <si>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</si>
  <si>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</si>
  <si>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</si>
  <si>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</si>
  <si>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</si>
  <si>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</si>
  <si>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</si>
  <si>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</si>
  <si>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</si>
  <si>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</si>
  <si>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</si>
  <si>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</si>
  <si>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</si>
  <si>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</si>
  <si>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</si>
  <si>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</si>
  <si>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</si>
  <si>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</si>
  <si>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</si>
  <si>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</si>
  <si>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</si>
  <si>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</si>
  <si>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</si>
  <si>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</si>
  <si>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</si>
  <si>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</si>
  <si>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</si>
  <si>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</si>
  <si>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</si>
  <si>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</si>
  <si>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</si>
  <si>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</si>
  <si>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</si>
  <si>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</si>
  <si>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</si>
  <si>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</si>
  <si>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</si>
  <si>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</si>
  <si>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</si>
  <si>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</si>
  <si>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</si>
  <si>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</si>
  <si>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</si>
  <si>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</si>
  <si>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</si>
  <si>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</si>
  <si>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</si>
  <si>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</si>
  <si>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</si>
  <si>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</si>
  <si>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</si>
  <si>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</si>
  <si>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</si>
  <si>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</si>
  <si>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</si>
  <si>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</si>
  <si>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</si>
  <si>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</si>
  <si>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</si>
  <si>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</si>
  <si>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</si>
  <si>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</si>
  <si>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</si>
  <si>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</si>
  <si>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</si>
  <si>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</si>
  <si>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</si>
  <si>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</si>
  <si>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</si>
  <si>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</si>
  <si>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</si>
  <si>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</si>
  <si>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</si>
  <si>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</si>
  <si>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</si>
  <si>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</si>
  <si>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</si>
  <si>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</si>
  <si>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</si>
  <si>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</si>
  <si>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</si>
  <si>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</si>
  <si>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</si>
  <si>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</si>
  <si>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</si>
  <si>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</si>
  <si>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</si>
  <si>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</si>
  <si>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</si>
  <si>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</si>
  <si>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</si>
  <si>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</si>
  <si>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</si>
  <si>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</si>
  <si>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</si>
  <si>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</si>
  <si>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</si>
  <si>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</si>
  <si>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</si>
  <si>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</si>
  <si>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</si>
  <si>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</si>
  <si>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</si>
  <si>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</si>
  <si>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</si>
  <si>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</si>
  <si>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</si>
  <si>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</si>
  <si>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</si>
  <si>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</si>
  <si>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</si>
  <si>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</si>
  <si>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</si>
  <si>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</si>
  <si>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</si>
  <si>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</si>
  <si>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</si>
  <si>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</si>
  <si>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</si>
  <si>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</si>
  <si>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</si>
  <si>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</si>
  <si>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</si>
  <si>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</si>
  <si>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</si>
  <si>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</si>
  <si>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</si>
  <si>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</si>
  <si>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</si>
  <si>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</si>
  <si>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</si>
  <si>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</si>
  <si>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</si>
  <si>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</si>
  <si>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</si>
  <si>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</si>
  <si>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</si>
  <si>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</si>
  <si>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</si>
  <si>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</si>
  <si>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</si>
  <si>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</si>
  <si>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</si>
  <si>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</si>
  <si>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</si>
  <si>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</si>
  <si>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</si>
  <si>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</si>
  <si>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</si>
  <si>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</si>
  <si>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</si>
  <si>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</si>
  <si>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</si>
  <si>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</si>
  <si>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</si>
  <si>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</si>
  <si>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</si>
  <si>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</si>
  <si>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</si>
  <si>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</si>
  <si>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</si>
  <si>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</si>
  <si>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</si>
  <si>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</si>
  <si>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</si>
  <si>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</si>
  <si>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</si>
  <si>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</si>
  <si>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</si>
  <si>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</si>
  <si>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</si>
  <si>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</si>
  <si>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</si>
  <si>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</si>
  <si>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</si>
  <si>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</si>
  <si>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</si>
  <si>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</si>
  <si>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</si>
  <si>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</si>
  <si>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</si>
  <si>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</si>
  <si>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</si>
  <si>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</si>
  <si>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</si>
  <si>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</si>
  <si>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</si>
  <si>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</si>
  <si>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</si>
  <si>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</si>
  <si>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</si>
  <si>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</si>
  <si>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</si>
  <si>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</si>
  <si>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</si>
  <si>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</si>
  <si>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</si>
  <si>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</si>
  <si>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</si>
  <si>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</si>
  <si>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</si>
  <si>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</si>
  <si>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</si>
  <si>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</si>
  <si>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</si>
  <si>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</si>
  <si>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</si>
  <si>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</si>
  <si>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</si>
  <si>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</si>
  <si>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</si>
  <si>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</si>
  <si>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</si>
  <si>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</si>
  <si>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</si>
  <si>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</si>
  <si>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</si>
  <si>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</si>
  <si>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</si>
  <si>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</si>
  <si>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</si>
  <si>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</si>
  <si>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</si>
  <si>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</si>
  <si>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</si>
  <si>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</si>
  <si>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</si>
  <si>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</si>
  <si>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</si>
  <si>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</si>
  <si>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</si>
  <si>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</si>
  <si>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</si>
  <si>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</si>
  <si>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</si>
  <si>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</si>
  <si>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</si>
  <si>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</si>
  <si>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</si>
  <si>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</si>
  <si>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</si>
  <si>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</si>
  <si>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</si>
  <si>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</si>
  <si>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</si>
  <si>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</si>
  <si>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</si>
  <si>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</si>
  <si>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</si>
  <si>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</si>
  <si>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</si>
  <si>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</si>
  <si>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</si>
  <si>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</si>
  <si>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</si>
  <si>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</si>
  <si>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</si>
  <si>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</si>
  <si>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</si>
  <si>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</si>
  <si>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</si>
  <si>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</si>
  <si>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</si>
  <si>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</si>
  <si>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</si>
  <si>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</si>
  <si>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</si>
  <si>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</si>
  <si>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</si>
  <si>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</si>
  <si>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</si>
  <si>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</si>
  <si>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</si>
  <si>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</si>
  <si>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</si>
  <si>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</si>
  <si>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</si>
  <si>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</si>
  <si>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</si>
  <si>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</si>
  <si>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</si>
  <si>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</si>
  <si>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</si>
  <si>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</si>
  <si>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</si>
  <si>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</si>
  <si>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</si>
  <si>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</si>
  <si>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</si>
  <si>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</si>
  <si>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</si>
  <si>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</si>
  <si>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</si>
  <si>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</si>
  <si>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</si>
  <si>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</si>
  <si>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</si>
  <si>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</si>
  <si>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</si>
  <si>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</si>
  <si>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</si>
  <si>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</si>
  <si>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</si>
  <si>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</si>
  <si>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</si>
  <si>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</si>
  <si>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</si>
  <si>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</si>
  <si>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</si>
  <si>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</si>
  <si>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</si>
  <si>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</si>
  <si>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</si>
  <si>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</si>
  <si>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</si>
  <si>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</si>
  <si>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</si>
  <si>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</si>
  <si>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</si>
  <si>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</si>
  <si>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</si>
  <si>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</si>
  <si>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</si>
  <si>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</si>
  <si>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</si>
  <si>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</si>
  <si>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</si>
  <si>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</si>
  <si>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</si>
  <si>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</si>
  <si>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</si>
  <si>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</si>
  <si>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</si>
  <si>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</si>
  <si>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</si>
  <si>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</si>
  <si>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</si>
  <si>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</si>
  <si>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</si>
  <si>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</si>
  <si>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</si>
  <si>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</si>
  <si>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</si>
  <si>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</si>
  <si>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</si>
  <si>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</si>
  <si>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</si>
  <si>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</si>
  <si>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</si>
  <si>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</si>
  <si>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</si>
  <si>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</si>
  <si>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</si>
  <si>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</si>
  <si>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</si>
  <si>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</si>
  <si>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</si>
  <si>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</si>
  <si>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</si>
  <si>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</si>
  <si>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</si>
  <si>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</si>
  <si>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</si>
  <si>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</si>
  <si>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</si>
  <si>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</si>
  <si>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</si>
  <si>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</si>
  <si>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</si>
  <si>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</si>
  <si>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</si>
  <si>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</si>
  <si>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</si>
  <si>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</si>
  <si>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</si>
  <si>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</si>
  <si>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</si>
  <si>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</si>
  <si>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</si>
  <si>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</si>
  <si>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</si>
  <si>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</si>
  <si>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</si>
  <si>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</si>
  <si>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</si>
  <si>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</si>
  <si>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</si>
  <si>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</si>
  <si>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</si>
  <si>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</si>
  <si>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</si>
  <si>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</si>
  <si>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</si>
  <si>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</si>
  <si>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</si>
  <si>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</si>
  <si>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</si>
  <si>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</si>
  <si>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</si>
  <si>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</si>
  <si>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</si>
  <si>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</si>
  <si>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</si>
  <si>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</si>
  <si>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</si>
  <si>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</si>
  <si>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</si>
  <si>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</si>
  <si>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</si>
  <si>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</si>
  <si>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</si>
  <si>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</si>
  <si>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</si>
  <si>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</si>
  <si>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</si>
  <si>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</si>
  <si>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</si>
  <si>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</si>
  <si>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</si>
  <si>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</si>
  <si>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</si>
  <si>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</si>
  <si>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</si>
  <si>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</si>
  <si>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</si>
  <si>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</si>
  <si>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</si>
  <si>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</si>
  <si>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</si>
  <si>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</si>
  <si>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</si>
  <si>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</si>
  <si>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</si>
  <si>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</si>
  <si>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</si>
  <si>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</si>
  <si>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</si>
  <si>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</si>
  <si>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</si>
  <si>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</si>
  <si>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</si>
  <si>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</si>
  <si>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</si>
  <si>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</si>
  <si>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</si>
  <si>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</si>
  <si>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</si>
  <si>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</si>
  <si>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</si>
  <si>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</si>
  <si>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</si>
  <si>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</si>
  <si>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</si>
  <si>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</si>
  <si>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</si>
  <si>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</si>
  <si>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</si>
  <si>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</si>
  <si>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</si>
  <si>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</si>
  <si>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</si>
  <si>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</si>
  <si>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</si>
  <si>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</si>
  <si>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</si>
  <si>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</si>
  <si>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</si>
  <si>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</si>
  <si>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</si>
  <si>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</si>
  <si>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</si>
  <si>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</si>
  <si>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</si>
  <si>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</si>
  <si>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</si>
  <si>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</si>
  <si>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</si>
  <si>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</si>
  <si>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</si>
  <si>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</si>
  <si>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</si>
  <si>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</si>
  <si>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</si>
  <si>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</si>
  <si>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</si>
  <si>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</si>
  <si>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</si>
  <si>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</si>
  <si>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</si>
  <si>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</si>
  <si>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</si>
  <si>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</si>
  <si>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</si>
  <si>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</si>
  <si>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</si>
  <si>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</si>
  <si>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</si>
  <si>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</si>
  <si>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</si>
  <si>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</si>
  <si>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</si>
  <si>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</si>
  <si>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</si>
  <si>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</si>
  <si>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</si>
  <si>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</si>
  <si>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</si>
  <si>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</si>
  <si>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</si>
  <si>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</si>
  <si>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</si>
  <si>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</si>
  <si>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</si>
  <si>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</si>
  <si>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</si>
  <si>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</si>
  <si>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</si>
  <si>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</si>
  <si>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</si>
  <si>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</si>
  <si>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</si>
  <si>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</si>
  <si>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</si>
  <si>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</si>
  <si>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</si>
  <si>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</si>
  <si>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</si>
  <si>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</si>
  <si>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</si>
  <si>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</si>
  <si>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</si>
  <si>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</si>
  <si>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</si>
  <si>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</si>
  <si>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</si>
  <si>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</si>
  <si>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</si>
  <si>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</si>
  <si>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</si>
  <si>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</si>
  <si>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</si>
  <si>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</si>
  <si>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</si>
  <si>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</si>
  <si>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</si>
  <si>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</si>
  <si>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</si>
  <si>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</si>
  <si>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</si>
  <si>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</si>
  <si>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</si>
  <si>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</si>
  <si>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</si>
  <si>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</si>
  <si>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</si>
  <si>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</si>
  <si>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</si>
  <si>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</si>
  <si>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</si>
  <si>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</si>
  <si>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</si>
  <si>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</si>
  <si>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</si>
  <si>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</si>
  <si>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</si>
  <si>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</si>
  <si>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</si>
  <si>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</si>
  <si>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</si>
  <si>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</si>
  <si>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</si>
  <si>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</si>
  <si>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</si>
  <si>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</si>
  <si>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</si>
  <si>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</si>
  <si>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</si>
  <si>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</si>
  <si>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</si>
  <si>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</si>
  <si>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</si>
  <si>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</si>
  <si>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</si>
  <si>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</si>
  <si>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</si>
  <si>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</si>
  <si>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</si>
  <si>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</si>
  <si>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</si>
  <si>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</si>
  <si>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</si>
  <si>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</si>
  <si>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</si>
  <si>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</si>
  <si>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</si>
  <si>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</si>
  <si>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</si>
  <si>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</si>
  <si>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</si>
  <si>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</si>
  <si>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</si>
  <si>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</si>
  <si>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</si>
  <si>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</si>
  <si>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</si>
  <si>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</si>
  <si>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</si>
  <si>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</si>
  <si>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</si>
  <si>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</si>
  <si>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</si>
  <si>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</si>
  <si>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</si>
  <si>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</si>
  <si>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</si>
  <si>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</si>
  <si>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</si>
  <si>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</si>
  <si>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</si>
  <si>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</si>
  <si>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</si>
  <si>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</si>
  <si>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</si>
  <si>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</si>
  <si>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</si>
  <si>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</si>
  <si>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</si>
  <si>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</si>
  <si>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</si>
  <si>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</si>
  <si>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</si>
  <si>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</si>
  <si>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</si>
  <si>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</si>
  <si>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</si>
  <si>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</si>
  <si>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</si>
  <si>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</si>
  <si>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</si>
  <si>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</si>
  <si>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</si>
  <si>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</si>
  <si>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</si>
  <si>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</si>
  <si>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</si>
  <si>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</si>
  <si>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</si>
  <si>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</si>
  <si>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</si>
  <si>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</si>
  <si>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</si>
  <si>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</si>
  <si>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</si>
  <si>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</si>
  <si>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</si>
  <si>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</si>
  <si>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</si>
  <si>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</si>
  <si>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</si>
  <si>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</si>
  <si>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</si>
  <si>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</si>
  <si>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</si>
  <si>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</si>
  <si>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</si>
  <si>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</si>
  <si>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</si>
  <si>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</si>
  <si>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</si>
  <si>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</si>
  <si>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</si>
  <si>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</si>
  <si>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</si>
  <si>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</si>
  <si>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</si>
  <si>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</si>
  <si>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</si>
  <si>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</si>
  <si>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</si>
  <si>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</si>
  <si>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</si>
  <si>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</si>
  <si>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</si>
  <si>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</si>
  <si>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</si>
  <si>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</si>
  <si>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</si>
  <si>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</si>
  <si>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</si>
  <si>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</si>
  <si>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</si>
  <si>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</si>
  <si>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</si>
  <si>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</si>
  <si>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</si>
  <si>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</si>
  <si>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</si>
  <si>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</si>
  <si>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</si>
  <si>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</si>
  <si>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</si>
  <si>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</si>
  <si>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</si>
  <si>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</si>
  <si>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</si>
  <si>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</si>
  <si>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</si>
  <si>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</si>
  <si>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</si>
  <si>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</si>
  <si>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</si>
  <si>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</si>
  <si>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</si>
  <si>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</si>
  <si>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</si>
  <si>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</si>
  <si>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</si>
  <si>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</si>
  <si>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</si>
  <si>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</si>
  <si>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</si>
  <si>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</si>
  <si>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</si>
  <si>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</si>
  <si>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</si>
  <si>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</si>
  <si>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</si>
  <si>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</si>
  <si>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</si>
  <si>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</si>
  <si>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</si>
  <si>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</si>
  <si>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</si>
  <si>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</si>
  <si>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</si>
  <si>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</si>
  <si>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</si>
  <si>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</si>
  <si>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</si>
  <si>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</si>
  <si>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</si>
  <si>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</si>
  <si>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</si>
  <si>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</si>
  <si>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</si>
  <si>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</si>
  <si>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</si>
  <si>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</si>
  <si>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</si>
  <si>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</si>
  <si>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</si>
  <si>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</si>
  <si>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</si>
  <si>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</si>
  <si>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</si>
  <si>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</si>
  <si>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</si>
  <si>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</si>
  <si>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</si>
  <si>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</si>
  <si>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</si>
  <si>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</si>
  <si>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</si>
  <si>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</si>
  <si>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</si>
  <si>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</si>
  <si>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</si>
  <si>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</si>
  <si>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</si>
  <si>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</si>
  <si>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</si>
  <si>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</si>
  <si>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</si>
  <si>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</si>
  <si>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</si>
  <si>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</si>
  <si>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</si>
  <si>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</si>
  <si>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</si>
  <si>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</si>
  <si>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</si>
  <si>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</si>
  <si>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</si>
  <si>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</si>
  <si>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</si>
  <si>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</si>
  <si>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</si>
  <si>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</si>
  <si>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</si>
  <si>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</si>
  <si>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</si>
  <si>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</si>
  <si>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</si>
  <si>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</si>
  <si>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</si>
  <si>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</si>
  <si>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</si>
  <si>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</si>
  <si>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</si>
  <si>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</si>
  <si>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</si>
  <si>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</si>
  <si>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</si>
  <si>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</si>
  <si>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</si>
  <si>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</si>
  <si>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</si>
  <si>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</si>
  <si>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</si>
  <si>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</si>
  <si>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</si>
  <si>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</si>
  <si>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</si>
  <si>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</si>
  <si>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</si>
  <si>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</si>
  <si>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</si>
  <si>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</si>
  <si>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</si>
  <si>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</si>
  <si>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</si>
  <si>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</si>
  <si>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</si>
  <si>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</si>
  <si>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</si>
  <si>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</si>
  <si>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</si>
  <si>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</si>
  <si>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</si>
  <si>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</si>
  <si>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</si>
  <si>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</si>
  <si>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</si>
  <si>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</si>
  <si>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</si>
  <si>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</si>
  <si>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</si>
  <si>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</si>
  <si>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</si>
  <si>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</si>
  <si>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</si>
  <si>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</si>
  <si>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</si>
  <si>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</si>
  <si>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</si>
  <si>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</si>
  <si>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</si>
  <si>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</si>
  <si>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</si>
  <si>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</si>
  <si>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</si>
  <si>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</si>
  <si>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</si>
  <si>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</si>
  <si>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</si>
  <si>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</si>
  <si>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</si>
  <si>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</si>
  <si>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</si>
  <si>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</si>
  <si>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</si>
  <si>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</si>
  <si>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</si>
  <si>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</si>
  <si>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</si>
  <si>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</si>
  <si>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</si>
  <si>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</si>
  <si>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</si>
  <si>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</si>
  <si>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</si>
  <si>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</si>
  <si>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</si>
  <si>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</si>
  <si>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</si>
  <si>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</si>
  <si>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</si>
  <si>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</si>
  <si>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</si>
  <si>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</si>
  <si>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</si>
  <si>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</si>
  <si>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</si>
  <si>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</si>
  <si>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</si>
  <si>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</si>
  <si>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</si>
  <si>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</si>
  <si>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</si>
  <si>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</si>
  <si>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</si>
  <si>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</si>
  <si>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</si>
  <si>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</si>
  <si>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</si>
  <si>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</si>
  <si>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</si>
  <si>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</si>
  <si>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</si>
  <si>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</si>
  <si>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</si>
  <si>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</si>
  <si>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</si>
  <si>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</si>
  <si>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</si>
  <si>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</si>
  <si>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</si>
  <si>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</si>
  <si>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</si>
  <si>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</si>
  <si>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</si>
  <si>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</si>
  <si>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</si>
  <si>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</si>
  <si>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</si>
  <si>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</si>
  <si>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</si>
  <si>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</si>
  <si>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</si>
  <si>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</si>
  <si>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</si>
  <si>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</si>
  <si>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</si>
  <si>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</si>
  <si>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</si>
  <si>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</si>
  <si>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</si>
  <si>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</si>
  <si>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</si>
  <si>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</si>
  <si>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</si>
  <si>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</si>
  <si>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</si>
  <si>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</si>
  <si>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</si>
  <si>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</si>
  <si>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</si>
  <si>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</si>
  <si>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</si>
  <si>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</si>
  <si>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</si>
  <si>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</si>
  <si>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</si>
  <si>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</si>
  <si>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</si>
  <si>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</si>
  <si>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</si>
  <si>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</si>
  <si>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</si>
  <si>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</si>
  <si>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</si>
  <si>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</si>
  <si>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</si>
  <si>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</si>
  <si>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</si>
  <si>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</si>
  <si>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</si>
  <si>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</si>
  <si>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</si>
  <si>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</si>
  <si>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</si>
  <si>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</si>
  <si>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</si>
  <si>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</si>
  <si>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</si>
  <si>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</si>
  <si>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</si>
  <si>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</si>
  <si>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</si>
  <si>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</si>
  <si>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</si>
  <si>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</si>
  <si>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</si>
  <si>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</si>
  <si>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</si>
  <si>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</si>
  <si>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</si>
  <si>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</si>
  <si>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</si>
  <si>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</si>
  <si>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</si>
  <si>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</si>
  <si>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</si>
  <si>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</si>
  <si>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</si>
  <si>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</si>
  <si>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</si>
  <si>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</si>
  <si>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</si>
  <si>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</si>
  <si>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</si>
  <si>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</si>
  <si>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</si>
  <si>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</si>
  <si>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</si>
  <si>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</si>
  <si>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</si>
  <si>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</si>
  <si>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</si>
  <si>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</si>
  <si>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</si>
  <si>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</si>
  <si>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</si>
  <si>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</si>
  <si>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</si>
  <si>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</si>
  <si>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</si>
  <si>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</si>
  <si>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</si>
  <si>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</si>
  <si>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</si>
  <si>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</si>
  <si>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</si>
  <si>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</si>
  <si>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</si>
  <si>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</si>
  <si>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</si>
  <si>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</si>
  <si>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</si>
  <si>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</si>
  <si>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</si>
  <si>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</si>
  <si>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</si>
  <si>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</si>
  <si>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</si>
  <si>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</si>
  <si>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</si>
  <si>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</si>
  <si>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</si>
  <si>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</si>
  <si>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</si>
  <si>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</si>
  <si>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</si>
  <si>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</si>
  <si>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</si>
  <si>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</si>
  <si>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</si>
  <si>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</si>
  <si>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</si>
  <si>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</si>
  <si>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</si>
  <si>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</si>
  <si>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</si>
  <si>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</si>
  <si>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</si>
  <si>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</si>
  <si>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</si>
  <si>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</si>
  <si>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</si>
  <si>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</si>
  <si>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</si>
  <si>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</si>
  <si>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</si>
  <si>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</si>
  <si>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</si>
  <si>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</si>
  <si>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</si>
  <si>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</si>
  <si>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</si>
  <si>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</si>
  <si>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</si>
  <si>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</si>
  <si>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</si>
  <si>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</si>
  <si>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</si>
  <si>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</si>
  <si>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</si>
  <si>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</si>
  <si>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</si>
  <si>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</si>
  <si>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</si>
  <si>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</si>
  <si>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</si>
  <si>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</si>
  <si>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</si>
  <si>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</si>
  <si>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</si>
  <si>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</si>
  <si>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</si>
  <si>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</si>
  <si>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</si>
  <si>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</si>
  <si>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</si>
  <si>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</si>
  <si>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</si>
  <si>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</si>
  <si>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</si>
  <si>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</si>
  <si>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</si>
  <si>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</si>
  <si>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</si>
  <si>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</si>
  <si>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</si>
  <si>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</si>
  <si>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</si>
  <si>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</si>
  <si>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</si>
  <si>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</si>
  <si>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</si>
  <si>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</si>
  <si>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</si>
  <si>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</si>
  <si>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</si>
  <si>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</si>
  <si>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</si>
  <si>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</si>
  <si>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</si>
  <si>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</si>
  <si>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</si>
  <si>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</si>
  <si>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</si>
  <si>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</si>
  <si>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</si>
  <si>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</si>
  <si>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</si>
  <si>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</si>
  <si>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</si>
  <si>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</si>
  <si>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</si>
  <si>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</si>
  <si>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</si>
  <si>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</si>
  <si>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</si>
  <si>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</si>
  <si>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</si>
  <si>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</si>
  <si>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</si>
  <si>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</si>
  <si>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</si>
  <si>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</si>
  <si>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</si>
  <si>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</si>
  <si>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</si>
  <si>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</si>
  <si>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</si>
  <si>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</si>
  <si>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</si>
  <si>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</si>
  <si>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</si>
  <si>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</si>
  <si>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</si>
  <si>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</si>
  <si>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</si>
  <si>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</si>
  <si>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</si>
  <si>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</si>
  <si>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</si>
  <si>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</si>
  <si>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</si>
  <si>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</si>
  <si>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</si>
  <si>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</si>
  <si>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</si>
  <si>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</si>
  <si>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</si>
  <si>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</si>
  <si>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</si>
  <si>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</si>
  <si>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</si>
  <si>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</si>
  <si>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</si>
  <si>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</si>
  <si>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</si>
  <si>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</si>
  <si>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</si>
  <si>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</si>
  <si>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</si>
  <si>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</si>
  <si>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</si>
  <si>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</si>
  <si>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</si>
  <si>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</si>
  <si>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</si>
  <si>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</si>
  <si>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</si>
  <si>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</si>
  <si>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</si>
  <si>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</si>
  <si>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</si>
  <si>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</si>
  <si>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</si>
  <si>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</si>
  <si>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</si>
  <si>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</si>
  <si>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</si>
  <si>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</si>
  <si>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</si>
  <si>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</si>
  <si>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</si>
  <si>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</si>
  <si>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</si>
  <si>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</si>
  <si>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</si>
  <si>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</si>
  <si>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</si>
  <si>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</si>
  <si>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</si>
  <si>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</si>
  <si>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</si>
  <si>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</si>
  <si>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</si>
  <si>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</si>
  <si>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</si>
  <si>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</si>
  <si>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</si>
  <si>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</si>
  <si>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</si>
  <si>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</si>
  <si>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</si>
  <si>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</si>
  <si>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</si>
  <si>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</si>
  <si>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</si>
  <si>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</si>
  <si>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</si>
  <si>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</si>
  <si>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</si>
  <si>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</si>
  <si>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</si>
  <si>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</si>
  <si>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</si>
  <si>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</si>
  <si>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</si>
  <si>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</si>
  <si>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</si>
  <si>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</si>
  <si>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</si>
  <si>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</si>
  <si>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</si>
  <si>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</si>
  <si>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</si>
  <si>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</si>
  <si>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</si>
  <si>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</si>
  <si>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</si>
  <si>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</si>
  <si>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</si>
  <si>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</si>
  <si>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</si>
  <si>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</si>
  <si>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</si>
  <si>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</si>
  <si>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</si>
  <si>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</si>
  <si>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</si>
  <si>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</si>
  <si>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</si>
  <si>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</si>
  <si>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</si>
  <si>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</si>
  <si>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</si>
  <si>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</si>
  <si>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</si>
  <si>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</si>
  <si>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</si>
  <si>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</si>
  <si>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</si>
  <si>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</si>
  <si>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</si>
  <si>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</si>
  <si>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</si>
  <si>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</si>
  <si>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</si>
  <si>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</si>
  <si>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</si>
  <si>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</si>
  <si>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</si>
  <si>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</si>
  <si>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</si>
  <si>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</si>
  <si>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</si>
  <si>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</si>
  <si>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</si>
  <si>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</si>
  <si>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</si>
  <si>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</si>
  <si>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</si>
  <si>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</si>
  <si>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</si>
  <si>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</si>
  <si>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</si>
  <si>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</si>
  <si>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</si>
  <si>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</si>
  <si>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</si>
  <si>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</si>
  <si>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</si>
  <si>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</si>
  <si>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</si>
  <si>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</si>
  <si>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</si>
  <si>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</si>
  <si>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</si>
  <si>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</si>
  <si>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</si>
  <si>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</si>
  <si>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</si>
  <si>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</si>
  <si>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</si>
  <si>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</si>
  <si>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</si>
  <si>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</si>
  <si>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</si>
  <si>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</si>
  <si>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</si>
  <si>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</si>
  <si>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</si>
  <si>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</si>
  <si>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</si>
  <si>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</si>
  <si>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</si>
  <si>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</si>
  <si>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</si>
  <si>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</si>
  <si>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</si>
  <si>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</si>
  <si>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</si>
  <si>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</si>
  <si>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</si>
  <si>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</si>
  <si>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</si>
  <si>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</si>
  <si>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</si>
  <si>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</si>
  <si>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</si>
  <si>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</si>
  <si>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</si>
  <si>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</si>
  <si>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</si>
  <si>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</si>
  <si>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</si>
  <si>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</si>
  <si>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</si>
  <si>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</si>
  <si>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</si>
  <si>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</si>
  <si>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</si>
  <si>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</si>
  <si>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</si>
  <si>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</si>
  <si>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</si>
  <si>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</si>
  <si>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</si>
  <si>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</si>
  <si>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</si>
  <si>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</si>
  <si>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</si>
  <si>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</si>
  <si>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</si>
  <si>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</si>
  <si>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</si>
  <si>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</si>
  <si>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</si>
  <si>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</si>
  <si>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</si>
  <si>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</si>
  <si>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</si>
  <si>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</si>
  <si>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</si>
  <si>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</si>
  <si>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</si>
  <si>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</si>
  <si>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</si>
  <si>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</si>
  <si>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</si>
  <si>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</si>
  <si>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</si>
  <si>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</si>
  <si>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</si>
  <si>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</si>
  <si>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</si>
  <si>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</si>
  <si>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</si>
  <si>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</si>
  <si>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</si>
  <si>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</si>
  <si>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</si>
  <si>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</si>
  <si>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</si>
  <si>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</si>
  <si>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</si>
  <si>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</si>
  <si>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</si>
  <si>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</si>
  <si>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</si>
  <si>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</si>
  <si>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</si>
  <si>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</si>
  <si>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</si>
  <si>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</si>
  <si>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</si>
  <si>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</si>
  <si>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</si>
  <si>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</si>
  <si>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</si>
  <si>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</si>
  <si>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</si>
  <si>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</si>
  <si>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</si>
  <si>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</si>
  <si>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</si>
  <si>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</si>
  <si>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</si>
  <si>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</si>
  <si>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</si>
  <si>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</si>
  <si>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</si>
  <si>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</si>
  <si>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</si>
  <si>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</si>
  <si>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</si>
  <si>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</si>
  <si>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</si>
  <si>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</si>
  <si>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</si>
  <si>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</si>
  <si>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</si>
  <si>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</si>
  <si>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</si>
  <si>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</si>
  <si>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</si>
  <si>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</si>
  <si>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</si>
  <si>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</si>
  <si>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</si>
  <si>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</si>
  <si>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</si>
  <si>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</si>
  <si>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</si>
  <si>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</si>
  <si>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</si>
  <si>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</si>
  <si>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</si>
  <si>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</si>
  <si>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</si>
  <si>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</si>
  <si>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</si>
  <si>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</si>
  <si>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</si>
  <si>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</si>
  <si>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</si>
  <si>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</si>
  <si>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</si>
  <si>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</si>
  <si>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</si>
  <si>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</si>
  <si>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</si>
  <si>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</si>
  <si>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</si>
  <si>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</si>
  <si>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</si>
  <si>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</si>
  <si>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</si>
  <si>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</si>
  <si>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</si>
  <si>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</si>
  <si>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</si>
  <si>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</si>
  <si>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</si>
  <si>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</si>
  <si>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</si>
  <si>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</si>
  <si>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</si>
  <si>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</si>
  <si>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</si>
  <si>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</si>
  <si>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</si>
  <si>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</si>
  <si>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</si>
  <si>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</si>
  <si>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</si>
  <si>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</si>
  <si>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</si>
  <si>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</si>
  <si>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</si>
  <si>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</si>
  <si>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</si>
  <si>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</si>
  <si>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</si>
  <si>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</si>
  <si>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</si>
  <si>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</si>
  <si>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</si>
  <si>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</si>
  <si>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</si>
  <si>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</si>
  <si>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</si>
  <si>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</si>
  <si>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</si>
  <si>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</si>
  <si>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</si>
  <si>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</si>
  <si>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</si>
  <si>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</si>
  <si>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</si>
  <si>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</si>
  <si>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</si>
  <si>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</si>
  <si>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</si>
  <si>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</si>
  <si>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</si>
  <si>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</si>
  <si>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</si>
  <si>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</si>
  <si>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</si>
  <si>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</si>
  <si>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</si>
  <si>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</si>
  <si>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</si>
  <si>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</si>
  <si>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</si>
  <si>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</si>
  <si>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</si>
  <si>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</si>
  <si>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</si>
  <si>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</si>
  <si>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</si>
  <si>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</si>
  <si>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</si>
  <si>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</si>
  <si>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</si>
  <si>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</si>
  <si>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</si>
  <si>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</si>
  <si>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</si>
  <si>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</si>
  <si>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</si>
  <si>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</si>
  <si>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</si>
  <si>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</si>
  <si>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</si>
  <si>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</si>
  <si>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</si>
  <si>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</si>
  <si>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</si>
  <si>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</si>
  <si>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</si>
  <si>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</si>
  <si>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</si>
  <si>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</si>
  <si>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</si>
  <si>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</si>
  <si>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</si>
  <si>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</si>
  <si>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</si>
  <si>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</si>
  <si>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</si>
  <si>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</si>
  <si>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</si>
  <si>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</si>
  <si>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</si>
  <si>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</si>
  <si>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</si>
  <si>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</si>
  <si>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</si>
  <si>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</si>
  <si>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</si>
  <si>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</si>
  <si>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</si>
  <si>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</si>
  <si>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</si>
  <si>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</si>
  <si>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</si>
  <si>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</si>
  <si>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</si>
  <si>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</si>
  <si>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</si>
  <si>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</si>
  <si>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</si>
  <si>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</si>
  <si>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</si>
  <si>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</si>
  <si>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</si>
  <si>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</si>
  <si>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</si>
  <si>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</si>
  <si>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</si>
  <si>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</si>
  <si>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</si>
  <si>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</si>
  <si>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</si>
  <si>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</si>
  <si>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</si>
  <si>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</si>
  <si>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</si>
  <si>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</si>
  <si>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</si>
  <si>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</si>
  <si>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</si>
  <si>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</si>
  <si>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</si>
  <si>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</si>
  <si>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</si>
  <si>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</si>
  <si>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</si>
  <si>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</si>
  <si>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</si>
  <si>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</si>
  <si>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</si>
  <si>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</si>
  <si>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</si>
  <si>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</si>
  <si>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</si>
  <si>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</si>
  <si>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</si>
  <si>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</si>
  <si>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</si>
  <si>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</si>
  <si>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</si>
  <si>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</si>
  <si>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</si>
  <si>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</si>
  <si>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</si>
  <si>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</si>
  <si>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</si>
  <si>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</si>
  <si>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</si>
  <si>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</si>
  <si>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</si>
  <si>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</si>
  <si>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</si>
  <si>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</si>
  <si>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</si>
  <si>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</si>
  <si>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</si>
  <si>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</si>
  <si>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</si>
  <si>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</si>
  <si>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</si>
  <si>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</si>
  <si>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</si>
  <si>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</si>
  <si>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</si>
  <si>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</si>
  <si>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</si>
  <si>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</si>
  <si>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</si>
  <si>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</si>
  <si>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</si>
  <si>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</si>
  <si>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</si>
  <si>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</si>
  <si>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</si>
  <si>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</si>
  <si>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</si>
  <si>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</si>
  <si>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</si>
  <si>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</si>
  <si>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</si>
  <si>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</si>
  <si>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</si>
  <si>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</si>
  <si>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</si>
  <si>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</si>
  <si>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</si>
  <si>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</si>
  <si>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</si>
  <si>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</si>
  <si>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</si>
  <si>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</si>
  <si>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</si>
  <si>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</si>
  <si>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</si>
  <si>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</si>
  <si>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</si>
  <si>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</si>
  <si>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</si>
  <si>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</si>
  <si>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</si>
  <si>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</si>
  <si>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</si>
  <si>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</si>
  <si>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</si>
  <si>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</si>
  <si>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</si>
  <si>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</si>
  <si>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</si>
  <si>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</si>
  <si>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</si>
  <si>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</si>
  <si>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</si>
  <si>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</si>
  <si>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</si>
  <si>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</si>
  <si>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</si>
  <si>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</si>
  <si>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</si>
  <si>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</si>
  <si>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</si>
  <si>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</si>
  <si>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</si>
  <si>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</si>
  <si>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</si>
  <si>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</si>
  <si>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</si>
  <si>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</si>
  <si>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</si>
  <si>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</si>
  <si>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</si>
  <si>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</si>
  <si>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</si>
  <si>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</si>
  <si>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</si>
  <si>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</si>
  <si>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</si>
  <si>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</si>
  <si>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</si>
  <si>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</si>
  <si>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</si>
  <si>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</si>
  <si>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</si>
  <si>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</si>
  <si>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</si>
  <si>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</si>
  <si>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</si>
  <si>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</si>
  <si>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</si>
  <si>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</si>
  <si>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</si>
  <si>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</si>
  <si>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</si>
  <si>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</si>
  <si>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</si>
  <si>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</si>
  <si>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</si>
  <si>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</si>
  <si>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</si>
  <si>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</si>
  <si>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</si>
  <si>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</si>
  <si>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</si>
  <si>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</si>
  <si>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</si>
  <si>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</si>
  <si>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</si>
  <si>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</si>
  <si>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</si>
  <si>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</si>
  <si>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</si>
  <si>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</si>
  <si>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</si>
  <si>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</si>
  <si>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</si>
  <si>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</si>
  <si>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</si>
  <si>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</si>
  <si>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</si>
  <si>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</si>
  <si>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</si>
  <si>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</si>
  <si>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</si>
  <si>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</si>
  <si>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</si>
  <si>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</si>
  <si>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</si>
  <si>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</si>
  <si>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</si>
  <si>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</si>
  <si>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</si>
  <si>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</si>
  <si>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</si>
  <si>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</si>
  <si>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</si>
  <si>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</si>
  <si>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</si>
  <si>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</si>
  <si>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</si>
  <si>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</si>
  <si>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</si>
  <si>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</si>
  <si>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</si>
  <si>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</si>
  <si>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</si>
  <si>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</si>
  <si>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</si>
  <si>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</si>
  <si>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</si>
  <si>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</si>
  <si>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</si>
  <si>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</si>
  <si>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</si>
  <si>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</si>
  <si>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</si>
  <si>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</si>
  <si>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</si>
  <si>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</si>
  <si>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</si>
  <si>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</si>
  <si>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</si>
  <si>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</si>
  <si>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</si>
  <si>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</si>
  <si>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</si>
  <si>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</si>
  <si>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</si>
  <si>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</si>
  <si>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</si>
  <si>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</si>
  <si>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</si>
  <si>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</si>
  <si>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</si>
  <si>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</si>
  <si>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</si>
  <si>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</si>
  <si>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</si>
  <si>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</si>
  <si>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</si>
  <si>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</si>
  <si>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</si>
  <si>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</si>
  <si>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</si>
  <si>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</si>
  <si>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</si>
  <si>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</si>
  <si>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</si>
  <si>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</si>
  <si>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</si>
  <si>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</si>
  <si>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</si>
  <si>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</si>
  <si>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</si>
  <si>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</si>
  <si>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</si>
  <si>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</si>
  <si>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</si>
  <si>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</si>
  <si>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</si>
  <si>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</si>
  <si>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</si>
  <si>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</si>
  <si>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</si>
  <si>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</si>
  <si>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</si>
  <si>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</si>
  <si>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</si>
  <si>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</si>
  <si>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</si>
  <si>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</si>
  <si>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</si>
  <si>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</si>
  <si>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</si>
  <si>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</si>
  <si>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</si>
  <si>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</si>
  <si>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</si>
  <si>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</si>
  <si>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</si>
  <si>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</si>
  <si>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</si>
  <si>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</si>
  <si>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</si>
  <si>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</si>
  <si>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</si>
  <si>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</si>
  <si>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</si>
  <si>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</si>
  <si>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</si>
  <si>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</si>
  <si>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</si>
  <si>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</si>
  <si>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</si>
  <si>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</si>
  <si>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</si>
  <si>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</si>
  <si>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</si>
  <si>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</si>
  <si>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</si>
  <si>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</si>
  <si>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</si>
  <si>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</si>
  <si>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</si>
  <si>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</si>
  <si>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</si>
  <si>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</si>
  <si>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</si>
  <si>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</si>
  <si>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</si>
  <si>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</si>
  <si>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</si>
  <si>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</si>
  <si>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</si>
  <si>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</si>
  <si>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</si>
  <si>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</si>
  <si>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</si>
  <si>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</si>
  <si>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</si>
  <si>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</si>
  <si>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</si>
  <si>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</si>
  <si>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</si>
  <si>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</si>
  <si>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</si>
  <si>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</si>
  <si>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</si>
  <si>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</si>
  <si>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</si>
  <si>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</si>
  <si>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</si>
  <si>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</si>
  <si>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</si>
  <si>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</si>
  <si>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</si>
  <si>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</si>
  <si>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</si>
  <si>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</si>
  <si>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</si>
  <si>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</si>
  <si>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</si>
  <si>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</si>
  <si>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</si>
  <si>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</si>
  <si>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</si>
  <si>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</si>
  <si>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</si>
  <si>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</si>
  <si>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</si>
  <si>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</si>
  <si>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</si>
  <si>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</si>
  <si>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</si>
  <si>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</si>
  <si>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</si>
  <si>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</si>
  <si>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</si>
  <si>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</si>
  <si>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</si>
  <si>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</si>
  <si>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</si>
  <si>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</si>
  <si>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</si>
  <si>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</si>
  <si>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</si>
  <si>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</si>
  <si>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</si>
  <si>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</si>
  <si>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</si>
  <si>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</si>
  <si>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</si>
  <si>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</si>
  <si>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</si>
  <si>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</si>
  <si>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</si>
  <si>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</si>
  <si>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</si>
  <si>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</si>
  <si>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</si>
  <si>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</si>
  <si>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</si>
  <si>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</si>
  <si>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</si>
  <si>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</si>
  <si>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</si>
  <si>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</si>
  <si>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</si>
  <si>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</si>
  <si>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</si>
  <si>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</si>
  <si>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</si>
  <si>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</si>
  <si>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</si>
  <si>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</si>
  <si>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</si>
  <si>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</si>
  <si>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</si>
  <si>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</si>
  <si>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</si>
  <si>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</si>
  <si>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</si>
  <si>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</si>
  <si>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</si>
  <si>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</si>
  <si>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</si>
  <si>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</si>
  <si>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</si>
  <si>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</si>
  <si>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</si>
  <si>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</si>
  <si>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</si>
  <si>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</si>
  <si>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</si>
  <si>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</si>
  <si>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</si>
  <si>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</si>
  <si>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</si>
  <si>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</si>
  <si>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</si>
  <si>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</si>
  <si>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</si>
  <si>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</si>
  <si>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</si>
  <si>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</si>
  <si>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</si>
  <si>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</si>
  <si>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</si>
  <si>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</si>
  <si>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</si>
  <si>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</si>
  <si>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</si>
  <si>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</si>
  <si>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</si>
  <si>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</si>
  <si>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</si>
  <si>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</si>
  <si>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</si>
  <si>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</si>
  <si>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</si>
  <si>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</si>
  <si>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</si>
  <si>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</si>
  <si>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</si>
  <si>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</si>
  <si>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</si>
  <si>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</si>
  <si>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</si>
  <si>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</si>
  <si>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</si>
  <si>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</si>
  <si>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</si>
  <si>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</si>
  <si>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</si>
  <si>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</si>
  <si>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</si>
  <si>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</si>
  <si>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</si>
  <si>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</si>
  <si>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</si>
  <si>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</si>
  <si>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</si>
  <si>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</si>
  <si>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</si>
  <si>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</si>
  <si>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</si>
  <si>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</si>
  <si>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</si>
  <si>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</si>
  <si>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</si>
  <si>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</si>
  <si>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</si>
  <si>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</si>
  <si>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</si>
  <si>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</si>
  <si>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</si>
  <si>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</si>
  <si>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</si>
  <si>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</si>
  <si>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</si>
  <si>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</si>
  <si>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</si>
  <si>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</si>
  <si>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</si>
  <si>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</si>
  <si>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</si>
  <si>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</si>
  <si>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</si>
  <si>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</si>
  <si>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</si>
  <si>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</si>
  <si>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</si>
  <si>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</si>
  <si>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</si>
  <si>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</si>
  <si>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</si>
  <si>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</si>
  <si>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</si>
  <si>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</si>
  <si>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</si>
  <si>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</si>
  <si>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</si>
  <si>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</si>
  <si>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</si>
  <si>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</si>
  <si>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</si>
  <si>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</si>
  <si>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</si>
  <si>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</si>
  <si>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</si>
  <si>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</si>
  <si>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</si>
  <si>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</si>
  <si>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</si>
  <si>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</si>
  <si>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</si>
  <si>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</si>
  <si>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</si>
  <si>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</si>
  <si>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</si>
  <si>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</si>
  <si>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</si>
  <si>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</si>
  <si>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</si>
  <si>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</si>
  <si>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</si>
  <si>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</si>
  <si>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</si>
  <si>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</si>
  <si>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</si>
  <si>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</si>
  <si>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</si>
  <si>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</si>
  <si>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</si>
  <si>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</si>
  <si>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</si>
  <si>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</si>
  <si>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</si>
  <si>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</si>
  <si>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</si>
  <si>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</si>
  <si>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</si>
  <si>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</si>
  <si>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</si>
  <si>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</si>
  <si>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</si>
  <si>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</si>
  <si>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</si>
  <si>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</si>
  <si>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</si>
  <si>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</si>
  <si>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</si>
  <si>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</si>
  <si>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</si>
  <si>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</si>
  <si>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</si>
  <si>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</si>
  <si>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</si>
  <si>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</si>
  <si>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</si>
  <si>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</si>
  <si>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</si>
  <si>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</si>
  <si>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</si>
  <si>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</si>
  <si>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</si>
  <si>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</si>
  <si>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</si>
  <si>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</si>
  <si>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</si>
  <si>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</si>
  <si>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</si>
  <si>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</si>
  <si>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</si>
  <si>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</si>
  <si>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</si>
  <si>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</si>
  <si>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</si>
  <si>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</si>
  <si>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</si>
  <si>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</si>
  <si>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</si>
  <si>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</si>
  <si>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</si>
  <si>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</si>
  <si>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</si>
  <si>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</si>
  <si>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</si>
  <si>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</si>
  <si>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</si>
  <si>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</si>
  <si>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</si>
  <si>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</si>
  <si>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</si>
  <si>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</si>
  <si>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</si>
  <si>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</si>
  <si>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</si>
  <si>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</si>
  <si>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</si>
  <si>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</si>
  <si>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</si>
  <si>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</si>
  <si>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</si>
  <si>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</si>
  <si>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</si>
  <si>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</si>
  <si>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</si>
  <si>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</si>
  <si>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</si>
  <si>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</si>
  <si>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</si>
  <si>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</si>
  <si>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</si>
  <si>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</si>
  <si>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</si>
  <si>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</si>
  <si>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</si>
  <si>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</si>
  <si>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</si>
  <si>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</si>
  <si>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</si>
  <si>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</si>
  <si>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</si>
  <si>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</si>
  <si>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</si>
  <si>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</si>
  <si>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</si>
  <si>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</si>
  <si>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</si>
  <si>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</si>
  <si>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</si>
  <si>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</si>
  <si>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</si>
  <si>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</si>
  <si>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</si>
  <si>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</si>
  <si>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</si>
  <si>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</si>
  <si>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</si>
  <si>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</si>
  <si>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</si>
  <si>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</si>
  <si>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</si>
  <si>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</si>
  <si>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</si>
  <si>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</si>
  <si>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</si>
  <si>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</si>
  <si>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</si>
  <si>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</si>
  <si>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</si>
  <si>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</si>
  <si>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</si>
  <si>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</si>
  <si>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</si>
  <si>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</si>
  <si>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</si>
  <si>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</si>
  <si>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</si>
  <si>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</si>
  <si>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</si>
  <si>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</si>
  <si>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</si>
  <si>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</si>
  <si>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</si>
  <si>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</si>
  <si>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</si>
  <si>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</si>
  <si>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</si>
  <si>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</si>
  <si>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</si>
  <si>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</si>
  <si>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</si>
  <si>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</si>
  <si>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</si>
  <si>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</si>
  <si>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</si>
  <si>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</si>
  <si>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</si>
  <si>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</si>
  <si>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</si>
  <si>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</si>
  <si>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</si>
  <si>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</si>
  <si>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</si>
  <si>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</si>
  <si>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</si>
  <si>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</si>
  <si>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</si>
  <si>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</si>
  <si>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</si>
  <si>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</si>
  <si>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</si>
  <si>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</si>
  <si>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</si>
  <si>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</si>
  <si>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</si>
  <si>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</si>
  <si>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</si>
  <si>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</si>
  <si>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</si>
  <si>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</si>
  <si>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</si>
  <si>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</si>
  <si>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</si>
  <si>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</si>
  <si>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</si>
  <si>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</si>
  <si>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</si>
  <si>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</si>
  <si>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</si>
  <si>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</si>
  <si>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</si>
  <si>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</si>
  <si>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</si>
  <si>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</si>
  <si>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</si>
  <si>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</si>
  <si>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</si>
  <si>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</si>
  <si>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</si>
  <si>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</si>
  <si>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</si>
  <si>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</si>
  <si>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</si>
  <si>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</si>
  <si>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</si>
  <si>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</si>
  <si>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</si>
  <si>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</si>
  <si>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</si>
  <si>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</si>
  <si>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</si>
  <si>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</si>
  <si>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</si>
  <si>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</si>
  <si>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</si>
  <si>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</si>
  <si>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</si>
  <si>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</si>
  <si>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</si>
  <si>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</si>
  <si>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</si>
  <si>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</si>
  <si>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</si>
  <si>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</si>
  <si>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</si>
  <si>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</si>
  <si>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</si>
  <si>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</si>
  <si>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</si>
  <si>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</si>
  <si>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</si>
  <si>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</si>
  <si>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</si>
  <si>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</si>
  <si>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</si>
  <si>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</si>
  <si>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</si>
  <si>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</si>
  <si>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</si>
  <si>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</si>
  <si>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</si>
  <si>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</si>
  <si>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</si>
  <si>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</si>
  <si>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</si>
  <si>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</si>
  <si>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</si>
  <si>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</si>
  <si>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</si>
  <si>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</si>
  <si>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</si>
  <si>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</si>
  <si>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</si>
  <si>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</si>
  <si>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</si>
  <si>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</si>
  <si>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</si>
  <si>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</si>
  <si>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</si>
  <si>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</si>
  <si>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</si>
  <si>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</si>
  <si>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</si>
  <si>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</si>
  <si>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</si>
  <si>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</si>
  <si>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</si>
  <si>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</si>
  <si>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</si>
  <si>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</si>
  <si>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</si>
  <si>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</si>
  <si>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</si>
  <si>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</si>
  <si>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</si>
  <si>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</si>
  <si>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</si>
  <si>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</si>
  <si>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</si>
  <si>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</si>
  <si>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</si>
  <si>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</si>
  <si>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</si>
  <si>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</si>
  <si>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</si>
  <si>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</si>
  <si>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</si>
  <si>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</si>
  <si>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</si>
  <si>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</si>
  <si>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</si>
  <si>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</si>
  <si>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</si>
  <si>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</si>
  <si>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</si>
  <si>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</si>
  <si>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</si>
  <si>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</si>
  <si>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</si>
  <si>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</si>
  <si>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</si>
  <si>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</si>
  <si>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</si>
  <si>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</si>
  <si>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</si>
  <si>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</si>
  <si>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</si>
  <si>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</si>
  <si>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</si>
  <si>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</si>
  <si>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</si>
  <si>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</si>
  <si>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</si>
  <si>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</si>
  <si>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</si>
  <si>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</si>
  <si>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</si>
  <si>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</si>
  <si>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</si>
  <si>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</si>
  <si>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</si>
  <si>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</si>
  <si>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</si>
  <si>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</si>
  <si>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</si>
  <si>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</si>
  <si>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</si>
  <si>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</si>
  <si>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</si>
  <si>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</si>
  <si>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</si>
  <si>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</si>
  <si>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</si>
  <si>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</si>
  <si>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</si>
  <si>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</si>
  <si>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</si>
  <si>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</si>
  <si>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</si>
  <si>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</si>
  <si>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</si>
  <si>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</si>
  <si>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</si>
  <si>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</si>
  <si>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</si>
  <si>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</si>
  <si>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</si>
  <si>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</si>
  <si>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</si>
  <si>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</si>
  <si>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</si>
  <si>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</si>
  <si>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</si>
  <si>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</si>
  <si>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</si>
  <si>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</si>
  <si>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</si>
  <si>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</si>
  <si>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</si>
  <si>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</si>
  <si>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</si>
  <si>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</si>
  <si>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</si>
  <si>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</si>
  <si>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</si>
  <si>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</si>
  <si>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</si>
  <si>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</si>
  <si>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</si>
  <si>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</si>
  <si>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</si>
  <si>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</si>
  <si>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</si>
  <si>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</si>
  <si>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</si>
  <si>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</si>
  <si>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</si>
  <si>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</si>
  <si>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</si>
  <si>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</si>
  <si>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</si>
  <si>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</si>
  <si>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</si>
  <si>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</si>
  <si>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</si>
  <si>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</si>
  <si>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</si>
  <si>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</si>
  <si>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</si>
  <si>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</si>
  <si>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</si>
  <si>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</si>
  <si>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</si>
  <si>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</si>
  <si>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</si>
  <si>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</si>
  <si>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</si>
  <si>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</si>
  <si>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</si>
  <si>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</si>
  <si>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</si>
  <si>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</si>
  <si>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</si>
  <si>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</si>
  <si>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</si>
  <si>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</si>
  <si>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</si>
  <si>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</si>
  <si>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</si>
  <si>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</si>
  <si>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</si>
  <si>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</si>
  <si>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</si>
  <si>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</si>
  <si>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</si>
  <si>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</si>
  <si>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</si>
  <si>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</si>
  <si>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</si>
  <si>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</si>
  <si>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</si>
  <si>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</si>
  <si>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</si>
  <si>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</si>
  <si>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</si>
  <si>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</si>
  <si>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</si>
  <si>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</si>
  <si>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</si>
  <si>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</si>
  <si>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</si>
  <si>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</si>
  <si>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</si>
  <si>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</si>
  <si>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</si>
  <si>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</si>
  <si>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</si>
  <si>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</si>
  <si>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</si>
  <si>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</si>
  <si>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</si>
  <si>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</si>
  <si>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</si>
  <si>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</si>
  <si>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</si>
  <si>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</si>
  <si>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</si>
  <si>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</si>
  <si>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</si>
  <si>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</si>
  <si>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</si>
  <si>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</si>
  <si>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</si>
  <si>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</si>
  <si>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</si>
  <si>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</si>
  <si>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</si>
  <si>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</si>
  <si>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</si>
  <si>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</si>
  <si>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</si>
  <si>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</si>
  <si>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</si>
  <si>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</si>
  <si>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</si>
  <si>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</si>
  <si>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</si>
  <si>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</si>
  <si>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</si>
  <si>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</si>
  <si>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</si>
  <si>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</si>
  <si>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</si>
  <si>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</si>
  <si>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</si>
  <si>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</si>
  <si>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</si>
  <si>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</si>
  <si>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</si>
  <si>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</si>
  <si>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</si>
  <si>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</si>
  <si>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</si>
  <si>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</si>
  <si>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</si>
  <si>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</si>
  <si>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</si>
  <si>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</si>
  <si>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</si>
  <si>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</si>
  <si>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</si>
  <si>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</si>
  <si>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</si>
  <si>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</si>
  <si>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</si>
  <si>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</si>
  <si>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</si>
  <si>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</si>
  <si>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</si>
  <si>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</si>
  <si>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</si>
  <si>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</si>
  <si>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</si>
  <si>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</si>
  <si>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</si>
  <si>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</si>
  <si>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</si>
  <si>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</si>
  <si>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</si>
  <si>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</si>
  <si>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</si>
  <si>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</si>
  <si>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</si>
  <si>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</si>
  <si>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</si>
  <si>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</si>
  <si>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</si>
  <si>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</si>
  <si>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</si>
  <si>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</si>
  <si>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</si>
  <si>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</si>
  <si>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</si>
  <si>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</si>
  <si>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</si>
  <si>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</si>
  <si>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</si>
  <si>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</si>
  <si>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</si>
  <si>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</si>
  <si>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</si>
  <si>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</si>
  <si>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</si>
  <si>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</si>
  <si>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</si>
  <si>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</si>
  <si>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</si>
  <si>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</si>
  <si>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</si>
  <si>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</si>
  <si>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</si>
  <si>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</si>
  <si>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</si>
  <si>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</si>
  <si>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</si>
  <si>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</si>
  <si>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</si>
  <si>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</si>
  <si>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</si>
  <si>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</si>
  <si>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</si>
  <si>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</si>
  <si>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</si>
  <si>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</si>
  <si>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</si>
  <si>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</si>
  <si>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</si>
  <si>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</si>
  <si>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</si>
  <si>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</si>
  <si>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</si>
  <si>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</si>
  <si>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</si>
  <si>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</si>
  <si>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</si>
  <si>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</si>
  <si>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</si>
  <si>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</si>
  <si>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</si>
  <si>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</si>
  <si>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</si>
  <si>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</si>
  <si>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</si>
  <si>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</si>
  <si>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</si>
  <si>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</si>
  <si>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</si>
  <si>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</si>
  <si>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</si>
  <si>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</si>
  <si>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</si>
  <si>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</si>
  <si>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</si>
  <si>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</si>
  <si>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</si>
  <si>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</si>
  <si>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</si>
  <si>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</si>
  <si>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</si>
  <si>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</si>
  <si>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</si>
  <si>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</si>
  <si>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</si>
  <si>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</si>
  <si>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</si>
  <si>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</si>
  <si>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</si>
  <si>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</si>
  <si>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</si>
  <si>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</si>
  <si>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</si>
  <si>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</si>
  <si>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</si>
  <si>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</si>
  <si>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</si>
  <si>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</si>
  <si>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</si>
  <si>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</si>
  <si>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</si>
  <si>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</si>
  <si>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</si>
  <si>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</si>
  <si>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</si>
  <si>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</si>
  <si>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</si>
  <si>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</si>
  <si>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</si>
  <si>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</si>
  <si>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</si>
  <si>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</si>
  <si>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</si>
  <si>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</si>
  <si>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</si>
  <si>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</si>
  <si>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</si>
  <si>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</si>
  <si>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</si>
  <si>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</si>
  <si>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</si>
  <si>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</si>
  <si>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</si>
  <si>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</si>
  <si>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</si>
  <si>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</si>
  <si>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</si>
  <si>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</si>
  <si>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</si>
  <si>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</si>
  <si>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</si>
  <si>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</si>
  <si>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</si>
  <si>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</si>
  <si>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</si>
  <si>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</si>
  <si>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</si>
  <si>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</si>
  <si>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</si>
  <si>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</si>
  <si>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</si>
  <si>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</si>
  <si>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</si>
  <si>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</si>
  <si>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</si>
  <si>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</si>
  <si>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</si>
  <si>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</si>
  <si>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</si>
  <si>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</si>
  <si>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</si>
  <si>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</si>
  <si>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</si>
  <si>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</si>
  <si>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</si>
  <si>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</si>
  <si>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</si>
  <si>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</si>
  <si>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</si>
  <si>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</si>
  <si>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</si>
  <si>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</si>
  <si>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</si>
  <si>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</si>
  <si>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</si>
  <si>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</si>
  <si>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</si>
  <si>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</si>
  <si>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</si>
  <si>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</si>
  <si>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</si>
  <si>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</si>
  <si>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</si>
  <si>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</si>
  <si>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</si>
  <si>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</si>
  <si>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</si>
  <si>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</si>
  <si>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</si>
  <si>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</si>
  <si>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</si>
  <si>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</si>
  <si>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</si>
  <si>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</si>
  <si>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</si>
  <si>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</si>
  <si>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</si>
  <si>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</si>
  <si>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</si>
  <si>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</si>
  <si>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</si>
  <si>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</si>
  <si>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</si>
  <si>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</si>
  <si>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</si>
  <si>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</si>
  <si>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</si>
  <si>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</si>
  <si>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</si>
  <si>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</si>
  <si>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</si>
  <si>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</si>
  <si>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</si>
  <si>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</si>
  <si>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</si>
  <si>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</si>
  <si>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</si>
  <si>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</si>
  <si>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</si>
  <si>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</si>
  <si>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</si>
  <si>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</si>
  <si>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</si>
  <si>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</si>
  <si>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</si>
  <si>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</si>
  <si>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</si>
  <si>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</si>
  <si>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</si>
  <si>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</si>
  <si>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</si>
  <si>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</si>
  <si>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</si>
  <si>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</si>
  <si>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</si>
  <si>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</si>
  <si>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</si>
  <si>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</si>
  <si>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</si>
  <si>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</si>
  <si>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</si>
  <si>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</si>
  <si>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</si>
  <si>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</si>
  <si>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</si>
  <si>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</si>
  <si>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</si>
  <si>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</si>
  <si>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</si>
  <si>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</si>
  <si>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</si>
  <si>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</si>
  <si>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</si>
  <si>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</si>
  <si>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</si>
  <si>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</si>
  <si>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</si>
  <si>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</si>
  <si>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</si>
  <si>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</si>
  <si>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</si>
  <si>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</si>
  <si>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</si>
  <si>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</si>
  <si>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</si>
  <si>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</si>
  <si>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</si>
  <si>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</si>
  <si>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</si>
  <si>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</si>
  <si>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</si>
  <si>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</si>
  <si>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</si>
  <si>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</si>
  <si>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</si>
  <si>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</si>
  <si>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</si>
  <si>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</si>
  <si>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</si>
  <si>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</si>
  <si>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</si>
  <si>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</si>
  <si>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</si>
  <si>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</si>
  <si>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</si>
  <si>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</si>
  <si>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</si>
  <si>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</si>
  <si>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</si>
  <si>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</si>
  <si>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</si>
  <si>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</si>
  <si>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</si>
  <si>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</si>
  <si>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</si>
  <si>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</si>
  <si>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</si>
  <si>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</si>
  <si>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</si>
  <si>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</si>
  <si>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</si>
  <si>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</si>
  <si>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</si>
  <si>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</si>
  <si>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</si>
  <si>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</si>
  <si>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</si>
  <si>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</si>
  <si>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</si>
  <si>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</si>
  <si>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</si>
  <si>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</si>
  <si>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</si>
  <si>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</si>
  <si>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</si>
  <si>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</si>
  <si>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</si>
  <si>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</si>
  <si>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</si>
  <si>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</si>
  <si>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</si>
  <si>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</si>
  <si>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</si>
  <si>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</si>
  <si>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</si>
  <si>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</si>
  <si>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</si>
  <si>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</si>
  <si>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</si>
  <si>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</si>
  <si>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</si>
  <si>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</si>
  <si>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</si>
  <si>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</si>
  <si>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</si>
  <si>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</si>
  <si>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</si>
  <si>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</si>
  <si>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</si>
  <si>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</si>
  <si>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</si>
  <si>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</si>
  <si>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</si>
  <si>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</si>
  <si>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</si>
  <si>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</si>
  <si>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</si>
  <si>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</si>
  <si>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</si>
  <si>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</si>
  <si>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</si>
  <si>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</si>
  <si>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</si>
  <si>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</si>
  <si>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</si>
  <si>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</si>
  <si>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</si>
  <si>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</si>
  <si>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</si>
  <si>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</si>
  <si>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</si>
  <si>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</si>
  <si>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</si>
  <si>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</si>
  <si>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</si>
  <si>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</si>
  <si>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</si>
  <si>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</si>
  <si>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</si>
  <si>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</si>
  <si>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</si>
  <si>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</si>
  <si>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</si>
  <si>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</si>
  <si>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</si>
  <si>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</si>
  <si>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</si>
  <si>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</si>
  <si>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</si>
  <si>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</si>
  <si>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</si>
  <si>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</si>
  <si>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</si>
  <si>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</si>
  <si>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</si>
  <si>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</si>
  <si>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</si>
  <si>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</si>
  <si>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</si>
  <si>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</si>
  <si>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</si>
  <si>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</si>
  <si>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</si>
  <si>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</si>
  <si>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</si>
  <si>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</si>
  <si>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</si>
  <si>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</si>
  <si>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</si>
  <si>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</si>
  <si>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</si>
  <si>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</si>
  <si>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</si>
  <si>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</si>
  <si>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</si>
  <si>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</si>
  <si>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</si>
  <si>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</si>
  <si>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</si>
  <si>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</si>
  <si>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</si>
  <si>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</si>
  <si>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</si>
  <si>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</si>
  <si>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</si>
  <si>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</si>
  <si>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</si>
  <si>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</si>
  <si>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</si>
  <si>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</si>
  <si>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</si>
  <si>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</si>
  <si>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</si>
  <si>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</si>
  <si>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</si>
  <si>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</si>
  <si>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</si>
  <si>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</si>
  <si>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</si>
  <si>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</si>
  <si>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</si>
  <si>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</si>
  <si>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</si>
  <si>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</si>
  <si>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</si>
  <si>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</si>
  <si>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</si>
  <si>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</si>
  <si>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</si>
  <si>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</si>
  <si>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</si>
  <si>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</si>
  <si>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</si>
  <si>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</si>
  <si>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</si>
  <si>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</si>
  <si>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</si>
  <si>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</si>
  <si>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</si>
  <si>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</si>
  <si>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</si>
  <si>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</si>
  <si>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</si>
  <si>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</si>
  <si>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</si>
  <si>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</si>
  <si>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</si>
  <si>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</si>
  <si>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</si>
  <si>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</si>
  <si>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</si>
  <si>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</si>
  <si>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</si>
  <si>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</si>
  <si>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</si>
  <si>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</si>
  <si>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</si>
  <si>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</si>
  <si>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</si>
  <si>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</si>
  <si>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</si>
  <si>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</si>
  <si>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</si>
  <si>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</si>
  <si>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</si>
  <si>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</si>
  <si>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</si>
  <si>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</si>
  <si>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</si>
  <si>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</si>
  <si>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</si>
  <si>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</si>
  <si>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</si>
  <si>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</si>
  <si>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</si>
  <si>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</si>
  <si>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</si>
  <si>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</si>
  <si>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</si>
  <si>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</si>
  <si>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</si>
  <si>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</si>
  <si>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</si>
  <si>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</si>
  <si>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</si>
  <si>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</si>
  <si>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</si>
  <si>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</si>
  <si>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</si>
  <si>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</si>
  <si>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</si>
  <si>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</si>
  <si>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</si>
  <si>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</si>
  <si>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</si>
  <si>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</si>
  <si>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</si>
  <si>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</si>
  <si>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</si>
  <si>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</si>
  <si>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</si>
  <si>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</si>
  <si>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</si>
  <si>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</si>
  <si>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</si>
  <si>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</si>
  <si>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</si>
  <si>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</si>
  <si>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</si>
  <si>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</si>
  <si>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</si>
  <si>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</si>
  <si>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</si>
  <si>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</si>
  <si>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</si>
  <si>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</si>
  <si>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</si>
  <si>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</si>
  <si>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</si>
  <si>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</si>
  <si>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</si>
  <si>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</si>
  <si>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</si>
  <si>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</si>
  <si>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</si>
  <si>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</si>
  <si>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</si>
  <si>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</si>
  <si>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</si>
  <si>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</si>
  <si>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</si>
  <si>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</si>
  <si>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</si>
  <si>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</si>
  <si>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</si>
  <si>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</si>
  <si>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</si>
  <si>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</si>
  <si>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</si>
  <si>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</si>
  <si>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</si>
  <si>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</si>
  <si>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</si>
  <si>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</si>
  <si>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</si>
  <si>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</si>
  <si>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</si>
  <si>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</si>
  <si>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</si>
  <si>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</si>
  <si>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</si>
  <si>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</si>
  <si>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</si>
  <si>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</si>
  <si>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</si>
  <si>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</si>
  <si>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</si>
  <si>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</si>
  <si>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</si>
  <si>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</si>
  <si>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</si>
  <si>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</si>
  <si>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</si>
  <si>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</si>
  <si>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</si>
  <si>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</si>
  <si>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</si>
  <si>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</si>
  <si>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</si>
  <si>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</si>
  <si>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</si>
  <si>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</si>
  <si>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</si>
  <si>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</si>
  <si>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</si>
  <si>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</si>
  <si>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</si>
  <si>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</si>
  <si>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</si>
  <si>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</si>
  <si>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</si>
  <si>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</si>
  <si>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</si>
  <si>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</si>
  <si>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</si>
  <si>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</si>
  <si>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</si>
  <si>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</si>
  <si>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</si>
  <si>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</si>
  <si>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</si>
  <si>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</si>
  <si>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</si>
  <si>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</si>
  <si>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</si>
  <si>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</si>
  <si>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</si>
  <si>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</si>
  <si>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</si>
  <si>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</si>
  <si>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</si>
  <si>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</si>
  <si>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</si>
  <si>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</si>
  <si>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</si>
  <si>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</si>
  <si>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</si>
  <si>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</si>
  <si>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</si>
  <si>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</si>
  <si>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</si>
  <si>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</si>
  <si>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</si>
  <si>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</si>
  <si>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</si>
  <si>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</si>
  <si>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</si>
  <si>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</si>
  <si>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</si>
  <si>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</si>
  <si>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</si>
  <si>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</si>
  <si>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</si>
  <si>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</si>
  <si>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</si>
  <si>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</si>
  <si>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</si>
  <si>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</si>
  <si>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</si>
  <si>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</si>
  <si>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</si>
  <si>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</si>
  <si>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</si>
  <si>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</si>
  <si>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</si>
  <si>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</si>
  <si>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</si>
  <si>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</si>
  <si>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</si>
  <si>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</si>
  <si>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</si>
  <si>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</si>
  <si>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</si>
  <si>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</si>
  <si>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</si>
  <si>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</si>
  <si>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</si>
  <si>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</si>
  <si>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</si>
  <si>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</si>
  <si>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</si>
  <si>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</si>
  <si>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</si>
  <si>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</si>
  <si>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</si>
  <si>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</si>
  <si>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</si>
  <si>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</si>
  <si>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</si>
  <si>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</si>
  <si>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</si>
  <si>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</si>
  <si>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</si>
  <si>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</si>
  <si>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</si>
  <si>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</si>
  <si>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</si>
  <si>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</si>
  <si>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</si>
  <si>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</si>
  <si>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</si>
  <si>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</si>
  <si>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</si>
  <si>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</si>
  <si>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</si>
  <si>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</si>
  <si>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</si>
  <si>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</si>
  <si>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</si>
  <si>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</si>
  <si>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</si>
  <si>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</si>
  <si>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</si>
  <si>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</si>
  <si>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</si>
  <si>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</si>
  <si>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</si>
  <si>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</si>
  <si>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</si>
  <si>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</si>
  <si>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</si>
  <si>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</si>
  <si>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</si>
  <si>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</si>
  <si>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</si>
  <si>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</si>
  <si>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</si>
  <si>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</si>
  <si>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</si>
  <si>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</si>
  <si>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</si>
  <si>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</si>
  <si>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</si>
  <si>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</si>
  <si>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</si>
  <si>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</si>
  <si>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</si>
  <si>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</si>
  <si>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</si>
  <si>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</si>
  <si>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</si>
  <si>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</si>
  <si>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</si>
  <si>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</si>
  <si>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</si>
  <si>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</si>
  <si>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</si>
  <si>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</si>
  <si>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</si>
  <si>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</si>
  <si>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</si>
  <si>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</si>
  <si>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</si>
  <si>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</si>
  <si>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</si>
  <si>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</si>
  <si>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</si>
  <si>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</si>
  <si>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</si>
  <si>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</si>
  <si>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</si>
  <si>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</si>
  <si>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</si>
  <si>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</si>
  <si>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</si>
  <si>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</si>
  <si>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</si>
  <si>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</si>
  <si>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</si>
  <si>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</si>
  <si>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</si>
  <si>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</si>
  <si>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</si>
  <si>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</si>
  <si>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</si>
  <si>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</si>
  <si>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</si>
  <si>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</si>
  <si>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</si>
  <si>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</si>
  <si>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</si>
  <si>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</si>
  <si>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</si>
  <si>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</si>
  <si>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</si>
  <si>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</si>
  <si>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</si>
  <si>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</si>
  <si>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</si>
  <si>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</si>
  <si>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</si>
  <si>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</si>
  <si>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</si>
  <si>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</si>
  <si>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</si>
  <si>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</si>
  <si>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</si>
  <si>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</si>
  <si>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</si>
  <si>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</si>
  <si>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</si>
  <si>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</si>
  <si>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</si>
  <si>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</si>
  <si>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</si>
  <si>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</si>
  <si>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</si>
  <si>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</si>
  <si>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</si>
  <si>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</si>
  <si>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</si>
  <si>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</si>
  <si>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</si>
  <si>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</si>
  <si>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</si>
  <si>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</si>
  <si>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</si>
  <si>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</si>
  <si>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</si>
  <si>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</si>
  <si>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</si>
  <si>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</si>
  <si>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</si>
  <si>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</si>
  <si>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</si>
  <si>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</si>
  <si>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</si>
  <si>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</si>
  <si>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</si>
  <si>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</si>
  <si>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</si>
  <si>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</si>
  <si>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</si>
  <si>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</si>
  <si>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</si>
  <si>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</si>
  <si>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</si>
  <si>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</si>
  <si>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</si>
  <si>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</si>
  <si>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</si>
  <si>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</si>
  <si>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</si>
  <si>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</si>
  <si>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</si>
  <si>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</si>
  <si>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</si>
  <si>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</si>
  <si>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</si>
  <si>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</si>
  <si>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</si>
  <si>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</si>
  <si>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</si>
  <si>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</si>
  <si>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</si>
  <si>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</si>
  <si>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</si>
  <si>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</si>
  <si>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</si>
  <si>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</si>
  <si>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</si>
  <si>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</si>
  <si>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</si>
  <si>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</si>
  <si>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</si>
  <si>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</si>
  <si>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</si>
  <si>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</si>
  <si>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</si>
  <si>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</si>
  <si>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</si>
  <si>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</si>
  <si>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</si>
  <si>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</si>
  <si>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</si>
  <si>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</si>
  <si>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</si>
  <si>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</si>
  <si>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</si>
  <si>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</si>
  <si>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</si>
  <si>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</si>
  <si>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</si>
  <si>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</si>
  <si>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</si>
  <si>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</si>
  <si>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</si>
  <si>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</si>
  <si>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</si>
  <si>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</si>
  <si>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</si>
  <si>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</si>
  <si>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</si>
  <si>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</si>
  <si>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</si>
  <si>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</si>
  <si>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</si>
  <si>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</si>
  <si>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</si>
  <si>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</si>
  <si>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</si>
  <si>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</si>
  <si>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</si>
  <si>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</si>
  <si>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</si>
  <si>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</si>
  <si>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</si>
  <si>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</si>
  <si>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</si>
  <si>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</si>
  <si>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</si>
  <si>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</si>
  <si>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</si>
  <si>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</si>
  <si>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</si>
  <si>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</si>
  <si>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</si>
  <si>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</si>
  <si>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</si>
  <si>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</si>
  <si>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</si>
  <si>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</si>
  <si>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</si>
  <si>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</si>
  <si>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</si>
  <si>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</si>
  <si>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</si>
  <si>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</si>
  <si>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</si>
  <si>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</si>
  <si>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</si>
  <si>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</si>
  <si>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</si>
  <si>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</si>
  <si>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</si>
  <si>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</si>
  <si>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</si>
  <si>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</si>
  <si>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</si>
  <si>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</si>
  <si>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</si>
  <si>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</si>
  <si>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</si>
  <si>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</si>
  <si>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</si>
  <si>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</si>
  <si>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</si>
  <si>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</si>
  <si>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</si>
  <si>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</si>
  <si>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</si>
  <si>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</si>
  <si>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</si>
  <si>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</si>
  <si>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</si>
  <si>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</si>
  <si>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</si>
  <si>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</si>
  <si>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</si>
  <si>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</si>
  <si>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</si>
  <si>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</si>
  <si>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</si>
  <si>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</si>
  <si>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</si>
  <si>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</si>
  <si>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</si>
  <si>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</si>
  <si>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</si>
  <si>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</si>
  <si>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</si>
  <si>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</si>
  <si>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</si>
  <si>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</si>
  <si>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</si>
  <si>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</si>
  <si>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</si>
  <si>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</si>
  <si>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</si>
  <si>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</si>
  <si>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</si>
  <si>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</si>
  <si>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</si>
  <si>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</si>
  <si>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</si>
  <si>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</si>
  <si>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</si>
  <si>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</si>
  <si>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</si>
  <si>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</si>
  <si>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</si>
  <si>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</si>
  <si>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</si>
  <si>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</si>
  <si>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</si>
  <si>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</si>
  <si>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</si>
  <si>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</si>
  <si>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</si>
  <si>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</si>
  <si>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</si>
  <si>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</si>
  <si>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</si>
  <si>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</si>
  <si>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</si>
  <si>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</si>
  <si>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</si>
  <si>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</si>
  <si>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</si>
  <si>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</si>
  <si>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</si>
  <si>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</si>
  <si>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</si>
  <si>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</si>
  <si>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</si>
  <si>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</si>
  <si>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</si>
  <si>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</si>
  <si>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</si>
  <si>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</si>
  <si>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</si>
  <si>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</si>
  <si>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</si>
  <si>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</si>
  <si>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</si>
  <si>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</si>
  <si>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</si>
  <si>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</si>
  <si>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</si>
  <si>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</si>
  <si>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</si>
  <si>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</si>
  <si>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</si>
  <si>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</si>
  <si>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</si>
  <si>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</si>
  <si>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</si>
  <si>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</si>
  <si>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</si>
  <si>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</si>
  <si>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</si>
  <si>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</si>
  <si>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</si>
  <si>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</si>
  <si>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</si>
  <si>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</si>
  <si>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</si>
  <si>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</si>
  <si>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</si>
  <si>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</si>
  <si>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</si>
  <si>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</si>
  <si>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</si>
  <si>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</si>
  <si>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</si>
  <si>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</si>
  <si>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</si>
  <si>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</si>
  <si>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</si>
  <si>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</si>
  <si>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</si>
  <si>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</si>
  <si>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</si>
  <si>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</si>
  <si>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</si>
  <si>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</si>
  <si>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</si>
  <si>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</si>
  <si>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</si>
  <si>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</si>
  <si>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</si>
  <si>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</si>
  <si>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</si>
  <si>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</si>
  <si>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</si>
  <si>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</si>
  <si>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</si>
  <si>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</si>
  <si>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</si>
  <si>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</si>
  <si>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</si>
  <si>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</si>
  <si>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</si>
  <si>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</si>
  <si>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</si>
  <si>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</si>
  <si>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</si>
  <si>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</si>
  <si>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</si>
  <si>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</si>
  <si>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</si>
  <si>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</si>
  <si>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</si>
  <si>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</si>
  <si>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</si>
  <si>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</si>
  <si>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</si>
  <si>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</si>
  <si>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</si>
  <si>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</si>
  <si>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</si>
  <si>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</si>
  <si>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</si>
  <si>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</si>
  <si>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</si>
  <si>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</si>
  <si>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</si>
  <si>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</si>
  <si>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</si>
  <si>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</si>
  <si>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</si>
  <si>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</si>
  <si>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</si>
  <si>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</si>
  <si>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</si>
  <si>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</si>
  <si>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</si>
  <si>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</si>
  <si>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</si>
  <si>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</si>
  <si>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</si>
  <si>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</si>
  <si>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</si>
  <si>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</si>
  <si>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</si>
  <si>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</si>
  <si>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</si>
  <si>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</si>
  <si>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</si>
  <si>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</si>
  <si>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</si>
  <si>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</si>
  <si>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</si>
  <si>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</si>
  <si>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</si>
  <si>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</si>
  <si>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</si>
  <si>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</si>
  <si>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</si>
  <si>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</si>
  <si>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</si>
  <si>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</si>
  <si>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</si>
  <si>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</si>
  <si>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</si>
  <si>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</si>
  <si>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</si>
  <si>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</si>
  <si>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</si>
  <si>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</si>
  <si>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</si>
  <si>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</si>
  <si>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</si>
  <si>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</si>
  <si>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</si>
  <si>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</si>
  <si>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</si>
  <si>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</si>
  <si>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</si>
  <si>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</si>
  <si>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</si>
  <si>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</si>
  <si>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</si>
  <si>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</si>
  <si>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</si>
  <si>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</si>
  <si>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</si>
  <si>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</si>
  <si>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</si>
  <si>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</si>
  <si>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</si>
  <si>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</si>
  <si>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</si>
  <si>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</si>
  <si>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</si>
  <si>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</si>
  <si>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</si>
  <si>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</si>
  <si>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</si>
  <si>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</si>
  <si>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</si>
  <si>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</si>
  <si>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</si>
  <si>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</si>
  <si>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</si>
  <si>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</si>
  <si>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</si>
  <si>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</si>
  <si>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</si>
  <si>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</si>
  <si>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</si>
  <si>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</si>
  <si>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</si>
  <si>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</si>
  <si>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</si>
  <si>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</si>
  <si>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</si>
  <si>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</si>
  <si>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</si>
  <si>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</si>
  <si>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</si>
  <si>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</si>
  <si>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</si>
  <si>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</si>
  <si>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</si>
  <si>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</si>
  <si>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</si>
  <si>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</si>
  <si>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</si>
  <si>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</si>
  <si>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</si>
  <si>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</si>
  <si>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</si>
  <si>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</si>
  <si>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</si>
  <si>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</si>
  <si>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</si>
  <si>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</si>
  <si>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</si>
  <si>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</si>
  <si>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</si>
  <si>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</si>
  <si>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</si>
  <si>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</si>
  <si>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</si>
  <si>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</si>
  <si>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</si>
  <si>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</si>
  <si>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</si>
  <si>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</si>
  <si>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</si>
  <si>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</si>
  <si>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</si>
  <si>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</si>
  <si>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</si>
  <si>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</si>
  <si>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</si>
  <si>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</si>
  <si>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</si>
  <si>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</si>
  <si>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</si>
  <si>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</si>
  <si>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</si>
  <si>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</si>
  <si>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</si>
  <si>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</si>
  <si>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</si>
  <si>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</si>
  <si>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</si>
  <si>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</si>
  <si>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</si>
  <si>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</si>
  <si>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</si>
  <si>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</si>
  <si>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</si>
  <si>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</si>
  <si>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</si>
  <si>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</si>
  <si>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</si>
  <si>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</si>
  <si>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</si>
  <si>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</si>
  <si>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</si>
  <si>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</si>
  <si>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</si>
  <si>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</si>
  <si>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</si>
  <si>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</si>
  <si>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</si>
  <si>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</si>
  <si>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</si>
  <si>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</si>
  <si>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</si>
  <si>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</si>
  <si>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</si>
  <si>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</si>
  <si>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</si>
  <si>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</si>
  <si>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</si>
  <si>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</si>
  <si>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</si>
  <si>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</si>
  <si>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</si>
  <si>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</si>
  <si>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</si>
  <si>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</si>
  <si>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</si>
  <si>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</si>
  <si>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</si>
  <si>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</si>
  <si>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</si>
  <si>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</si>
  <si>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</si>
  <si>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</si>
  <si>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</si>
  <si>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</si>
  <si>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</si>
  <si>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</si>
  <si>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</si>
  <si>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</si>
  <si>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</si>
  <si>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</si>
  <si>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</si>
  <si>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</si>
  <si>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</si>
  <si>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</si>
  <si>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</si>
  <si>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</si>
  <si>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</si>
  <si>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</si>
  <si>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</si>
  <si>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</si>
  <si>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</si>
  <si>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</si>
  <si>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</si>
  <si>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</si>
  <si>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</si>
  <si>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</si>
  <si>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</si>
  <si>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</si>
  <si>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</si>
  <si>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</si>
  <si>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</si>
  <si>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</si>
  <si>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</si>
  <si>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</si>
  <si>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</si>
  <si>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</si>
  <si>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</si>
  <si>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</si>
  <si>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</si>
  <si>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</si>
  <si>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</si>
  <si>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</si>
  <si>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</si>
  <si>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</si>
  <si>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</si>
  <si>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</si>
  <si>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</si>
  <si>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</si>
  <si>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</si>
  <si>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</si>
  <si>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</si>
  <si>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</si>
  <si>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</si>
  <si>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</si>
  <si>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</si>
  <si>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</si>
  <si>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</si>
  <si>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</si>
  <si>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</si>
  <si>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</si>
  <si>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</si>
  <si>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</si>
  <si>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</si>
  <si>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</si>
  <si>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</si>
  <si>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</si>
  <si>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</si>
  <si>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</si>
  <si>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</si>
  <si>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</si>
  <si>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</si>
  <si>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</si>
  <si>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</si>
  <si>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</si>
  <si>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</si>
  <si>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</si>
  <si>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</si>
  <si>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</si>
  <si>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</si>
  <si>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</si>
  <si>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</si>
  <si>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</si>
  <si>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</si>
  <si>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</si>
  <si>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</si>
  <si>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</si>
  <si>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</si>
  <si>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</si>
  <si>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</si>
  <si>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</si>
  <si>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</si>
  <si>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</si>
  <si>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</si>
  <si>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</si>
  <si>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</si>
  <si>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</si>
  <si>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</si>
  <si>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</si>
  <si>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</si>
  <si>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</si>
  <si>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</si>
  <si>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</si>
  <si>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</si>
  <si>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</si>
  <si>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</si>
  <si>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</si>
  <si>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</si>
  <si>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</si>
  <si>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</si>
  <si>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</si>
  <si>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</si>
  <si>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</si>
  <si>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</si>
  <si>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</si>
  <si>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</si>
  <si>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</si>
  <si>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</si>
  <si>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</si>
  <si>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</si>
  <si>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</si>
  <si>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</si>
  <si>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</si>
  <si>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</si>
  <si>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</si>
  <si>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</si>
  <si>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</si>
  <si>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</si>
  <si>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</si>
  <si>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</si>
  <si>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</si>
  <si>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</si>
  <si>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</si>
  <si>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</si>
  <si>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</si>
  <si>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</si>
  <si>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</si>
  <si>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</si>
  <si>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</si>
  <si>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</si>
  <si>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</si>
  <si>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</si>
  <si>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</si>
  <si>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</si>
  <si>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</si>
  <si>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</si>
  <si>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</si>
  <si>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</si>
  <si>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</si>
  <si>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</si>
  <si>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</si>
  <si>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</si>
  <si>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</si>
  <si>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</si>
  <si>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</si>
  <si>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</si>
  <si>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</si>
  <si>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</si>
  <si>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</si>
  <si>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</si>
  <si>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</si>
  <si>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</si>
  <si>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</si>
  <si>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</si>
  <si>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</si>
  <si>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</si>
  <si>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</si>
  <si>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</si>
  <si>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</si>
  <si>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</si>
  <si>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</si>
  <si>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</si>
  <si>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</si>
  <si>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</si>
  <si>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</si>
  <si>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</si>
  <si>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</si>
  <si>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</si>
  <si>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</si>
  <si>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</si>
  <si>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</si>
  <si>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</si>
  <si>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</si>
  <si>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</si>
  <si>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</si>
  <si>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</si>
  <si>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</si>
  <si>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</si>
  <si>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</si>
  <si>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</si>
  <si>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</si>
  <si>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</si>
  <si>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</si>
  <si>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</si>
  <si>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</si>
  <si>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</si>
  <si>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</si>
  <si>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</si>
  <si>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</si>
  <si>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</si>
  <si>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</si>
  <si>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</si>
  <si>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</si>
  <si>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</si>
  <si>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</si>
  <si>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</si>
  <si>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</si>
  <si>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</si>
  <si>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</si>
  <si>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</si>
  <si>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</si>
  <si>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</si>
  <si>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</si>
  <si>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</si>
  <si>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</si>
  <si>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</si>
  <si>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</si>
  <si>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</si>
  <si>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</si>
  <si>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</si>
  <si>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</si>
  <si>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</si>
  <si>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</si>
  <si>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</si>
  <si>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</si>
  <si>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</si>
  <si>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</si>
  <si>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</si>
  <si>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</si>
  <si>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</si>
  <si>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</si>
  <si>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</si>
  <si>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</si>
  <si>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</si>
  <si>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</si>
  <si>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</si>
  <si>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</si>
  <si>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</si>
  <si>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</si>
  <si>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</si>
  <si>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</si>
  <si>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</si>
  <si>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</si>
  <si>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</si>
  <si>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</si>
  <si>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</si>
  <si>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</si>
  <si>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</si>
  <si>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</si>
  <si>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</si>
  <si>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</si>
  <si>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</si>
  <si>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</si>
  <si>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</si>
  <si>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</si>
  <si>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</si>
  <si>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</si>
  <si>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</si>
  <si>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</si>
  <si>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</si>
  <si>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</si>
  <si>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</si>
  <si>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</si>
  <si>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</si>
  <si>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</si>
  <si>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</si>
  <si>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</si>
  <si>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</si>
  <si>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</si>
  <si>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</si>
  <si>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</si>
  <si>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</si>
  <si>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</si>
  <si>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</si>
  <si>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</si>
  <si>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</si>
  <si>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</si>
  <si>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</si>
  <si>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</si>
  <si>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</si>
  <si>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</si>
  <si>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</si>
  <si>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</si>
  <si>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</si>
  <si>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</si>
  <si>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</si>
  <si>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</si>
  <si>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</si>
  <si>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</si>
  <si>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</si>
  <si>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</si>
  <si>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</si>
  <si>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</si>
  <si>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</si>
  <si>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</si>
  <si>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</si>
  <si>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</si>
  <si>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</si>
  <si>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</si>
  <si>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</si>
  <si>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</si>
  <si>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</si>
  <si>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</si>
  <si>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</si>
  <si>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</si>
  <si>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</si>
  <si>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</si>
  <si>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</si>
  <si>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</si>
  <si>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</si>
  <si>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</si>
  <si>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</si>
  <si>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</si>
  <si>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</si>
  <si>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</si>
  <si>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</si>
  <si>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</si>
  <si>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</si>
  <si>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</si>
  <si>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</si>
  <si>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</si>
  <si>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</si>
  <si>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</si>
  <si>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</si>
  <si>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</si>
  <si>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</si>
  <si>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</si>
  <si>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</si>
  <si>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</si>
  <si>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</si>
  <si>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</si>
  <si>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</si>
  <si>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</si>
  <si>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</si>
  <si>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</si>
  <si>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</si>
  <si>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</si>
  <si>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</si>
  <si>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</si>
  <si>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</si>
  <si>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</si>
  <si>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</si>
  <si>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</si>
  <si>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</si>
  <si>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</si>
  <si>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</si>
  <si>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</si>
  <si>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</si>
  <si>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</si>
  <si>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</si>
  <si>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</si>
  <si>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</si>
  <si>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</si>
  <si>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</si>
  <si>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</si>
  <si>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</si>
  <si>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</si>
  <si>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</si>
  <si>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</si>
  <si>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</si>
  <si>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</si>
  <si>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</si>
  <si>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</si>
  <si>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</si>
  <si>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</si>
  <si>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</si>
  <si>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</si>
  <si>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</si>
  <si>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</si>
  <si>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</si>
  <si>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</si>
  <si>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</si>
  <si>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</si>
  <si>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</si>
  <si>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</si>
  <si>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</si>
  <si>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</si>
  <si>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</si>
  <si>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</si>
  <si>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</si>
  <si>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</si>
  <si>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</si>
  <si>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</si>
  <si>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</si>
  <si>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</si>
  <si>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</si>
  <si>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</si>
  <si>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</si>
  <si>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</si>
  <si>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</si>
  <si>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</si>
  <si>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</si>
  <si>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</si>
  <si>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</si>
  <si>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</si>
  <si>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</si>
  <si>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</si>
  <si>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</si>
  <si>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</si>
  <si>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</si>
  <si>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</si>
  <si>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</si>
  <si>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</si>
  <si>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</si>
  <si>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</si>
  <si>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</si>
  <si>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</si>
  <si>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</si>
  <si>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</si>
  <si>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</si>
  <si>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</si>
  <si>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</si>
  <si>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</si>
  <si>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</si>
  <si>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</si>
  <si>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</si>
  <si>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</si>
  <si>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</si>
  <si>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</si>
  <si>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</si>
  <si>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</si>
  <si>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</si>
  <si>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</si>
  <si>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</si>
  <si>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</si>
  <si>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</si>
  <si>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</si>
  <si>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</si>
  <si>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</si>
  <si>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</si>
  <si>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</si>
  <si>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</si>
  <si>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</si>
  <si>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</si>
  <si>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</si>
  <si>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</si>
  <si>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</si>
  <si>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</si>
  <si>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</si>
  <si>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</si>
  <si>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</si>
  <si>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</si>
  <si>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</si>
  <si>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</si>
  <si>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</si>
  <si>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</si>
  <si>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</si>
  <si>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</si>
  <si>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</si>
  <si>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</si>
  <si>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</si>
  <si>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</si>
  <si>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</si>
  <si>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</si>
  <si>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</si>
  <si>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</si>
  <si>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</si>
  <si>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</si>
  <si>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</si>
  <si>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</si>
  <si>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</si>
  <si>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</si>
  <si>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</si>
  <si>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</si>
  <si>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</si>
  <si>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</si>
  <si>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</si>
  <si>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</si>
  <si>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</si>
  <si>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</si>
  <si>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</si>
  <si>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</si>
  <si>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</si>
  <si>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</si>
  <si>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</si>
  <si>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</si>
  <si>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</si>
  <si>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</si>
  <si>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</si>
  <si>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</si>
  <si>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</si>
  <si>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</si>
  <si>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</si>
  <si>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</si>
  <si>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</si>
  <si>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</si>
  <si>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</si>
  <si>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</si>
  <si>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</si>
  <si>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</si>
  <si>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</si>
  <si>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</si>
  <si>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</si>
  <si>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</si>
  <si>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</si>
  <si>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</si>
  <si>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</si>
  <si>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</si>
  <si>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</si>
  <si>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</si>
  <si>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</si>
  <si>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</si>
  <si>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</si>
  <si>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</si>
  <si>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</si>
  <si>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</si>
  <si>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</si>
  <si>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</si>
  <si>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</si>
  <si>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</si>
  <si>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</si>
  <si>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</si>
  <si>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</si>
  <si>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</si>
  <si>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</si>
  <si>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</si>
  <si>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</si>
  <si>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</si>
  <si>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</si>
  <si>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</si>
  <si>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</si>
  <si>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</si>
  <si>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</si>
  <si>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</si>
  <si>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</si>
  <si>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</si>
  <si>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</si>
  <si>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</si>
  <si>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</si>
  <si>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</si>
  <si>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</si>
  <si>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</si>
  <si>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</si>
  <si>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</si>
  <si>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</si>
  <si>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</si>
  <si>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</si>
  <si>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</si>
  <si>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</si>
  <si>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</si>
  <si>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</si>
  <si>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</si>
  <si>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</si>
  <si>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</si>
  <si>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</si>
  <si>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</si>
  <si>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</si>
  <si>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</si>
  <si>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</si>
  <si>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</si>
  <si>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</si>
  <si>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</si>
  <si>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</si>
  <si>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</si>
  <si>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</si>
  <si>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</si>
  <si>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</si>
  <si>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</si>
  <si>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</si>
  <si>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</si>
  <si>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</si>
  <si>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</si>
  <si>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</si>
  <si>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</si>
  <si>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</si>
  <si>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</si>
  <si>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</si>
  <si>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</si>
  <si>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</si>
  <si>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</si>
  <si>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</si>
  <si>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</si>
  <si>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</si>
  <si>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</si>
  <si>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</si>
  <si>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</si>
  <si>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</si>
  <si>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</si>
  <si>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</si>
  <si>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</si>
  <si>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</si>
  <si>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</si>
  <si>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</si>
  <si>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</si>
  <si>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</si>
  <si>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</si>
  <si>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</si>
  <si>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</si>
  <si>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</si>
  <si>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</si>
  <si>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</si>
  <si>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</si>
  <si>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</si>
  <si>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</si>
  <si>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</si>
  <si>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</si>
  <si>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</si>
  <si>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</si>
  <si>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</si>
  <si>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</si>
  <si>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</si>
  <si>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</si>
  <si>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</si>
  <si>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</si>
  <si>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</si>
  <si>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</si>
  <si>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</si>
  <si>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</si>
  <si>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</si>
  <si>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</si>
  <si>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</si>
  <si>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</si>
  <si>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</si>
  <si>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</si>
  <si>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</si>
  <si>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</si>
  <si>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</si>
  <si>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</si>
  <si>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</si>
  <si>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</si>
  <si>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</si>
  <si>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</si>
  <si>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</si>
  <si>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</si>
  <si>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</si>
  <si>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</si>
  <si>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</si>
  <si>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</si>
  <si>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</si>
  <si>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</si>
  <si>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</si>
  <si>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</si>
  <si>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</si>
  <si>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</si>
  <si>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</si>
  <si>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</si>
  <si>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</si>
  <si>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</si>
  <si>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</si>
  <si>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</si>
  <si>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</si>
  <si>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</si>
  <si>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</si>
  <si>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</si>
  <si>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</si>
  <si>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</si>
  <si>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</si>
  <si>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</si>
  <si>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</si>
  <si>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</si>
  <si>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</si>
  <si>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</si>
  <si>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</si>
  <si>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</si>
  <si>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</si>
  <si>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</si>
  <si>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</si>
  <si>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</si>
  <si>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</si>
  <si>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</si>
  <si>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</si>
  <si>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</si>
  <si>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</si>
  <si>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</si>
  <si>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</si>
  <si>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</si>
  <si>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</si>
  <si>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</si>
  <si>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</si>
  <si>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</si>
  <si>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</si>
  <si>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</si>
  <si>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</si>
  <si>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</si>
  <si>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</si>
  <si>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</si>
  <si>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</si>
  <si>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</si>
  <si>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</si>
  <si>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</si>
  <si>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</si>
  <si>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</si>
  <si>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</si>
  <si>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</si>
  <si>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</si>
  <si>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</si>
  <si>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</si>
  <si>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</si>
  <si>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</si>
  <si>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</si>
  <si>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</si>
  <si>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</si>
  <si>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</si>
  <si>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</si>
  <si>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</si>
  <si>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</si>
  <si>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</si>
  <si>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</si>
  <si>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</si>
  <si>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</si>
  <si>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</si>
  <si>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</si>
  <si>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</si>
  <si>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</si>
  <si>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</si>
  <si>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</si>
  <si>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</si>
  <si>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</si>
  <si>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</si>
  <si>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</si>
  <si>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</si>
  <si>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</si>
  <si>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</si>
  <si>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</si>
  <si>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</si>
  <si>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</si>
  <si>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</si>
  <si>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</si>
  <si>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</si>
  <si>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</si>
  <si>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</si>
  <si>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</si>
  <si>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</si>
  <si>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</si>
  <si>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</si>
  <si>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</si>
  <si>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</si>
  <si>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</si>
  <si>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</si>
  <si>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</si>
  <si>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</si>
  <si>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</si>
  <si>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</si>
  <si>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</si>
  <si>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</si>
  <si>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</si>
  <si>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</si>
  <si>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</si>
  <si>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</si>
  <si>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</si>
  <si>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</si>
  <si>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</si>
  <si>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</si>
  <si>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</si>
  <si>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</si>
  <si>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</si>
  <si>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</si>
  <si>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</si>
  <si>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</si>
  <si>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</si>
  <si>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</si>
  <si>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</si>
  <si>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</si>
  <si>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</si>
  <si>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</si>
  <si>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</si>
  <si>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</si>
  <si>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</si>
  <si>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</si>
  <si>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</si>
  <si>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</si>
  <si>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</si>
  <si>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</si>
  <si>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</si>
  <si>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</si>
  <si>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</si>
  <si>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</si>
  <si>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</si>
  <si>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</si>
  <si>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</si>
  <si>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</si>
  <si>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</si>
  <si>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</si>
  <si>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</si>
  <si>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</si>
  <si>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</si>
  <si>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</si>
  <si>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</si>
  <si>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</si>
  <si>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</si>
  <si>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</si>
  <si>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</si>
  <si>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</si>
  <si>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</si>
  <si>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</si>
  <si>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</si>
  <si>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</si>
  <si>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</si>
  <si>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</si>
  <si>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</si>
  <si>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</si>
  <si>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</si>
  <si>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</si>
  <si>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</si>
  <si>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</si>
  <si>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</si>
  <si>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</si>
  <si>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</si>
  <si>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</si>
  <si>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</si>
  <si>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</si>
  <si>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</si>
  <si>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</si>
  <si>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</si>
  <si>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</si>
  <si>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</si>
  <si>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</si>
  <si>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</si>
  <si>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</si>
  <si>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</si>
  <si>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</si>
  <si>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</si>
  <si>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</si>
  <si>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</si>
  <si>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</si>
  <si>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</si>
  <si>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</si>
  <si>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</si>
  <si>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</si>
  <si>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</si>
  <si>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</si>
  <si>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</si>
  <si>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</si>
  <si>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</si>
  <si>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</si>
  <si>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</si>
  <si>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</si>
  <si>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</si>
  <si>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</si>
  <si>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</si>
  <si>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</si>
  <si>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</si>
  <si>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</si>
  <si>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</si>
  <si>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</si>
  <si>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</si>
  <si>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</si>
  <si>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</si>
  <si>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</si>
  <si>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</si>
  <si>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</si>
  <si>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</si>
  <si>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</si>
  <si>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</si>
  <si>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</si>
  <si>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</si>
  <si>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</si>
  <si>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</si>
  <si>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</si>
  <si>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</si>
  <si>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</si>
  <si>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</si>
  <si>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</si>
  <si>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</si>
  <si>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</si>
  <si>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</si>
  <si>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</si>
  <si>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</si>
  <si>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</si>
  <si>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</si>
  <si>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</si>
  <si>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</si>
  <si>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</si>
  <si>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</si>
  <si>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</si>
  <si>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</si>
  <si>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</si>
  <si>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</si>
  <si>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</si>
  <si>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</si>
  <si>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</si>
  <si>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</si>
  <si>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</si>
  <si>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</si>
  <si>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</si>
  <si>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</si>
  <si>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</si>
  <si>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</si>
  <si>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</si>
  <si>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</si>
  <si>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</si>
  <si>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</si>
  <si>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</si>
  <si>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</si>
  <si>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</si>
  <si>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</si>
  <si>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</si>
  <si>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</si>
  <si>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</si>
  <si>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</si>
  <si>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</si>
  <si>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</si>
  <si>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</si>
  <si>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</si>
  <si>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</si>
  <si>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</si>
  <si>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</si>
  <si>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</si>
  <si>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</si>
  <si>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</si>
  <si>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</si>
  <si>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</si>
  <si>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</si>
  <si>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</si>
  <si>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</si>
  <si>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</si>
  <si>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</si>
  <si>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</si>
  <si>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</si>
  <si>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</si>
  <si>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</si>
  <si>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</si>
  <si>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</si>
  <si>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</si>
  <si>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</si>
  <si>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</si>
  <si>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</si>
  <si>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</si>
  <si>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</si>
  <si>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</si>
  <si>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</si>
  <si>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</si>
  <si>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</si>
  <si>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</si>
  <si>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</si>
  <si>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</si>
  <si>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</si>
  <si>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</si>
  <si>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</si>
  <si>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</si>
  <si>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</si>
  <si>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</si>
  <si>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</si>
  <si>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</si>
  <si>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</si>
  <si>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</si>
  <si>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</si>
  <si>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</si>
  <si>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</si>
  <si>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</si>
  <si>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</si>
  <si>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</si>
  <si>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</si>
  <si>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</si>
  <si>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</si>
  <si>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</si>
  <si>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</si>
  <si>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</si>
  <si>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</si>
  <si>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</si>
  <si>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</si>
  <si>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</si>
  <si>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</si>
  <si>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</si>
  <si>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</si>
  <si>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</si>
  <si>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</si>
  <si>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</si>
  <si>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</si>
  <si>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</si>
  <si>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</si>
  <si>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</si>
  <si>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</si>
  <si>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</si>
  <si>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</si>
  <si>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</si>
  <si>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</si>
  <si>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</si>
  <si>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</si>
  <si>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</si>
  <si>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</si>
  <si>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</si>
  <si>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</si>
  <si>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</si>
  <si>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</si>
  <si>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</si>
  <si>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</si>
  <si>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</si>
  <si>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</si>
  <si>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</si>
  <si>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</si>
  <si>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</si>
  <si>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</si>
  <si>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</si>
  <si>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</si>
  <si>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</si>
  <si>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</si>
  <si>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</si>
  <si>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</si>
  <si>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</si>
  <si>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</si>
  <si>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</si>
  <si>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</si>
  <si>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</si>
  <si>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</si>
  <si>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</si>
  <si>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</si>
  <si>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</si>
  <si>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</si>
  <si>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</si>
  <si>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</si>
  <si>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</si>
  <si>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</si>
  <si>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</si>
  <si>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</si>
  <si>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</si>
  <si>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</si>
  <si>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</si>
  <si>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</si>
  <si>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</si>
  <si>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</si>
  <si>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</si>
  <si>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</si>
  <si>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</si>
  <si>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</si>
  <si>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</si>
  <si>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</si>
  <si>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</si>
  <si>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</si>
  <si>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</si>
  <si>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</si>
  <si>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</si>
  <si>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</si>
  <si>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</si>
  <si>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</si>
  <si>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</si>
  <si>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</si>
  <si>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</si>
  <si>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</si>
  <si>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</si>
  <si>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</si>
  <si>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</si>
  <si>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</si>
  <si>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</si>
  <si>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</si>
  <si>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</si>
  <si>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</si>
  <si>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</si>
  <si>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</si>
  <si>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</si>
  <si>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</si>
  <si>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</si>
  <si>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</si>
  <si>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</si>
  <si>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</si>
  <si>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</si>
  <si>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</si>
  <si>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</si>
  <si>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</si>
  <si>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</si>
  <si>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</si>
  <si>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</si>
  <si>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</si>
  <si>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</si>
  <si>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</si>
  <si>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</si>
  <si>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</si>
  <si>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</si>
  <si>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</si>
  <si>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</si>
  <si>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</si>
  <si>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</si>
  <si>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</si>
  <si>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</si>
  <si>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</si>
  <si>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</si>
  <si>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</si>
  <si>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</si>
  <si>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</si>
  <si>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</si>
  <si>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</si>
  <si>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</si>
  <si>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</si>
  <si>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</si>
  <si>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</si>
  <si>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</si>
  <si>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</si>
  <si>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</si>
  <si>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</si>
  <si>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</si>
  <si>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</si>
  <si>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</si>
  <si>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</si>
  <si>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</si>
  <si>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</si>
  <si>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</si>
  <si>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</si>
  <si>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</si>
  <si>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</si>
  <si>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</si>
  <si>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</si>
  <si>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</si>
  <si>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</si>
  <si>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</si>
  <si>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</si>
  <si>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</si>
  <si>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</si>
  <si>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</si>
  <si>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</si>
  <si>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</si>
  <si>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</si>
  <si>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</si>
  <si>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</si>
  <si>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</si>
  <si>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</si>
  <si>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</si>
  <si>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</si>
  <si>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</si>
  <si>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</si>
  <si>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</si>
  <si>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</si>
  <si>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</si>
  <si>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</si>
  <si>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</si>
  <si>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</si>
  <si>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</si>
  <si>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</si>
  <si>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</si>
  <si>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</si>
  <si>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</si>
  <si>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</si>
  <si>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</si>
  <si>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</si>
  <si>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</si>
  <si>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</si>
  <si>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</si>
  <si>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</si>
  <si>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</si>
  <si>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</si>
  <si>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</si>
  <si>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</si>
  <si>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</si>
  <si>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</si>
  <si>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</si>
  <si>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</si>
  <si>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</si>
  <si>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</si>
  <si>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</si>
  <si>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</si>
  <si>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</si>
  <si>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</si>
  <si>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</si>
  <si>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</si>
  <si>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</si>
  <si>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</si>
  <si>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</si>
  <si>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</si>
  <si>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</si>
  <si>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</si>
  <si>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</si>
  <si>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</si>
  <si>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</si>
  <si>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</si>
  <si>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</si>
  <si>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</si>
  <si>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</si>
  <si>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</si>
  <si>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</si>
  <si>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</si>
  <si>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</si>
  <si>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</si>
  <si>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</si>
  <si>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</si>
  <si>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</si>
  <si>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</si>
  <si>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</si>
  <si>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</si>
  <si>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</si>
  <si>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</si>
  <si>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</si>
  <si>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</si>
  <si>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</si>
  <si>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</si>
  <si>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</si>
  <si>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</si>
  <si>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</si>
  <si>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</si>
  <si>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</si>
  <si>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</si>
  <si>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</si>
  <si>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</si>
  <si>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</si>
  <si>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</si>
  <si>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</si>
  <si>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</si>
  <si>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</si>
  <si>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</si>
  <si>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</si>
  <si>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</si>
  <si>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</si>
  <si>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</si>
  <si>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</si>
  <si>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</si>
  <si>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</si>
  <si>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</si>
  <si>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</si>
  <si>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</si>
  <si>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</si>
  <si>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</si>
  <si>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</si>
  <si>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</si>
  <si>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</si>
  <si>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</si>
  <si>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</si>
  <si>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</si>
  <si>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</si>
  <si>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</si>
  <si>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</si>
  <si>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</si>
  <si>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</si>
  <si>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</si>
  <si>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</si>
  <si>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</si>
  <si>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</si>
  <si>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</si>
  <si>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</si>
  <si>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</si>
  <si>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</si>
  <si>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</si>
  <si>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</si>
  <si>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</si>
  <si>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</si>
  <si>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</si>
  <si>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</si>
  <si>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</si>
  <si>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</si>
  <si>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</si>
  <si>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</si>
  <si>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</si>
  <si>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</si>
  <si>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</si>
  <si>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</si>
  <si>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</si>
  <si>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</si>
  <si>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</si>
  <si>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</si>
  <si>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</si>
  <si>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</si>
  <si>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</si>
  <si>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</si>
  <si>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</si>
  <si>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</si>
  <si>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</si>
  <si>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</si>
  <si>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</si>
  <si>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</si>
  <si>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</si>
  <si>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</si>
  <si>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</si>
  <si>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</si>
  <si>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</si>
  <si>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</si>
  <si>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</si>
  <si>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</si>
  <si>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</si>
  <si>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</si>
  <si>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</si>
  <si>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</si>
  <si>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</si>
  <si>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</si>
  <si>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</si>
  <si>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</si>
  <si>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</si>
  <si>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</si>
  <si>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</si>
  <si>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</si>
  <si>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</si>
  <si>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</si>
  <si>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</si>
  <si>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</si>
  <si>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</si>
  <si>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</si>
  <si>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</si>
  <si>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</si>
  <si>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</si>
  <si>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</si>
  <si>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</si>
  <si>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</si>
  <si>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</si>
  <si>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</si>
  <si>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</si>
  <si>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</si>
  <si>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</si>
  <si>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</si>
  <si>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</si>
  <si>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</si>
  <si>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</si>
  <si>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</si>
  <si>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</si>
  <si>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</si>
  <si>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</si>
  <si>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</si>
  <si>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</si>
  <si>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</si>
  <si>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</si>
  <si>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</si>
  <si>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</si>
  <si>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</si>
  <si>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</si>
  <si>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</si>
  <si>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</si>
  <si>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</si>
  <si>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</si>
  <si>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</si>
  <si>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</si>
  <si>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</si>
  <si>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</si>
  <si>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</si>
  <si>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</si>
  <si>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</si>
  <si>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</si>
  <si>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</si>
  <si>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</si>
  <si>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</si>
  <si>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</si>
  <si>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</si>
  <si>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</si>
  <si>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</si>
  <si>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</si>
  <si>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</si>
  <si>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</si>
  <si>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</si>
  <si>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</si>
  <si>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</si>
  <si>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</si>
  <si>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</si>
  <si>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</si>
  <si>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</si>
  <si>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</si>
  <si>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</si>
  <si>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</si>
  <si>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</si>
  <si>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</si>
  <si>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</si>
  <si>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</si>
  <si>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</si>
  <si>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</si>
  <si>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</si>
  <si>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</si>
  <si>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</si>
  <si>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</si>
  <si>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</si>
  <si>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</si>
  <si>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</si>
  <si>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</si>
  <si>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</si>
  <si>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</si>
  <si>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</si>
  <si>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</si>
  <si>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</si>
  <si>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</si>
  <si>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</si>
  <si>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</si>
  <si>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</si>
  <si>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</si>
  <si>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</si>
  <si>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</si>
  <si>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</si>
  <si>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</si>
  <si>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</si>
  <si>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</si>
  <si>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</si>
  <si>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</si>
  <si>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</si>
  <si>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</si>
  <si>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</si>
  <si>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</si>
  <si>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</si>
  <si>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</si>
  <si>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</si>
  <si>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</si>
  <si>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</si>
  <si>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</si>
  <si>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</si>
  <si>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</si>
  <si>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</si>
  <si>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</si>
  <si>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</si>
  <si>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</si>
  <si>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</si>
  <si>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</si>
  <si>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</si>
  <si>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</si>
  <si>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</si>
  <si>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</si>
  <si>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</si>
  <si>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</si>
  <si>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</si>
  <si>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</si>
  <si>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</si>
  <si>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</si>
  <si>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</si>
  <si>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</si>
  <si>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</si>
  <si>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</si>
  <si>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</si>
  <si>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</si>
  <si>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</si>
  <si>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</si>
  <si>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</si>
  <si>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</si>
  <si>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</si>
  <si>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</si>
  <si>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</si>
  <si>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</si>
  <si>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</si>
  <si>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</si>
  <si>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</si>
  <si>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</si>
  <si>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</si>
  <si>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</si>
  <si>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</si>
  <si>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</si>
  <si>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</si>
  <si>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</si>
  <si>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</si>
  <si>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</si>
  <si>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</si>
  <si>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</si>
  <si>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</si>
  <si>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</si>
  <si>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</si>
  <si>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</si>
  <si>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</si>
  <si>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</si>
  <si>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</si>
  <si>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</si>
  <si>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</si>
  <si>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</si>
  <si>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</si>
  <si>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</si>
  <si>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</si>
  <si>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</si>
  <si>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</si>
  <si>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</si>
  <si>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</si>
  <si>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</si>
  <si>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</si>
  <si>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</si>
  <si>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</si>
  <si>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</si>
  <si>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</si>
  <si>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</si>
  <si>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</si>
  <si>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</si>
  <si>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</si>
  <si>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</si>
  <si>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</si>
  <si>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</si>
  <si>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</si>
  <si>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</si>
  <si>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</si>
  <si>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</si>
  <si>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</si>
  <si>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</si>
  <si>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</si>
  <si>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</si>
  <si>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</si>
  <si>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</si>
  <si>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</si>
  <si>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</si>
  <si>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</si>
  <si>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</si>
  <si>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</si>
  <si>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</si>
  <si>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</si>
  <si>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</si>
  <si>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</si>
  <si>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</si>
  <si>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</si>
  <si>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</si>
  <si>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</si>
  <si>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</si>
  <si>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</si>
  <si>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</si>
  <si>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</si>
  <si>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</si>
  <si>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</si>
  <si>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</si>
  <si>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</si>
  <si>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</si>
  <si>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</si>
  <si>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</si>
  <si>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</si>
  <si>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</si>
  <si>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</si>
  <si>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</si>
  <si>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</si>
  <si>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</si>
  <si>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</si>
  <si>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</si>
  <si>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</si>
  <si>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</si>
  <si>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</si>
  <si>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</si>
  <si>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</si>
  <si>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</si>
  <si>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</si>
  <si>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</si>
  <si>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</si>
  <si>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</si>
  <si>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</si>
  <si>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</si>
  <si>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</si>
  <si>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</si>
  <si>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</si>
  <si>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</si>
  <si>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</si>
  <si>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</si>
  <si>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</si>
  <si>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</si>
  <si>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</si>
  <si>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</si>
  <si>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</si>
  <si>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</si>
  <si>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</si>
  <si>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</si>
  <si>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</si>
  <si>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</si>
  <si>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</si>
  <si>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</si>
  <si>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</si>
  <si>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</si>
  <si>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</si>
  <si>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</si>
  <si>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</si>
  <si>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</si>
  <si>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</si>
  <si>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</si>
  <si>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</si>
  <si>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</si>
  <si>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</si>
  <si>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</si>
  <si>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</si>
  <si>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</si>
  <si>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</si>
  <si>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</si>
  <si>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</si>
  <si>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</si>
  <si>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</si>
  <si>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</si>
  <si>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</si>
  <si>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</si>
  <si>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</si>
  <si>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</si>
  <si>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</si>
  <si>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</si>
  <si>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</si>
  <si>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</si>
  <si>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</si>
  <si>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</si>
  <si>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</si>
  <si>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</si>
  <si>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</si>
  <si>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</si>
  <si>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</si>
  <si>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</si>
  <si>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</si>
  <si>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</si>
  <si>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</si>
  <si>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</si>
  <si>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</si>
  <si>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</si>
  <si>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</si>
  <si>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</si>
  <si>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</si>
  <si>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</si>
  <si>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</si>
  <si>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</si>
  <si>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</si>
  <si>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</si>
  <si>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</si>
  <si>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</si>
  <si>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</si>
  <si>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</si>
  <si>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</si>
  <si>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</si>
  <si>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</si>
  <si>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</si>
  <si>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</si>
  <si>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</si>
  <si>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</si>
  <si>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</si>
  <si>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</si>
  <si>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</si>
  <si>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</si>
  <si>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</si>
  <si>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</si>
  <si>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</si>
  <si>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</si>
  <si>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</si>
  <si>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</si>
  <si>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</si>
  <si>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</si>
  <si>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</si>
  <si>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</si>
  <si>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</si>
  <si>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</si>
  <si>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</si>
  <si>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</si>
  <si>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</si>
  <si>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</si>
  <si>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</si>
  <si>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</si>
  <si>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</si>
  <si>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</si>
  <si>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</si>
  <si>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</si>
  <si>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</si>
  <si>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</si>
  <si>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</si>
  <si>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</si>
  <si>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</si>
  <si>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</si>
  <si>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</si>
  <si>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</si>
  <si>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</si>
  <si>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</si>
  <si>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</si>
  <si>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</si>
  <si>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</si>
  <si>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</si>
  <si>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</si>
  <si>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</si>
  <si>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</si>
  <si>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</si>
  <si>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</si>
  <si>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</si>
  <si>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</si>
  <si>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</si>
  <si>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</si>
  <si>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</si>
  <si>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</si>
  <si>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</si>
  <si>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</si>
  <si>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</si>
  <si>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</si>
  <si>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</si>
  <si>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</si>
  <si>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</si>
  <si>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</si>
  <si>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</si>
  <si>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</si>
  <si>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</si>
  <si>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</si>
  <si>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</si>
  <si>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</si>
  <si>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</si>
  <si>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</si>
  <si>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</si>
  <si>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</si>
  <si>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</si>
  <si>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</si>
  <si>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</si>
  <si>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</si>
  <si>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</si>
  <si>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</si>
  <si>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</si>
  <si>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</si>
  <si>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</si>
  <si>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</si>
  <si>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</si>
  <si>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</si>
  <si>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</si>
  <si>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</si>
  <si>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</si>
  <si>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</si>
  <si>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</si>
  <si>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</si>
  <si>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</si>
  <si>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</si>
  <si>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</si>
  <si>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</si>
  <si>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</si>
  <si>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</si>
  <si>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</si>
  <si>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</si>
  <si>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</si>
  <si>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</si>
  <si>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</si>
  <si>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</si>
  <si>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</si>
  <si>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</si>
  <si>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</si>
  <si>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</si>
  <si>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</si>
  <si>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</si>
  <si>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</si>
  <si>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</si>
  <si>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</si>
  <si>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</si>
  <si>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</si>
  <si>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</si>
  <si>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</si>
  <si>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</si>
  <si>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</si>
  <si>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</si>
  <si>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</si>
  <si>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</si>
  <si>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</si>
  <si>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</si>
  <si>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</si>
  <si>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</si>
  <si>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</si>
  <si>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</si>
  <si>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</si>
  <si>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</si>
  <si>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</si>
  <si>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</si>
  <si>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</si>
  <si>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</si>
  <si>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</si>
  <si>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</si>
  <si>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</si>
  <si>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</si>
  <si>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</si>
  <si>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</si>
  <si>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</si>
  <si>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</si>
  <si>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</si>
  <si>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</si>
  <si>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</si>
  <si>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</si>
  <si>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</si>
  <si>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</si>
  <si>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</si>
  <si>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</si>
  <si>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</si>
  <si>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</si>
  <si>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</si>
  <si>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</si>
  <si>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</si>
  <si>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</si>
  <si>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</si>
  <si>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</si>
  <si>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</si>
  <si>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</si>
  <si>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</si>
  <si>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</si>
  <si>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</si>
  <si>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</si>
  <si>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</si>
  <si>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</si>
  <si>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</si>
  <si>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</si>
  <si>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</si>
  <si>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</si>
  <si>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</si>
  <si>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</si>
  <si>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</si>
  <si>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</si>
  <si>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</si>
  <si>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</si>
  <si>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</si>
  <si>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</si>
  <si>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</si>
  <si>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</si>
  <si>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</si>
  <si>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</si>
  <si>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</si>
  <si>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</si>
  <si>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</si>
  <si>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</si>
  <si>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</si>
  <si>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</si>
  <si>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</si>
  <si>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</si>
  <si>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</si>
  <si>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</si>
  <si>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</si>
  <si>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</si>
  <si>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</si>
  <si>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</si>
  <si>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</si>
  <si>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</si>
  <si>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</si>
  <si>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</si>
  <si>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</si>
  <si>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</si>
  <si>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</si>
  <si>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</si>
  <si>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</si>
  <si>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</si>
  <si>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</si>
  <si>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</si>
  <si>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</si>
  <si>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</si>
  <si>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</si>
  <si>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</si>
  <si>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</si>
  <si>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</si>
  <si>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</si>
  <si>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</si>
  <si>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</si>
  <si>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</si>
  <si>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</si>
  <si>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</si>
  <si>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</si>
  <si>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</si>
  <si>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</si>
  <si>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</si>
  <si>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</si>
  <si>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</si>
  <si>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</si>
  <si>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</si>
  <si>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</si>
  <si>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</si>
  <si>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</si>
  <si>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</si>
  <si>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</si>
  <si>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</si>
  <si>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</si>
  <si>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</si>
  <si>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</si>
  <si>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</si>
  <si>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</si>
  <si>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</si>
  <si>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</si>
  <si>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</si>
  <si>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</si>
  <si>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</si>
  <si>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</si>
  <si>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</si>
  <si>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</si>
  <si>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</si>
  <si>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</si>
  <si>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</si>
  <si>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</si>
  <si>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</si>
  <si>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</si>
  <si>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</si>
  <si>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</si>
  <si>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</si>
  <si>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</si>
  <si>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</si>
  <si>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</si>
  <si>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</si>
  <si>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</si>
  <si>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</si>
  <si>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</si>
  <si>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</si>
  <si>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</si>
  <si>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</si>
  <si>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</si>
  <si>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</si>
  <si>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</si>
  <si>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</si>
  <si>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</si>
  <si>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</si>
  <si>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</si>
  <si>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</si>
  <si>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</si>
  <si>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</si>
  <si>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</si>
  <si>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</si>
  <si>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</si>
  <si>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</si>
  <si>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</si>
  <si>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</si>
  <si>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</si>
  <si>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</si>
  <si>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</si>
  <si>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</si>
  <si>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</si>
  <si>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</si>
  <si>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</si>
  <si>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</si>
  <si>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</si>
  <si>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</si>
  <si>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</si>
  <si>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</si>
  <si>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</si>
  <si>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</si>
  <si>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</si>
  <si>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</si>
  <si>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</si>
  <si>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</si>
  <si>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</si>
  <si>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</si>
  <si>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</si>
  <si>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</si>
  <si>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</si>
  <si>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</si>
  <si>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</si>
  <si>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</si>
  <si>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</si>
  <si>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</si>
  <si>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</si>
  <si>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</si>
  <si>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</si>
  <si>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</si>
  <si>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</si>
  <si>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</si>
  <si>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</si>
  <si>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</si>
  <si>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</si>
  <si>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</si>
  <si>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</si>
  <si>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</si>
  <si>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</si>
  <si>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</si>
  <si>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</si>
  <si>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</si>
  <si>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</si>
  <si>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</si>
  <si>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</si>
  <si>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</si>
  <si>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</si>
  <si>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</si>
  <si>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</si>
  <si>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</si>
  <si>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</si>
  <si>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</si>
  <si>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</si>
  <si>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</si>
  <si>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</si>
  <si>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</si>
  <si>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</si>
  <si>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</si>
  <si>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</si>
  <si>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</si>
  <si>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</si>
  <si>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</si>
  <si>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</si>
  <si>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</si>
  <si>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</si>
  <si>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</si>
  <si>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</si>
  <si>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</si>
  <si>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</si>
  <si>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</si>
  <si>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</si>
  <si>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</si>
  <si>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</si>
  <si>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</si>
  <si>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</si>
  <si>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</si>
  <si>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</si>
  <si>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</si>
  <si>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</si>
  <si>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</si>
  <si>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</si>
  <si>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</si>
  <si>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</si>
  <si>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</si>
  <si>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</si>
  <si>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</si>
  <si>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</si>
  <si>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</si>
  <si>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</si>
  <si>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</si>
  <si>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</si>
  <si>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</si>
  <si>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</si>
  <si>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</si>
  <si>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</si>
  <si>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</si>
  <si>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</si>
  <si>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</si>
  <si>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</si>
  <si>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</si>
  <si>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</si>
  <si>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</si>
  <si>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</si>
  <si>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</si>
  <si>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</si>
  <si>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</si>
  <si>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</si>
  <si>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</si>
  <si>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</si>
  <si>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</si>
  <si>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</si>
  <si>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</si>
  <si>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</si>
  <si>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</si>
  <si>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</si>
  <si>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</si>
  <si>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</si>
  <si>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</si>
  <si>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</si>
  <si>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</si>
  <si>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</si>
  <si>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</si>
  <si>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</si>
  <si>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</si>
  <si>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</si>
  <si>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</si>
  <si>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</si>
  <si>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</si>
  <si>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</si>
  <si>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</si>
  <si>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</si>
  <si>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</si>
  <si>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</si>
  <si>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</si>
  <si>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</si>
  <si>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</si>
  <si>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</si>
  <si>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</si>
  <si>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</si>
  <si>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</si>
  <si>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</si>
  <si>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</si>
  <si>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</si>
  <si>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</si>
  <si>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</si>
  <si>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</si>
  <si>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</si>
  <si>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</si>
  <si>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</si>
  <si>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</si>
  <si>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</si>
  <si>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</si>
  <si>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</si>
  <si>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</si>
  <si>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</si>
  <si>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</si>
  <si>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</si>
  <si>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</si>
  <si>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</si>
  <si>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</si>
  <si>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</si>
  <si>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</si>
  <si>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</si>
  <si>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</si>
  <si>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</si>
  <si>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</si>
  <si>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</si>
  <si>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</si>
  <si>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</si>
  <si>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</si>
  <si>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</si>
  <si>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</si>
  <si>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</si>
  <si>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</si>
  <si>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</si>
  <si>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</si>
  <si>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</si>
  <si>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</si>
  <si>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</si>
  <si>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</si>
  <si>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</si>
  <si>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</si>
  <si>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</si>
  <si>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</si>
  <si>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</si>
  <si>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</si>
  <si>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</si>
  <si>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</si>
  <si>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</si>
  <si>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</si>
  <si>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</si>
  <si>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</si>
  <si>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</si>
  <si>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</si>
  <si>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</si>
  <si>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</si>
  <si>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</si>
  <si>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</si>
  <si>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</si>
  <si>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</si>
  <si>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</si>
  <si>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</si>
  <si>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</si>
  <si>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</si>
  <si>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</si>
  <si>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</si>
  <si>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</si>
  <si>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</si>
  <si>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</si>
  <si>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</si>
  <si>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</si>
  <si>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</si>
  <si>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</si>
  <si>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</si>
  <si>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</si>
  <si>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</si>
  <si>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</si>
  <si>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</si>
  <si>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</si>
  <si>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</si>
  <si>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</si>
  <si>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</si>
  <si>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</si>
  <si>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</si>
  <si>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</si>
  <si>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</si>
  <si>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</si>
  <si>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</si>
  <si>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</si>
  <si>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</si>
  <si>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</si>
  <si>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</si>
  <si>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</si>
  <si>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</si>
  <si>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</si>
  <si>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</si>
  <si>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</si>
  <si>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</si>
  <si>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</si>
  <si>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</si>
  <si>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</si>
  <si>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</si>
  <si>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</si>
  <si>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</si>
  <si>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</si>
  <si>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</si>
  <si>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</si>
  <si>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</si>
  <si>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</si>
  <si>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</si>
  <si>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</si>
  <si>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</si>
  <si>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</si>
  <si>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</si>
  <si>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</si>
  <si>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</si>
  <si>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</si>
  <si>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</si>
  <si>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</si>
  <si>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</si>
  <si>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</si>
  <si>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</si>
  <si>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</si>
  <si>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</si>
  <si>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</si>
  <si>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</si>
  <si>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</si>
  <si>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</si>
  <si>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</si>
  <si>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</si>
  <si>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</si>
  <si>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</si>
  <si>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</si>
  <si>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</si>
  <si>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</si>
  <si>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</si>
  <si>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</si>
  <si>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</si>
  <si>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</si>
  <si>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</si>
  <si>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</si>
  <si>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</si>
  <si>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</si>
  <si>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</si>
  <si>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</si>
  <si>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</si>
  <si>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</si>
  <si>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</si>
  <si>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</si>
  <si>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</si>
  <si>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</si>
  <si>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</si>
  <si>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</si>
  <si>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</si>
  <si>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</si>
  <si>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</si>
  <si>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</si>
  <si>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</si>
  <si>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</si>
  <si>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</si>
  <si>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</si>
  <si>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</si>
  <si>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</si>
  <si>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</si>
  <si>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</si>
  <si>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</si>
  <si>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</si>
  <si>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</si>
  <si>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</si>
  <si>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</si>
  <si>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</si>
  <si>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</si>
  <si>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</si>
  <si>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</si>
  <si>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</si>
  <si>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</si>
  <si>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</si>
  <si>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</si>
  <si>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</si>
  <si>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</si>
  <si>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</si>
  <si>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</si>
  <si>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</si>
  <si>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</si>
  <si>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</si>
  <si>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</si>
  <si>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</si>
  <si>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</si>
  <si>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</si>
  <si>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</si>
  <si>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</si>
  <si>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</si>
  <si>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</si>
  <si>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</si>
  <si>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</si>
  <si>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</si>
  <si>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</si>
  <si>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</si>
  <si>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</si>
  <si>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</si>
  <si>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</si>
  <si>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</si>
  <si>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</si>
  <si>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</si>
  <si>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</si>
  <si>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</si>
  <si>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</si>
  <si>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</si>
  <si>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</si>
  <si>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</si>
  <si>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</si>
  <si>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</si>
  <si>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</si>
  <si>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</si>
  <si>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</si>
  <si>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</si>
  <si>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</si>
  <si>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</si>
  <si>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</si>
  <si>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</si>
  <si>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</si>
  <si>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</si>
  <si>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</si>
  <si>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</si>
  <si>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</si>
  <si>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</si>
  <si>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</si>
  <si>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</si>
  <si>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</si>
  <si>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</si>
  <si>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</si>
  <si>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</si>
  <si>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</si>
  <si>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</si>
  <si>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</si>
  <si>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</si>
  <si>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</si>
  <si>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</si>
  <si>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</si>
  <si>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</si>
  <si>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</si>
  <si>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</si>
  <si>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</si>
  <si>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</si>
  <si>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</si>
  <si>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</si>
  <si>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</si>
  <si>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</si>
  <si>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</si>
  <si>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</si>
  <si>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</si>
  <si>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</si>
  <si>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</si>
  <si>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</si>
  <si>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</si>
  <si>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</si>
  <si>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</si>
  <si>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</si>
  <si>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</si>
  <si>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</si>
  <si>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</si>
  <si>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</si>
  <si>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</si>
  <si>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</si>
  <si>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</si>
  <si>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</si>
  <si>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</si>
  <si>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</si>
  <si>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</si>
  <si>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</si>
  <si>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</si>
  <si>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</si>
  <si>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</si>
  <si>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</si>
  <si>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</si>
  <si>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</si>
  <si>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</si>
  <si>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</si>
  <si>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</si>
  <si>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</si>
  <si>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</si>
  <si>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</si>
  <si>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</si>
  <si>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</si>
  <si>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</si>
  <si>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</si>
  <si>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</si>
  <si>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</si>
  <si>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</si>
  <si>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</si>
  <si>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</si>
  <si>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</si>
  <si>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</si>
  <si>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</si>
  <si>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</si>
  <si>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</si>
  <si>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</si>
  <si>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</si>
  <si>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</si>
  <si>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</si>
  <si>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</si>
  <si>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</si>
  <si>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</si>
  <si>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</si>
  <si>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</si>
  <si>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</si>
  <si>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</si>
  <si>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</si>
  <si>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</si>
  <si>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</si>
  <si>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</si>
  <si>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</si>
  <si>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</si>
  <si>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</si>
  <si>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</si>
  <si>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</si>
  <si>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</si>
  <si>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</si>
  <si>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</si>
  <si>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</si>
  <si>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</si>
  <si>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</si>
  <si>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</si>
  <si>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</si>
  <si>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</si>
  <si>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</si>
  <si>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</si>
  <si>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</si>
  <si>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</si>
  <si>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</si>
  <si>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</si>
  <si>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</si>
  <si>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</si>
  <si>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</si>
  <si>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</si>
  <si>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</si>
  <si>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</si>
  <si>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</si>
  <si>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</si>
  <si>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</si>
  <si>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</si>
  <si>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</si>
  <si>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</si>
  <si>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</si>
  <si>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</si>
  <si>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</si>
  <si>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</si>
  <si>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</si>
  <si>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</si>
  <si>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</si>
  <si>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</si>
  <si>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</si>
  <si>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</si>
  <si>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</si>
  <si>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</si>
  <si>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</si>
  <si>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</si>
  <si>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</si>
  <si>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</si>
  <si>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</si>
  <si>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</si>
  <si>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</si>
  <si>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</si>
  <si>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</si>
  <si>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</si>
  <si>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</si>
  <si>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</si>
  <si>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</si>
  <si>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</si>
  <si>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</si>
  <si>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</si>
  <si>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</si>
  <si>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</si>
  <si>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</si>
  <si>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</si>
  <si>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</si>
  <si>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</si>
  <si>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</si>
  <si>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</si>
  <si>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</si>
  <si>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</si>
  <si>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</si>
  <si>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</si>
  <si>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</si>
  <si>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</si>
  <si>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</si>
  <si>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</si>
  <si>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</si>
  <si>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</si>
  <si>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</si>
  <si>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</si>
  <si>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</si>
  <si>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</si>
  <si>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</si>
  <si>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</si>
  <si>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</si>
  <si>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</si>
  <si>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</si>
  <si>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</si>
  <si>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</si>
  <si>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</si>
  <si>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</si>
  <si>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</si>
  <si>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</si>
  <si>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</si>
  <si>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</si>
  <si>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</si>
  <si>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</si>
  <si>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</si>
  <si>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</si>
  <si>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</si>
  <si>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</si>
  <si>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</si>
  <si>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</si>
  <si>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</si>
  <si>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</si>
  <si>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</si>
  <si>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</si>
  <si>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</si>
  <si>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</si>
  <si>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</si>
  <si>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</si>
  <si>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</si>
  <si>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</si>
  <si>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</si>
  <si>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</si>
  <si>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</si>
  <si>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</si>
  <si>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</si>
  <si>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</si>
  <si>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</si>
  <si>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</si>
  <si>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</si>
  <si>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</si>
  <si>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</si>
  <si>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</si>
  <si>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</si>
  <si>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</si>
  <si>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</si>
  <si>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</si>
  <si>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</si>
  <si>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</si>
  <si>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</si>
  <si>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</si>
  <si>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</si>
  <si>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</si>
  <si>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</si>
  <si>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</si>
  <si>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</si>
  <si>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</si>
  <si>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</si>
  <si>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</si>
  <si>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</si>
  <si>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</si>
  <si>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</si>
  <si>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</si>
  <si>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</si>
  <si>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</si>
  <si>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</si>
  <si>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</si>
  <si>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</si>
  <si>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</si>
  <si>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</si>
  <si>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</si>
  <si>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</si>
  <si>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</si>
  <si>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</si>
  <si>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</si>
  <si>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</si>
  <si>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</si>
  <si>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</si>
  <si>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</si>
  <si>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</si>
  <si>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</si>
  <si>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</si>
  <si>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</si>
  <si>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</si>
  <si>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</si>
  <si>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</si>
  <si>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</si>
  <si>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</si>
  <si>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</si>
  <si>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</si>
  <si>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</si>
  <si>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</si>
  <si>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</si>
  <si>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</si>
  <si>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</si>
  <si>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</si>
  <si>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</si>
  <si>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</si>
  <si>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</si>
  <si>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</si>
  <si>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</si>
  <si>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</si>
  <si>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</si>
  <si>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</si>
  <si>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</si>
  <si>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</si>
  <si>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</si>
  <si>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</si>
  <si>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</si>
  <si>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</si>
  <si>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</si>
  <si>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</si>
  <si>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</si>
  <si>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</si>
  <si>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</si>
  <si>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</si>
  <si>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</si>
  <si>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</si>
  <si>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</si>
  <si>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</si>
  <si>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</si>
  <si>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</si>
  <si>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</si>
  <si>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</si>
  <si>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</si>
  <si>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</si>
  <si>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</si>
  <si>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</si>
  <si>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</si>
  <si>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</si>
  <si>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</si>
  <si>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</si>
  <si>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</si>
  <si>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</si>
  <si>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</si>
  <si>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</si>
  <si>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</si>
  <si>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</si>
  <si>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</si>
  <si>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</si>
  <si>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</si>
  <si>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</si>
  <si>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</si>
  <si>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</si>
  <si>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</si>
  <si>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</si>
  <si>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</si>
  <si>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</si>
  <si>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</si>
  <si>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</si>
  <si>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</si>
  <si>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</si>
  <si>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</si>
  <si>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</si>
  <si>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</si>
  <si>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</si>
  <si>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</si>
  <si>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</si>
  <si>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</si>
  <si>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</si>
  <si>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</si>
  <si>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</si>
  <si>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</si>
  <si>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</si>
  <si>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</si>
  <si>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</si>
  <si>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</si>
  <si>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</si>
  <si>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</si>
  <si>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</si>
  <si>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</si>
  <si>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</si>
  <si>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</si>
  <si>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</si>
  <si>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</si>
  <si>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</si>
  <si>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</si>
  <si>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</si>
  <si>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</si>
  <si>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</si>
  <si>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</si>
  <si>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</si>
  <si>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</si>
  <si>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</si>
  <si>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</si>
  <si>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</si>
  <si>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</si>
  <si>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</si>
  <si>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</si>
  <si>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</si>
  <si>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</si>
  <si>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</si>
  <si>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</si>
  <si>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</si>
  <si>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</si>
  <si>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</si>
  <si>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</si>
  <si>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</si>
  <si>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</si>
  <si>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</si>
  <si>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</si>
  <si>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</si>
  <si>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</si>
  <si>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</si>
  <si>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</si>
  <si>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</si>
  <si>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</si>
  <si>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</si>
  <si>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</si>
  <si>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</si>
  <si>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</si>
  <si>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</si>
  <si>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</si>
  <si>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</si>
  <si>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</si>
  <si>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</si>
  <si>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</si>
  <si>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</si>
  <si>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</si>
  <si>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</si>
  <si>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</si>
  <si>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</si>
  <si>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</si>
  <si>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</si>
  <si>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</si>
  <si>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</si>
  <si>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</si>
  <si>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</si>
  <si>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</si>
  <si>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</si>
  <si>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</si>
  <si>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</si>
  <si>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</si>
  <si>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</si>
  <si>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</si>
  <si>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</si>
  <si>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</si>
  <si>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</si>
  <si>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</si>
  <si>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</si>
  <si>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</si>
  <si>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</si>
  <si>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</si>
  <si>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</si>
  <si>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</si>
  <si>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</si>
  <si>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</si>
  <si>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</si>
  <si>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</si>
  <si>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</si>
  <si>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</si>
  <si>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</si>
  <si>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</si>
  <si>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</si>
  <si>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</si>
  <si>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</si>
  <si>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</si>
  <si>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</si>
  <si>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</si>
  <si>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</si>
  <si>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</si>
  <si>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</si>
  <si>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</si>
  <si>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</si>
  <si>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</si>
  <si>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</si>
  <si>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</si>
  <si>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</si>
  <si>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</si>
  <si>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</si>
  <si>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</si>
  <si>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</si>
  <si>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</si>
  <si>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</si>
  <si>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</si>
  <si>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</si>
  <si>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</si>
  <si>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</si>
  <si>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</si>
  <si>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</si>
  <si>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</si>
  <si>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</si>
  <si>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</si>
  <si>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</si>
  <si>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</si>
  <si>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</si>
  <si>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</si>
  <si>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</si>
  <si>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</si>
  <si>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</si>
  <si>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</si>
  <si>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</si>
  <si>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</si>
  <si>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</si>
  <si>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</si>
  <si>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</si>
  <si>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</si>
  <si>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</si>
  <si>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</si>
  <si>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</si>
  <si>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</si>
  <si>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</si>
  <si>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</si>
  <si>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</si>
  <si>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</si>
  <si>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</si>
  <si>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</si>
  <si>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</si>
  <si>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</si>
  <si>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</si>
  <si>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</si>
  <si>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</si>
  <si>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</si>
  <si>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</si>
  <si>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</si>
  <si>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</si>
  <si>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</si>
  <si>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</si>
  <si>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</si>
  <si>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</si>
  <si>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</si>
  <si>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</si>
  <si>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</si>
  <si>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</si>
  <si>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</si>
  <si>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</si>
  <si>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</si>
  <si>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</si>
  <si>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</si>
  <si>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</si>
  <si>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</si>
  <si>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</si>
  <si>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</si>
  <si>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</si>
  <si>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</si>
  <si>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</si>
  <si>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</si>
  <si>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</si>
  <si>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</si>
  <si>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</si>
  <si>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</si>
  <si>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</si>
  <si>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</si>
  <si>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</si>
  <si>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</si>
  <si>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</si>
  <si>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</si>
  <si>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</si>
  <si>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</si>
  <si>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</si>
  <si>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</si>
  <si>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</si>
  <si>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</si>
  <si>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</si>
  <si>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</si>
  <si>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</si>
  <si>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</si>
  <si>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</si>
  <si>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</si>
  <si>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</si>
  <si>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</si>
  <si>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</si>
  <si>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</si>
  <si>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</si>
  <si>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</si>
  <si>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</si>
  <si>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</si>
  <si>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</si>
  <si>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</si>
  <si>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</si>
  <si>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</si>
  <si>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</si>
  <si>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</si>
  <si>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</si>
  <si>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</si>
  <si>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</si>
  <si>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</si>
  <si>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</si>
  <si>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</si>
  <si>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</si>
  <si>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</si>
  <si>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</si>
  <si>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</si>
  <si>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</si>
  <si>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</si>
  <si>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</si>
  <si>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</si>
  <si>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</si>
  <si>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</si>
  <si>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</si>
  <si>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</si>
  <si>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</si>
  <si>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</si>
  <si>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</si>
  <si>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</si>
  <si>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</si>
  <si>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</si>
  <si>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</si>
  <si>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</si>
  <si>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</si>
  <si>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</si>
  <si>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</si>
  <si>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</si>
  <si>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</si>
  <si>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</si>
  <si>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</si>
  <si>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</si>
  <si>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</si>
  <si>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</si>
  <si>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</si>
  <si>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</si>
  <si>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</si>
  <si>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</si>
  <si>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</si>
  <si>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</si>
  <si>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</si>
  <si>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</si>
  <si>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</si>
  <si>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</si>
  <si>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</si>
  <si>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</si>
  <si>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</si>
  <si>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</si>
  <si>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</si>
  <si>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</si>
  <si>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</si>
  <si>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</si>
  <si>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</si>
  <si>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</si>
  <si>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</si>
  <si>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</si>
  <si>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</si>
  <si>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</si>
  <si>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</si>
  <si>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</si>
  <si>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</si>
  <si>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</si>
  <si>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</si>
  <si>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</si>
  <si>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</si>
  <si>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</si>
  <si>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</si>
  <si>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</si>
  <si>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</si>
  <si>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</si>
  <si>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</si>
  <si>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</si>
  <si>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</si>
  <si>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</si>
  <si>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</si>
  <si>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</si>
  <si>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</si>
  <si>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</si>
  <si>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</si>
  <si>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</si>
  <si>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</si>
  <si>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</si>
  <si>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</si>
  <si>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</si>
  <si>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</si>
  <si>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</si>
  <si>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</si>
  <si>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</si>
  <si>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</si>
  <si>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</si>
  <si>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</si>
  <si>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</si>
  <si>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</si>
  <si>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</si>
  <si>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</si>
  <si>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</si>
  <si>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</si>
  <si>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</si>
  <si>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</si>
  <si>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</si>
  <si>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</si>
  <si>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</si>
  <si>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</si>
  <si>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</si>
  <si>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</si>
  <si>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</si>
  <si>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</si>
  <si>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</si>
  <si>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</si>
  <si>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</si>
  <si>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</si>
  <si>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</si>
  <si>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</si>
  <si>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</si>
  <si>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</si>
  <si>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</si>
  <si>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</si>
  <si>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</si>
  <si>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</si>
  <si>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</si>
  <si>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</si>
  <si>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</si>
  <si>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</si>
  <si>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</si>
  <si>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</si>
  <si>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</si>
  <si>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</si>
  <si>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</si>
  <si>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</si>
  <si>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</si>
  <si>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</si>
  <si>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</si>
  <si>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</si>
  <si>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</si>
  <si>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</si>
  <si>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</si>
  <si>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</si>
  <si>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</si>
  <si>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</si>
  <si>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</si>
  <si>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</si>
  <si>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</si>
  <si>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</si>
  <si>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</si>
  <si>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</si>
  <si>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</si>
  <si>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</si>
  <si>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</si>
  <si>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</si>
  <si>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</si>
  <si>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</si>
  <si>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</si>
  <si>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</si>
  <si>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</si>
  <si>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</si>
  <si>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</si>
  <si>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</si>
  <si>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</si>
  <si>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</si>
  <si>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</si>
  <si>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</si>
  <si>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</si>
  <si>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</si>
  <si>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</si>
  <si>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</si>
  <si>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</si>
  <si>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</si>
  <si>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</si>
  <si>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</si>
  <si>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</si>
  <si>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</si>
  <si>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</si>
  <si>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</si>
  <si>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</si>
  <si>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</si>
  <si>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</si>
  <si>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</si>
  <si>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</si>
  <si>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</si>
  <si>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</si>
  <si>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</si>
  <si>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</si>
  <si>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</si>
  <si>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</si>
  <si>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</si>
  <si>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</si>
  <si>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</si>
  <si>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</si>
  <si>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</si>
  <si>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</si>
  <si>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</si>
  <si>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</si>
  <si>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</si>
  <si>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</si>
  <si>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</si>
  <si>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</si>
  <si>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</si>
  <si>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</si>
  <si>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</si>
  <si>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</si>
  <si>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</si>
  <si>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</si>
  <si>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</si>
  <si>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</si>
  <si>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</si>
  <si>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</si>
  <si>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</si>
  <si>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</si>
  <si>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</si>
  <si>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</si>
  <si>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</si>
  <si>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</si>
  <si>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</si>
  <si>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</si>
  <si>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</si>
  <si>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</si>
  <si>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</si>
  <si>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</si>
  <si>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</si>
  <si>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</si>
  <si>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</si>
  <si>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</si>
  <si>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</si>
  <si>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</si>
  <si>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</si>
  <si>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</si>
  <si>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</si>
  <si>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</si>
  <si>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</si>
  <si>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</si>
  <si>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</si>
  <si>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</si>
  <si>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</si>
  <si>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</si>
  <si>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</si>
  <si>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</si>
  <si>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</si>
  <si>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</si>
  <si>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</si>
  <si>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</si>
  <si>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</si>
  <si>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</si>
  <si>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</si>
  <si>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</si>
  <si>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</si>
  <si>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</si>
  <si>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</si>
  <si>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</si>
  <si>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</si>
  <si>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</si>
  <si>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</si>
  <si>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</si>
  <si>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</si>
  <si>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</si>
  <si>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</si>
  <si>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</si>
  <si>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</si>
  <si>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</si>
  <si>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</si>
  <si>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</si>
  <si>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</si>
  <si>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</si>
  <si>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</si>
  <si>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</si>
  <si>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</si>
  <si>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</si>
  <si>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</si>
  <si>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</si>
  <si>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</si>
  <si>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</si>
  <si>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</si>
  <si>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</si>
  <si>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</si>
  <si>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</si>
  <si>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</si>
  <si>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</si>
  <si>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</si>
  <si>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</si>
  <si>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</si>
  <si>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</si>
  <si>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</si>
  <si>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</si>
  <si>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</si>
  <si>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</si>
  <si>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</si>
  <si>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</si>
  <si>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</si>
  <si>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</si>
  <si>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</si>
  <si>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</si>
  <si>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</si>
  <si>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</si>
  <si>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</si>
  <si>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</si>
  <si>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</si>
  <si>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</si>
  <si>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</si>
  <si>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</si>
  <si>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</si>
  <si>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</si>
  <si>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</si>
  <si>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</si>
  <si>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</si>
  <si>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</si>
  <si>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</si>
  <si>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</si>
  <si>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</si>
  <si>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</si>
  <si>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</si>
  <si>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</si>
  <si>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</si>
  <si>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</si>
  <si>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</si>
  <si>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</si>
  <si>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</si>
  <si>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</si>
  <si>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</si>
  <si>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</si>
  <si>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</si>
  <si>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</si>
  <si>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</si>
  <si>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</si>
  <si>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</si>
  <si>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</si>
  <si>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</si>
  <si>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</si>
  <si>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</si>
  <si>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</si>
  <si>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</si>
  <si>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</si>
  <si>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</si>
  <si>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</si>
  <si>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</si>
  <si>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</si>
  <si>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</si>
  <si>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</si>
  <si>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</si>
  <si>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</si>
  <si>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</si>
  <si>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</si>
  <si>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</si>
  <si>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</si>
  <si>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</si>
  <si>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</si>
  <si>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</si>
  <si>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</si>
  <si>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</si>
  <si>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</si>
  <si>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</si>
  <si>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</si>
  <si>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</si>
  <si>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</si>
  <si>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</si>
  <si>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</si>
  <si>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</si>
  <si>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</si>
  <si>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</si>
  <si>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</si>
  <si>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</si>
  <si>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</si>
  <si>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</si>
  <si>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</si>
  <si>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</si>
  <si>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</si>
  <si>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</si>
  <si>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</si>
  <si>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</si>
  <si>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</si>
  <si>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</si>
  <si>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</si>
  <si>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</si>
  <si>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</si>
  <si>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</si>
  <si>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</si>
  <si>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</si>
  <si>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</si>
  <si>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</si>
  <si>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</si>
  <si>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</si>
  <si>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</si>
  <si>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</si>
  <si>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</si>
  <si>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</si>
  <si>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</si>
  <si>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</si>
  <si>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</si>
  <si>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</si>
  <si>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</si>
  <si>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</si>
  <si>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</si>
  <si>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</si>
  <si>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</si>
  <si>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</si>
  <si>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</si>
  <si>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</si>
  <si>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</si>
  <si>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</si>
  <si>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</si>
  <si>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</si>
  <si>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</si>
  <si>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</si>
  <si>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</si>
  <si>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</si>
  <si>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</si>
  <si>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</si>
  <si>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</si>
  <si>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</si>
  <si>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</si>
  <si>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</si>
  <si>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</si>
  <si>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</si>
  <si>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</si>
  <si>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</si>
  <si>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</si>
  <si>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</si>
  <si>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</si>
  <si>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</si>
  <si>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</si>
  <si>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</si>
  <si>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</si>
  <si>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</si>
  <si>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</si>
  <si>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</si>
  <si>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</si>
  <si>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</si>
  <si>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</si>
  <si>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</si>
  <si>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</si>
  <si>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</si>
  <si>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</si>
  <si>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</si>
  <si>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</si>
  <si>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</si>
  <si>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</si>
  <si>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</si>
  <si>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</si>
  <si>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</si>
  <si>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</si>
  <si>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</si>
  <si>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</si>
  <si>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</si>
  <si>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</si>
  <si>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</si>
  <si>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</si>
  <si>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</si>
  <si>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</si>
  <si>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</si>
  <si>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</si>
  <si>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</si>
  <si>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</si>
  <si>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</si>
  <si>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</si>
  <si>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</si>
  <si>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</si>
  <si>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</si>
  <si>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</si>
  <si>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</si>
  <si>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</si>
  <si>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</si>
  <si>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</si>
  <si>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</si>
  <si>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</si>
  <si>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</si>
  <si>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</si>
  <si>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</si>
  <si>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</si>
  <si>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</si>
  <si>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</si>
  <si>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</si>
  <si>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</si>
  <si>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</si>
  <si>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</si>
  <si>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</si>
  <si>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</si>
  <si>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</si>
  <si>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</si>
  <si>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</si>
  <si>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</si>
  <si>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</si>
  <si>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</si>
  <si>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</si>
  <si>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</si>
  <si>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</si>
  <si>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</si>
  <si>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</si>
  <si>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</si>
  <si>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</si>
  <si>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</si>
  <si>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</si>
  <si>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</si>
  <si>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</si>
  <si>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</si>
  <si>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</si>
  <si>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</si>
  <si>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</si>
  <si>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</si>
  <si>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</si>
  <si>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</si>
  <si>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</si>
  <si>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</si>
  <si>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</si>
  <si>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</si>
  <si>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</si>
  <si>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</si>
  <si>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</si>
  <si>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</si>
  <si>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</si>
  <si>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</si>
  <si>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</si>
  <si>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</si>
  <si>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</si>
  <si>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</si>
  <si>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</si>
  <si>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</si>
  <si>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</si>
  <si>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</si>
  <si>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</si>
  <si>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</si>
  <si>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</si>
  <si>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</si>
  <si>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</si>
  <si>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</si>
  <si>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</si>
  <si>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</si>
  <si>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</si>
  <si>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</si>
  <si>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</si>
  <si>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</si>
  <si>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</si>
  <si>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</si>
  <si>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</si>
  <si>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</si>
  <si>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</si>
  <si>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</si>
  <si>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</si>
  <si>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</si>
  <si>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</si>
  <si>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</si>
  <si>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</si>
  <si>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</si>
  <si>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</si>
  <si>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</si>
  <si>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</si>
  <si>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</si>
  <si>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</si>
  <si>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</si>
  <si>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</si>
  <si>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</si>
  <si>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</si>
  <si>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</si>
  <si>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</si>
  <si>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</si>
  <si>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</si>
  <si>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</si>
  <si>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</si>
  <si>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</si>
  <si>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</si>
  <si>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</si>
  <si>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</si>
  <si>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</si>
  <si>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</si>
  <si>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</si>
  <si>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</si>
  <si>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</si>
  <si>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</si>
  <si>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</si>
  <si>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</si>
  <si>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</si>
  <si>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</si>
  <si>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</si>
  <si>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</si>
  <si>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</si>
  <si>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</si>
  <si>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</si>
  <si>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</si>
  <si>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</si>
  <si>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</si>
  <si>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</si>
  <si>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</si>
  <si>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</si>
  <si>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</si>
  <si>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</si>
  <si>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</si>
  <si>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</si>
  <si>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</si>
  <si>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</si>
  <si>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</si>
  <si>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</si>
  <si>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</si>
  <si>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</si>
  <si>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</si>
  <si>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</si>
  <si>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</si>
  <si>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</si>
  <si>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</si>
  <si>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</si>
  <si>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</si>
  <si>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</si>
  <si>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</si>
  <si>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</si>
  <si>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</si>
  <si>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</si>
  <si>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</si>
  <si>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</si>
  <si>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</si>
  <si>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</si>
  <si>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</si>
  <si>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</si>
  <si>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</si>
  <si>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</si>
  <si>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</si>
  <si>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</si>
  <si>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</si>
  <si>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</si>
  <si>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</si>
  <si>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</si>
  <si>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</si>
  <si>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</si>
  <si>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</si>
  <si>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</si>
  <si>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</si>
  <si>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</si>
  <si>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</si>
  <si>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</si>
  <si>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</si>
  <si>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</si>
  <si>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</si>
  <si>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</si>
  <si>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</si>
  <si>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</si>
  <si>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</si>
  <si>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</si>
  <si>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</si>
  <si>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</si>
  <si>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</si>
  <si>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</si>
  <si>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</si>
  <si>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</si>
  <si>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</si>
  <si>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</si>
  <si>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</si>
  <si>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</si>
  <si>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</si>
  <si>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</si>
  <si>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</si>
  <si>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</si>
  <si>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</si>
  <si>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</si>
  <si>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</si>
  <si>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</si>
  <si>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</si>
  <si>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</si>
  <si>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</si>
  <si>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</si>
  <si>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</si>
  <si>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</si>
  <si>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</si>
  <si>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</si>
  <si>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</si>
  <si>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</si>
  <si>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</si>
  <si>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</si>
  <si>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</si>
  <si>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</si>
  <si>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</si>
  <si>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</si>
  <si>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</si>
  <si>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</si>
  <si>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</si>
  <si>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</si>
  <si>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</si>
  <si>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</si>
  <si>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</si>
  <si>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</si>
  <si>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</si>
  <si>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</si>
  <si>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</si>
  <si>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</si>
  <si>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</si>
  <si>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</si>
  <si>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</si>
  <si>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</si>
  <si>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</si>
  <si>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</si>
  <si>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</si>
  <si>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</si>
  <si>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</si>
  <si>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</si>
  <si>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</si>
  <si>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</si>
  <si>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</si>
  <si>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</si>
  <si>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</si>
  <si>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</si>
  <si>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</si>
  <si>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</si>
  <si>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</si>
  <si>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</si>
  <si>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</si>
  <si>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</si>
  <si>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</si>
  <si>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</si>
  <si>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</si>
  <si>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</si>
  <si>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</si>
  <si>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</si>
  <si>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</si>
  <si>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</si>
  <si>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</si>
  <si>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</si>
  <si>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</si>
  <si>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</si>
  <si>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</si>
  <si>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</si>
  <si>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</si>
  <si>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</si>
  <si>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</si>
  <si>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</si>
  <si>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</si>
  <si>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</si>
  <si>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</si>
  <si>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</si>
  <si>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</si>
  <si>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</si>
  <si>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</si>
  <si>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</si>
  <si>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</si>
  <si>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</si>
  <si>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</si>
  <si>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</si>
  <si>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</si>
  <si>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</si>
  <si>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</si>
  <si>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</si>
  <si>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</si>
  <si>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</si>
  <si>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</si>
  <si>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</si>
  <si>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</si>
  <si>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</si>
  <si>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</si>
  <si>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</si>
  <si>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</si>
  <si>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</si>
  <si>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</si>
  <si>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</si>
  <si>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</si>
  <si>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</si>
  <si>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</si>
  <si>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</si>
  <si>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</si>
  <si>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</si>
  <si>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</si>
  <si>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</si>
  <si>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</si>
  <si>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</si>
  <si>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</si>
  <si>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</si>
  <si>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</si>
  <si>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</si>
  <si>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</si>
  <si>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</si>
  <si>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</si>
  <si>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</si>
  <si>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</si>
  <si>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</si>
  <si>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</si>
  <si>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</si>
  <si>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</si>
  <si>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</si>
  <si>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</si>
  <si>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</si>
  <si>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</si>
  <si>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</si>
  <si>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</si>
  <si>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</si>
  <si>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</si>
  <si>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</si>
  <si>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</si>
  <si>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</si>
  <si>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</si>
  <si>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</si>
  <si>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</si>
  <si>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</si>
  <si>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</si>
  <si>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</si>
  <si>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</si>
  <si>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</si>
  <si>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</si>
  <si>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</si>
  <si>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</si>
  <si>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</si>
  <si>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</si>
  <si>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</si>
  <si>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</si>
  <si>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</si>
  <si>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</si>
  <si>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</si>
  <si>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</si>
  <si>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</si>
  <si>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</si>
  <si>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</si>
  <si>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</si>
  <si>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</si>
  <si>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</si>
  <si>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</si>
  <si>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</si>
  <si>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</si>
  <si>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</si>
  <si>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</si>
  <si>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</si>
  <si>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</si>
  <si>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</si>
  <si>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</si>
  <si>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</si>
  <si>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</si>
  <si>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</si>
  <si>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</si>
  <si>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</si>
  <si>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</si>
  <si>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</si>
  <si>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</si>
  <si>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</si>
  <si>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</si>
  <si>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</si>
  <si>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</si>
  <si>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</si>
  <si>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</si>
  <si>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</si>
  <si>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</si>
  <si>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</si>
  <si>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</si>
  <si>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</si>
  <si>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</si>
  <si>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</si>
  <si>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</si>
  <si>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</si>
  <si>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</si>
  <si>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</si>
  <si>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</si>
  <si>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</si>
  <si>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</si>
  <si>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</si>
  <si>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</si>
  <si>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</si>
  <si>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</si>
  <si>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</si>
  <si>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</si>
  <si>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</si>
  <si>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</si>
  <si>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</si>
  <si>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</si>
  <si>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</si>
  <si>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</si>
  <si>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</si>
  <si>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</si>
  <si>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</si>
  <si>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</si>
  <si>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</si>
  <si>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</si>
  <si>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</si>
  <si>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</si>
  <si>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</si>
  <si>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</si>
  <si>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</si>
  <si>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</si>
  <si>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</si>
  <si>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</si>
  <si>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</si>
  <si>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</si>
  <si>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</si>
  <si>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</si>
  <si>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</si>
  <si>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</si>
  <si>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</si>
  <si>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</si>
  <si>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</si>
  <si>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</si>
  <si>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</si>
  <si>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</si>
  <si>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</si>
  <si>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</si>
  <si>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</si>
  <si>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</si>
  <si>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</si>
  <si>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</si>
  <si>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</si>
  <si>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</si>
  <si>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</si>
  <si>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</si>
  <si>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</si>
  <si>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</si>
  <si>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</si>
  <si>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</si>
  <si>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</si>
  <si>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</si>
  <si>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</si>
  <si>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</si>
  <si>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</si>
  <si>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</si>
  <si>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</si>
  <si>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</si>
  <si>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</si>
  <si>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</si>
  <si>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</si>
  <si>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</si>
  <si>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</si>
  <si>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</si>
  <si>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</si>
  <si>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</si>
  <si>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</si>
  <si>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</si>
  <si>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</si>
  <si>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</si>
  <si>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</si>
  <si>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</si>
  <si>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</si>
  <si>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</si>
  <si>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</si>
  <si>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</si>
  <si>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</si>
  <si>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</si>
  <si>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</si>
  <si>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</si>
  <si>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</si>
  <si>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</si>
  <si>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</si>
  <si>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</si>
  <si>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</si>
  <si>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</si>
  <si>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</si>
  <si>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</si>
  <si>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</si>
  <si>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</si>
  <si>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</si>
  <si>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</si>
  <si>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</si>
  <si>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</si>
  <si>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</si>
  <si>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</si>
  <si>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</si>
  <si>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</si>
  <si>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</si>
  <si>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</si>
  <si>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</si>
  <si>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</si>
  <si>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</si>
  <si>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</si>
  <si>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</si>
  <si>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</si>
  <si>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</si>
  <si>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</si>
  <si>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</si>
  <si>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</si>
  <si>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</si>
  <si>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</si>
  <si>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</si>
  <si>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</si>
  <si>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</si>
  <si>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</si>
  <si>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</si>
  <si>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</si>
  <si>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</si>
  <si>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</si>
  <si>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</si>
  <si>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</si>
  <si>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</si>
  <si>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</si>
  <si>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</si>
  <si>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</si>
  <si>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</si>
  <si>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</si>
  <si>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</si>
  <si>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</si>
  <si>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</si>
  <si>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</si>
  <si>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</si>
  <si>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</si>
  <si>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</si>
  <si>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</si>
  <si>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</si>
  <si>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</si>
  <si>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K07156189_21_20260225T113805Z.jpg</t>
  </si>
  <si>
    <t>4 Крыльцо офиса\K07156189_21_20260225T113805Z.jpg</t>
  </si>
  <si>
    <t>ср 25.02.2026 — 11:38:05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</si>
  <si>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</si>
  <si>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</si>
  <si>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</si>
  <si>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</si>
  <si>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</si>
  <si>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</si>
  <si>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</si>
  <si>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</si>
  <si>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</si>
  <si>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</si>
  <si>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</si>
  <si>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</si>
  <si>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</si>
  <si>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</si>
  <si>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</si>
  <si>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</si>
  <si>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</si>
  <si>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</si>
  <si>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</si>
  <si>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</si>
  <si>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</si>
  <si>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</si>
  <si>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</si>
  <si>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</si>
  <si>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</si>
  <si>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</si>
  <si>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</si>
  <si>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</si>
  <si>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</si>
  <si>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</si>
  <si>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</si>
  <si>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</si>
  <si>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</si>
  <si>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</si>
  <si>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</si>
  <si>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</si>
  <si>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</si>
  <si>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</si>
  <si>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</si>
  <si>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</si>
  <si>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</si>
  <si>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</si>
  <si>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</si>
  <si>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</si>
  <si>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</si>
  <si>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</si>
  <si>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</si>
  <si>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</si>
  <si>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</si>
  <si>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</si>
  <si>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</si>
  <si>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</si>
  <si>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</si>
  <si>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</si>
  <si>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GA3948333_2_20260224T090845Z.jpg</t>
  </si>
  <si>
    <t>вт 24.02.2026 — 09:08:45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</si>
  <si>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</si>
  <si>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</si>
  <si>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</si>
  <si>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</si>
  <si>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</si>
  <si>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</si>
  <si>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</si>
  <si>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</si>
  <si>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</si>
  <si>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</si>
  <si>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</si>
  <si>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</si>
  <si>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</si>
  <si>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</si>
  <si>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</si>
  <si>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</si>
  <si>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</si>
  <si>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</si>
  <si>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</si>
  <si>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</si>
  <si>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</si>
  <si>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</si>
  <si>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</si>
  <si>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</si>
  <si>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</si>
  <si>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</si>
  <si>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</si>
  <si>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</si>
  <si>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</si>
  <si>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</si>
  <si>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</si>
  <si>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</si>
  <si>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</si>
  <si>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</si>
  <si>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</si>
  <si>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</si>
  <si>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</si>
  <si>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</si>
  <si>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</si>
  <si>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</si>
  <si>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</si>
  <si>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</si>
  <si>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</si>
  <si>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</si>
  <si>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</si>
  <si>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</si>
  <si>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</si>
  <si>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</si>
  <si>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</si>
  <si>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</si>
  <si>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</si>
  <si>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</si>
  <si>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</si>
  <si>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</si>
  <si>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</si>
  <si>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</si>
  <si>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</si>
  <si>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</si>
  <si>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</si>
  <si>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</si>
  <si>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</si>
  <si>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</si>
  <si>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</si>
  <si>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</si>
  <si>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</si>
  <si>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</si>
  <si>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</si>
  <si>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</si>
  <si>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</si>
  <si>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</si>
  <si>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</si>
  <si>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</si>
  <si>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</si>
  <si>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</si>
  <si>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</si>
  <si>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</si>
  <si>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</si>
  <si>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</si>
  <si>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</si>
  <si>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</si>
  <si>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</si>
  <si>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</si>
  <si>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</si>
  <si>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</si>
  <si>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</si>
  <si>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</si>
  <si>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</si>
  <si>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</si>
  <si>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</si>
  <si>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</si>
  <si>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</si>
  <si>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</si>
  <si>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</si>
  <si>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</si>
  <si>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</si>
  <si>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</si>
  <si>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</si>
  <si>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</si>
  <si>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</si>
  <si>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</si>
  <si>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</si>
  <si>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</si>
  <si>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</si>
  <si>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</si>
  <si>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</si>
  <si>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</si>
  <si>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</si>
  <si>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</si>
  <si>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</si>
  <si>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</si>
  <si>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</si>
  <si>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</si>
  <si>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</si>
  <si>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</si>
  <si>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</si>
  <si>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</si>
  <si>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</si>
  <si>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</si>
  <si>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</si>
  <si>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</si>
  <si>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</si>
  <si>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</si>
  <si>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</si>
  <si>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</si>
  <si>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</si>
  <si>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</si>
  <si>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</si>
  <si>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</si>
  <si>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</si>
  <si>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</si>
  <si>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</si>
  <si>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</si>
  <si>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</si>
  <si>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</si>
  <si>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</si>
  <si>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</si>
  <si>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</si>
  <si>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</si>
  <si>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</si>
  <si>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</si>
  <si>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</si>
  <si>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</si>
  <si>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</si>
  <si>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</si>
  <si>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</si>
  <si>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</si>
  <si>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</si>
  <si>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</si>
  <si>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</si>
  <si>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</si>
  <si>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</si>
  <si>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</si>
  <si>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</si>
  <si>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</si>
  <si>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</si>
  <si>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</si>
  <si>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</si>
  <si>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</si>
  <si>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</si>
  <si>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</si>
  <si>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</si>
  <si>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</si>
  <si>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</si>
  <si>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</si>
  <si>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</si>
  <si>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</si>
  <si>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</si>
  <si>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</si>
  <si>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</si>
  <si>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</si>
  <si>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</si>
  <si>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</si>
  <si>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</si>
  <si>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</si>
  <si>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</si>
  <si>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</si>
  <si>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</si>
  <si>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</si>
  <si>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</si>
  <si>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</si>
  <si>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</si>
  <si>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</si>
  <si>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</si>
  <si>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</si>
  <si>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</si>
  <si>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</si>
  <si>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</si>
  <si>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</si>
  <si>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</si>
  <si>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</si>
  <si>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</si>
  <si>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</si>
  <si>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</si>
  <si>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</si>
  <si>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</si>
  <si>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</si>
  <si>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</si>
  <si>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</si>
  <si>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</si>
  <si>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</si>
  <si>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</si>
  <si>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</si>
  <si>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</si>
  <si>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</si>
  <si>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</si>
  <si>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</si>
  <si>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</si>
  <si>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</si>
  <si>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</si>
  <si>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</si>
  <si>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</si>
  <si>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</si>
  <si>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</si>
  <si>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</si>
  <si>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</si>
  <si>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</si>
  <si>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</si>
  <si>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</si>
  <si>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</si>
  <si>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</si>
  <si>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</si>
  <si>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</si>
  <si>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</si>
  <si>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</si>
  <si>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</si>
  <si>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</si>
  <si>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</si>
  <si>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</si>
  <si>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</si>
  <si>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</si>
  <si>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</si>
  <si>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</si>
  <si>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</si>
  <si>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</si>
  <si>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</si>
  <si>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</si>
  <si>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</si>
  <si>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</si>
  <si>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</si>
  <si>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</si>
  <si>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</si>
  <si>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</si>
  <si>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</si>
  <si>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</si>
  <si>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</si>
  <si>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</si>
  <si>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</si>
  <si>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</si>
  <si>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</si>
  <si>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</si>
  <si>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</si>
  <si>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</si>
  <si>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</si>
  <si>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</si>
  <si>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</si>
  <si>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</si>
  <si>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</si>
  <si>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</si>
  <si>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</si>
  <si>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</si>
  <si>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</si>
  <si>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</si>
  <si>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</si>
  <si>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</si>
  <si>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</si>
  <si>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</si>
  <si>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</si>
  <si>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</si>
  <si>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</si>
  <si>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</si>
  <si>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</si>
  <si>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</si>
  <si>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</si>
  <si>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</si>
  <si>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</si>
  <si>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</si>
  <si>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</si>
  <si>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</si>
  <si>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</si>
  <si>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</si>
  <si>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</si>
  <si>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</si>
  <si>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</si>
  <si>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</si>
  <si>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</si>
  <si>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</si>
  <si>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</si>
  <si>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</si>
  <si>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</si>
  <si>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</si>
  <si>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</si>
  <si>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</si>
  <si>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</si>
  <si>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</si>
  <si>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</si>
  <si>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</si>
  <si>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</si>
  <si>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</si>
  <si>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</si>
  <si>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</si>
  <si>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</si>
  <si>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</si>
  <si>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</si>
  <si>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</si>
  <si>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</si>
  <si>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</si>
  <si>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</si>
  <si>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</si>
  <si>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</si>
  <si>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</si>
  <si>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</si>
  <si>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</si>
  <si>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</si>
  <si>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</si>
  <si>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</si>
  <si>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</si>
  <si>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</si>
  <si>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</si>
  <si>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</si>
  <si>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</si>
  <si>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</si>
  <si>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</si>
  <si>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</si>
  <si>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</si>
  <si>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</si>
  <si>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</si>
  <si>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</si>
  <si>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</si>
  <si>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</si>
  <si>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</si>
  <si>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</si>
  <si>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</si>
  <si>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</si>
  <si>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</si>
  <si>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</si>
  <si>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</si>
  <si>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Територия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</si>
  <si>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</si>
  <si>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</si>
  <si>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</si>
  <si>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</si>
  <si>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</si>
  <si>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</si>
  <si>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</si>
  <si>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</si>
  <si>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</si>
  <si>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</si>
  <si>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</si>
  <si>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</si>
  <si>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</si>
  <si>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</si>
  <si>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</si>
  <si>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</si>
  <si>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</si>
  <si>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</si>
  <si>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</si>
  <si>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</si>
  <si>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</si>
  <si>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</si>
  <si>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</si>
  <si>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</si>
  <si>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</si>
  <si>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</si>
  <si>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</si>
  <si>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</si>
  <si>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</si>
  <si>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</si>
  <si>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</si>
  <si>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</si>
  <si>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</si>
  <si>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</si>
  <si>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</si>
  <si>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</si>
  <si>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</si>
  <si>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</si>
  <si>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</si>
  <si>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</si>
  <si>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</si>
  <si>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</si>
  <si>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</si>
  <si>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</si>
  <si>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</si>
  <si>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</si>
  <si>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</si>
  <si>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</si>
  <si>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</si>
  <si>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</si>
  <si>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</si>
  <si>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</si>
  <si>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</si>
  <si>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</si>
  <si>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</si>
  <si>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</si>
  <si>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</si>
  <si>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</si>
  <si>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</si>
  <si>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</si>
  <si>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</si>
  <si>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</si>
  <si>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</si>
  <si>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</si>
  <si>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</si>
  <si>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</si>
  <si>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</si>
  <si>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</si>
  <si>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</si>
  <si>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</si>
  <si>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</si>
  <si>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</si>
  <si>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</si>
  <si>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</si>
  <si>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</si>
  <si>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</si>
  <si>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</si>
  <si>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</si>
  <si>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</si>
  <si>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</si>
  <si>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</si>
  <si>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</si>
  <si>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</si>
  <si>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</si>
  <si>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</si>
  <si>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</si>
  <si>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</si>
  <si>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</si>
  <si>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</si>
  <si>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</si>
  <si>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</si>
  <si>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</si>
  <si>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</si>
  <si>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</si>
  <si>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</si>
  <si>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</si>
  <si>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</si>
  <si>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</si>
  <si>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</si>
  <si>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</si>
  <si>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</si>
  <si>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</si>
  <si>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</si>
  <si>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</si>
  <si>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</si>
  <si>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</si>
  <si>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</si>
  <si>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</si>
  <si>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</si>
  <si>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</si>
  <si>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</si>
  <si>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</si>
  <si>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</si>
  <si>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</si>
  <si>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</si>
  <si>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</si>
  <si>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</si>
  <si>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</si>
  <si>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</si>
  <si>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</si>
  <si>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</si>
  <si>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</si>
  <si>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</si>
  <si>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</si>
  <si>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</si>
  <si>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</si>
  <si>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</si>
  <si>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</si>
  <si>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</si>
  <si>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</si>
  <si>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</si>
  <si>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</si>
  <si>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</si>
  <si>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</si>
  <si>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</si>
  <si>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</si>
  <si>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</si>
  <si>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</si>
  <si>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</si>
  <si>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</si>
  <si>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</si>
  <si>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</si>
  <si>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</si>
  <si>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</si>
  <si>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</si>
  <si>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</si>
  <si>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</si>
  <si>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</si>
  <si>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</si>
  <si>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</si>
  <si>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</si>
  <si>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</si>
  <si>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</si>
  <si>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</si>
  <si>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</si>
  <si>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</si>
  <si>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</si>
  <si>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</si>
  <si>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</si>
  <si>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</si>
  <si>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</si>
  <si>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</si>
  <si>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</si>
  <si>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</si>
  <si>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</si>
  <si>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</si>
  <si>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</si>
  <si>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</si>
  <si>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</si>
  <si>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</si>
  <si>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</si>
  <si>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</si>
  <si>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</si>
  <si>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</si>
  <si>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</si>
  <si>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</si>
  <si>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</si>
  <si>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</si>
  <si>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</si>
  <si>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</si>
  <si>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</si>
  <si>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</si>
  <si>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</si>
  <si>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</si>
  <si>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</si>
  <si>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</si>
  <si>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</si>
  <si>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</si>
  <si>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</si>
  <si>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</si>
  <si>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</si>
  <si>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</si>
  <si>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</si>
  <si>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</si>
  <si>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</si>
  <si>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</si>
  <si>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</si>
  <si>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</si>
  <si>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</si>
  <si>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</si>
  <si>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</si>
  <si>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</si>
  <si>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</si>
  <si>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</si>
  <si>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</si>
  <si>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</si>
  <si>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</si>
  <si>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</si>
  <si>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</si>
  <si>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</si>
  <si>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</si>
  <si>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</si>
  <si>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</si>
  <si>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</si>
  <si>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</si>
  <si>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</si>
  <si>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</si>
  <si>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</si>
  <si>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</si>
  <si>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</si>
  <si>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</si>
  <si>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</si>
  <si>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</si>
  <si>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</si>
  <si>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</si>
  <si>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</si>
  <si>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</si>
  <si>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</si>
  <si>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</si>
  <si>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</si>
  <si>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</si>
  <si>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</si>
  <si>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</si>
  <si>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</si>
  <si>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</si>
  <si>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</si>
  <si>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</si>
  <si>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</si>
  <si>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</si>
  <si>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</si>
  <si>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</si>
  <si>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</si>
  <si>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</si>
  <si>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</si>
  <si>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</si>
  <si>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</si>
  <si>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</si>
  <si>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</si>
  <si>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</si>
  <si>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</si>
  <si>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</si>
  <si>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</si>
  <si>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</si>
  <si>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</si>
  <si>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</si>
  <si>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</si>
  <si>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</si>
  <si>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</si>
  <si>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</si>
  <si>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</si>
  <si>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</si>
  <si>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</si>
  <si>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</si>
  <si>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</si>
  <si>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</si>
  <si>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</si>
  <si>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</si>
  <si>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</si>
  <si>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</si>
  <si>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</si>
  <si>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</si>
  <si>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</si>
  <si>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</si>
  <si>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</si>
  <si>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</si>
  <si>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</si>
  <si>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</si>
  <si>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</si>
  <si>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</si>
  <si>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</si>
  <si>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</si>
  <si>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</si>
  <si>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</si>
  <si>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</si>
  <si>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</si>
  <si>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</si>
  <si>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</si>
  <si>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</si>
  <si>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</si>
  <si>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</si>
  <si>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</si>
  <si>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</si>
  <si>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</si>
  <si>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</si>
  <si>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</si>
  <si>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</si>
  <si>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</si>
  <si>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</si>
  <si>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</si>
  <si>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</si>
  <si>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</si>
  <si>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</si>
  <si>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</si>
  <si>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</si>
  <si>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</si>
  <si>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</si>
  <si>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</si>
  <si>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</si>
  <si>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</si>
  <si>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</si>
  <si>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</si>
  <si>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</si>
  <si>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</si>
  <si>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</si>
  <si>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</si>
  <si>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</si>
  <si>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</si>
  <si>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</si>
  <si>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</si>
  <si>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</si>
  <si>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</si>
  <si>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</si>
  <si>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</si>
  <si>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</si>
  <si>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</si>
  <si>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</si>
  <si>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</si>
  <si>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</si>
  <si>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</si>
  <si>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</si>
  <si>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</si>
  <si>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</si>
  <si>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</si>
  <si>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</si>
  <si>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</si>
  <si>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</si>
  <si>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</si>
  <si>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</si>
  <si>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</si>
  <si>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</si>
  <si>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</si>
  <si>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</si>
  <si>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</si>
  <si>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</si>
  <si>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</si>
  <si>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</si>
  <si>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</si>
  <si>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</si>
  <si>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</si>
  <si>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</si>
  <si>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</si>
  <si>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</si>
  <si>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</si>
  <si>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</si>
  <si>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</si>
  <si>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</si>
  <si>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</si>
  <si>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</si>
  <si>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</si>
  <si>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</si>
  <si>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</si>
  <si>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</si>
  <si>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</si>
  <si>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</si>
  <si>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</si>
  <si>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</si>
  <si>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</si>
  <si>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</si>
  <si>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</si>
  <si>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</si>
  <si>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</si>
  <si>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</si>
  <si>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</si>
  <si>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</si>
  <si>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</si>
  <si>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</si>
  <si>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</si>
  <si>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</si>
  <si>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</si>
  <si>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</si>
  <si>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</si>
  <si>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</si>
  <si>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</si>
  <si>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</si>
  <si>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</si>
  <si>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</si>
  <si>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</si>
  <si>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</si>
  <si>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</si>
  <si>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</si>
  <si>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</si>
  <si>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</si>
  <si>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</si>
  <si>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</si>
  <si>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</si>
  <si>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</si>
  <si>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</si>
  <si>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</si>
  <si>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</si>
  <si>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</si>
  <si>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</si>
  <si>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</si>
  <si>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</si>
  <si>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</si>
  <si>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</si>
  <si>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</si>
  <si>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</si>
  <si>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</si>
  <si>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</si>
  <si>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</si>
  <si>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</si>
  <si>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</si>
  <si>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</si>
  <si>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</si>
  <si>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</si>
  <si>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</si>
  <si>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</si>
  <si>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</si>
  <si>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</si>
  <si>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</si>
  <si>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</si>
  <si>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</si>
  <si>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</si>
  <si>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</si>
  <si>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</si>
  <si>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</si>
  <si>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</si>
  <si>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</si>
  <si>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</si>
  <si>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</si>
  <si>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</si>
  <si>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</si>
  <si>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</si>
  <si>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</si>
  <si>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</si>
  <si>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</si>
  <si>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</si>
  <si>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</si>
  <si>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</si>
  <si>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</si>
  <si>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</si>
  <si>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</si>
  <si>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</si>
  <si>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</si>
  <si>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</si>
  <si>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</si>
  <si>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</si>
  <si>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</si>
  <si>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</si>
  <si>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</si>
  <si>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</si>
  <si>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</si>
  <si>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</si>
  <si>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</si>
  <si>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</si>
  <si>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</si>
  <si>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</si>
  <si>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</si>
  <si>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</si>
  <si>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</si>
  <si>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</si>
  <si>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</si>
  <si>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</si>
  <si>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</si>
  <si>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</si>
  <si>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</si>
  <si>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</si>
  <si>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</si>
  <si>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</si>
  <si>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</si>
  <si>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</si>
  <si>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</si>
  <si>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</si>
  <si>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</si>
  <si>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</si>
  <si>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</si>
  <si>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</si>
  <si>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</si>
  <si>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</si>
  <si>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</si>
  <si>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</si>
  <si>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</si>
  <si>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</si>
  <si>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</si>
  <si>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</si>
  <si>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</si>
  <si>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</si>
  <si>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</si>
  <si>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</si>
  <si>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</si>
  <si>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</si>
  <si>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</si>
  <si>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</si>
  <si>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</si>
  <si>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</si>
  <si>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</si>
  <si>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</si>
  <si>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</si>
  <si>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</si>
  <si>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</si>
  <si>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</si>
  <si>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</si>
  <si>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</si>
  <si>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</si>
  <si>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</si>
  <si>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</si>
  <si>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</si>
  <si>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</si>
  <si>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</si>
  <si>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</si>
  <si>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</si>
  <si>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</si>
  <si>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</si>
  <si>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</si>
  <si>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</si>
  <si>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</si>
  <si>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</si>
  <si>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</si>
  <si>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</si>
  <si>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</si>
  <si>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</si>
  <si>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</si>
  <si>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</si>
  <si>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</si>
  <si>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</si>
  <si>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</si>
  <si>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</si>
  <si>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</si>
  <si>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</si>
  <si>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</si>
  <si>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</si>
  <si>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</si>
  <si>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</si>
  <si>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</si>
  <si>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</si>
  <si>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</si>
  <si>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</si>
  <si>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</si>
  <si>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</si>
  <si>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</si>
  <si>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</si>
  <si>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</si>
  <si>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</si>
  <si>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</si>
  <si>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</si>
  <si>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</si>
  <si>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</si>
  <si>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</si>
  <si>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</si>
  <si>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</si>
  <si>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</si>
  <si>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</si>
  <si>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</si>
  <si>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</si>
  <si>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</si>
  <si>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</si>
  <si>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</si>
  <si>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</si>
  <si>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</si>
  <si>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</si>
  <si>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</si>
  <si>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</si>
  <si>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</si>
  <si>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</si>
  <si>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</si>
  <si>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</si>
  <si>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</si>
  <si>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</si>
  <si>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</si>
  <si>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</si>
  <si>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</si>
  <si>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</si>
  <si>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</si>
  <si>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</si>
  <si>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</si>
  <si>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</si>
  <si>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</si>
  <si>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</si>
  <si>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</si>
  <si>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</si>
  <si>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</si>
  <si>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</si>
  <si>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</si>
  <si>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</si>
  <si>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</si>
  <si>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</si>
  <si>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</si>
  <si>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</si>
  <si>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</si>
  <si>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</si>
  <si>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</si>
  <si>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</si>
  <si>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</si>
  <si>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</si>
  <si>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</si>
  <si>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</si>
  <si>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</si>
  <si>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</si>
  <si>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</si>
  <si>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</si>
  <si>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</si>
  <si>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</si>
  <si>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</si>
  <si>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</si>
  <si>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</si>
  <si>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</si>
  <si>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</si>
  <si>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</si>
  <si>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</si>
  <si>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</si>
  <si>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рейсмус\GA3948333_2_20260224T090845Z.jpg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</si>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</sst>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1049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59" tableType="queryTable" totalsRowShown="0">
  <autoFilter ref="A1:N259" xr:uid="{B468AF39-21AE-47BD-BA18-EADB2FC1D520}"/>
  <tableColumns count="14">
    <tableColumn id="11" xr3:uid="{6F8E650D-029B-40AD-86B4-92C160128A4F}" uniqueName="11" name="День нед" queryTableFieldId="39" dataDxfId="76"/>
    <tableColumn id="8" xr3:uid="{7C2AA400-8F21-45B7-B47D-9CF2CFB5DD00}" uniqueName="8" name="Дата" queryTableFieldId="19" dataDxfId="75"/>
    <tableColumn id="9" xr3:uid="{7CB7ABF0-C98D-49E4-A494-985A43D5F40F}" uniqueName="9" name="Время" queryTableFieldId="20" dataDxfId="74"/>
    <tableColumn id="5" xr3:uid="{613A944B-9245-4C6D-9CCE-5037AD552DED}" uniqueName="5" name="Событие" queryTableFieldId="27" dataDxfId="1034"/>
    <tableColumn id="7" xr3:uid="{FFEA85A5-3527-4483-91CE-57F760AB9F33}" uniqueName="7" name="Объект" queryTableFieldId="29" dataDxfId="1033"/>
    <tableColumn id="10" xr3:uid="{A2E2C27E-C1B2-4B74-A427-E1854B0E2C76}" uniqueName="10" name="Груз" queryTableFieldId="30" dataDxfId="1032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31"/>
    <tableColumn id="4" xr3:uid="{B2B57637-8A7D-4C5F-A6F8-E38F3EA43620}" uniqueName="4" name="Name" queryTableFieldId="14" dataDxfId="1030"/>
    <tableColumn id="1" xr3:uid="{79275791-6385-434B-9F1B-8BDC003824A7}" uniqueName="1" name="Folder Path" queryTableFieldId="11" dataDxfId="1029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73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2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81" tableType="queryTable" totalsRowShown="0">
  <autoFilter ref="A1:M281" xr:uid="{B468AF39-21AE-47BD-BA18-EADB2FC1D520}"/>
  <tableColumns count="13">
    <tableColumn id="11" xr3:uid="{6804E693-7D64-41A5-9B58-B7D348C4DC92}" uniqueName="11" name="День нед" queryTableFieldId="39" dataDxfId="84"/>
    <tableColumn id="8" xr3:uid="{40827FD9-94EC-4CF6-B212-59CF3E913897}" uniqueName="8" name="Дата" queryTableFieldId="19" dataDxfId="83"/>
    <tableColumn id="9" xr3:uid="{1F8E8ADE-5BFB-4171-9A0A-859E22042D3B}" uniqueName="9" name="Время" queryTableFieldId="20" dataDxfId="82"/>
    <tableColumn id="5" xr3:uid="{9D19F2E1-3C70-4F2F-8ED7-6D41C17A9366}" uniqueName="5" name="Событие" queryTableFieldId="27" dataDxfId="1013"/>
    <tableColumn id="7" xr3:uid="{8C8CC69A-BA0A-4417-AE7D-B89E26F69F9B}" uniqueName="7" name="Объект" queryTableFieldId="29" dataDxfId="1012"/>
    <tableColumn id="10" xr3:uid="{375C36FB-077D-4AA3-B6F7-74ACE46C2638}" uniqueName="10" name="Груз" queryTableFieldId="30" dataDxfId="1011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10"/>
    <tableColumn id="4" xr3:uid="{4A5BB282-D54C-4C68-A1D9-B3A819F9FCF6}" uniqueName="4" name="Name" queryTableFieldId="14" dataDxfId="1009"/>
    <tableColumn id="1" xr3:uid="{7BD19058-41FF-4EFE-8283-68501A5B1623}" uniqueName="1" name="Folder Path" queryTableFieldId="11" dataDxfId="1008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8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63" tableType="queryTable" totalsRowShown="0">
  <autoFilter ref="A1:M163" xr:uid="{B468AF39-21AE-47BD-BA18-EADB2FC1D520}"/>
  <tableColumns count="13">
    <tableColumn id="11" xr3:uid="{8C7989A8-AE95-4BFB-859E-9F3F94DCD873}" uniqueName="11" name="День нед" queryTableFieldId="39" dataDxfId="72"/>
    <tableColumn id="8" xr3:uid="{B651DAE5-1AB7-4761-9820-CB58DA0D9C46}" uniqueName="8" name="Дата" queryTableFieldId="19" dataDxfId="71"/>
    <tableColumn id="9" xr3:uid="{22B6AE73-6E8B-4F81-B85C-3D141AD4D773}" uniqueName="9" name="Время" queryTableFieldId="20" dataDxfId="70"/>
    <tableColumn id="5" xr3:uid="{CB5AF0FF-A861-4F29-BFD9-751A47066C68}" uniqueName="5" name="Событие" queryTableFieldId="27" dataDxfId="993"/>
    <tableColumn id="7" xr3:uid="{63916370-0910-4B95-ABB4-D88865AA9E43}" uniqueName="7" name="Объект" queryTableFieldId="29" dataDxfId="992"/>
    <tableColumn id="10" xr3:uid="{DDC7656E-7390-4778-A2CE-EEC7AC518263}" uniqueName="10" name="Груз" queryTableFieldId="30" dataDxfId="991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990"/>
    <tableColumn id="4" xr3:uid="{96665EED-E1B8-437C-869A-35CB5BA419D3}" uniqueName="4" name="Name" queryTableFieldId="14" dataDxfId="989"/>
    <tableColumn id="1" xr3:uid="{1F225BD8-B59D-4058-9D99-17124C1F38FB}" uniqueName="1" name="Folder Path" queryTableFieldId="11" dataDxfId="988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69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261" tableType="queryTable" totalsRowShown="0">
  <tableColumns count="13">
    <tableColumn id="11" xr3:uid="{F25D1388-C4DF-49FB-9BF5-0132CEDCCAEA}" uniqueName="11" name="День нед" queryTableFieldId="39" dataDxfId="80"/>
    <tableColumn id="8" xr3:uid="{9EDCCA26-9FD6-4F66-9134-186F89CA663B}" uniqueName="8" name="Дата" queryTableFieldId="19" dataDxfId="79"/>
    <tableColumn id="9" xr3:uid="{FB005DB9-8D3C-48A5-94F1-246606C665DD}" uniqueName="9" name="Время" queryTableFieldId="20" dataDxfId="78"/>
    <tableColumn id="5" xr3:uid="{6D19407C-64CF-4FC5-95E7-163AA12EB226}" uniqueName="5" name="Событие" queryTableFieldId="27" dataDxfId="973"/>
    <tableColumn id="7" xr3:uid="{007BF834-0BCB-4416-8941-11DA4EDFCE5B}" uniqueName="7" name="Объект" queryTableFieldId="29" dataDxfId="972"/>
    <tableColumn id="10" xr3:uid="{E896F002-4451-441D-B0CB-52AD69A6E5C3}" uniqueName="10" name="Груз" queryTableFieldId="30" dataDxfId="971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70"/>
    <tableColumn id="4" xr3:uid="{9F6560FA-27F8-4BE9-BA58-3B0E40F582E5}" uniqueName="4" name="Name" queryTableFieldId="14" dataDxfId="969"/>
    <tableColumn id="1" xr3:uid="{44892CD0-9118-4535-9434-E49462140346}" uniqueName="1" name="Folder Path" queryTableFieldId="11" dataDxfId="968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77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358" tableType="queryTable" totalsRowShown="0">
  <tableColumns count="13">
    <tableColumn id="11" xr3:uid="{390CB009-E9E0-4C0F-93C3-AF6B408B816B}" uniqueName="11" name="День нед" queryTableFieldId="39" dataDxfId="30"/>
    <tableColumn id="8" xr3:uid="{E0A1C296-A368-479C-9A74-85306B3C03D4}" uniqueName="8" name="Дата" queryTableFieldId="19" dataDxfId="29"/>
    <tableColumn id="9" xr3:uid="{86401298-83EB-49D3-ACBA-E743586F5CCB}" uniqueName="9" name="Время" queryTableFieldId="20" dataDxfId="28"/>
    <tableColumn id="5" xr3:uid="{FFB4F03A-A400-4544-A729-2375A1F7D5E8}" uniqueName="5" name="Событие" queryTableFieldId="27" dataDxfId="953"/>
    <tableColumn id="7" xr3:uid="{D96DCF3C-D325-4D0C-94A1-DBE97CC5C9DC}" uniqueName="7" name="Объект" queryTableFieldId="29" dataDxfId="952"/>
    <tableColumn id="10" xr3:uid="{76D99262-42F5-447E-95AC-9C2A84BF344C}" uniqueName="10" name="Груз" queryTableFieldId="30" dataDxfId="951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50"/>
    <tableColumn id="4" xr3:uid="{D16AEB37-7A8A-406F-8ED7-B8D53BAA9BD9}" uniqueName="4" name="Name" queryTableFieldId="14" dataDxfId="949"/>
    <tableColumn id="1" xr3:uid="{1746BE5F-089A-476F-AE8D-5F2B27E9AEEA}" uniqueName="1" name="Folder Path" queryTableFieldId="11" dataDxfId="948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2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204" tableType="queryTable" totalsRowShown="0">
  <tableColumns count="13">
    <tableColumn id="11" xr3:uid="{45D23538-AB74-404E-8577-E2B7A36436AF}" uniqueName="11" name="День нед" queryTableFieldId="39" dataDxfId="26"/>
    <tableColumn id="8" xr3:uid="{40B01B94-168F-4547-A2BC-AA7F91350AB3}" uniqueName="8" name="Дата" queryTableFieldId="19" dataDxfId="25"/>
    <tableColumn id="9" xr3:uid="{A2C94EFB-3081-4BA9-85C2-DFF0455AFA43}" uniqueName="9" name="Время" queryTableFieldId="20" dataDxfId="24"/>
    <tableColumn id="5" xr3:uid="{244D3D34-C9EC-4B9C-BE81-12A0C0BB4342}" uniqueName="5" name="Событие" queryTableFieldId="27" dataDxfId="933"/>
    <tableColumn id="7" xr3:uid="{C449A112-E8A8-4956-B85C-2BA12316F170}" uniqueName="7" name="Объект" queryTableFieldId="29" dataDxfId="932"/>
    <tableColumn id="10" xr3:uid="{C8411557-C312-4542-93DA-DF5949399E11}" uniqueName="10" name="Груз" queryTableFieldId="30" dataDxfId="931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30"/>
    <tableColumn id="4" xr3:uid="{6A396D44-0898-4737-A4C1-8D6D40981793}" uniqueName="4" name="Name" queryTableFieldId="14" dataDxfId="929"/>
    <tableColumn id="1" xr3:uid="{328F21C9-48B9-4081-9B8C-BBD168BD38D1}" uniqueName="1" name="Folder Path" queryTableFieldId="11" dataDxfId="928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2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23" tableType="queryTable" totalsRowShown="0">
  <tableColumns count="13">
    <tableColumn id="11" xr3:uid="{2311EAC9-4673-4BE2-ADB0-E8CEB0BD9945}" uniqueName="11" name="День нед" queryTableFieldId="39" dataDxfId="68"/>
    <tableColumn id="8" xr3:uid="{F1C9804A-F8E7-4755-B717-859265C587A2}" uniqueName="8" name="Дата" queryTableFieldId="19" dataDxfId="67"/>
    <tableColumn id="9" xr3:uid="{1C2BA522-8D4F-4713-849C-1F60357B476E}" uniqueName="9" name="Время" queryTableFieldId="20" dataDxfId="66"/>
    <tableColumn id="5" xr3:uid="{6E084A00-DC62-4E93-8ABC-4651FD4D2408}" uniqueName="5" name="Событие" queryTableFieldId="27" dataDxfId="912"/>
    <tableColumn id="7" xr3:uid="{C9F6EF14-DBE7-4655-9D20-5B253923C11E}" uniqueName="7" name="Объект" queryTableFieldId="29" dataDxfId="911"/>
    <tableColumn id="10" xr3:uid="{0ADEC0F9-9FE9-4E92-BD38-0B8CDDE1BDBD}" uniqueName="10" name="Груз" queryTableFieldId="30" dataDxfId="910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09"/>
    <tableColumn id="4" xr3:uid="{FE606B6B-0A78-44A2-B44F-54FBA553BAD6}" uniqueName="4" name="Name" queryTableFieldId="14" dataDxfId="908"/>
    <tableColumn id="1" xr3:uid="{34274AB2-665A-4EF1-8C79-4944C9C122A7}" uniqueName="1" name="Folder Path" queryTableFieldId="11" dataDxfId="907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65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99" tableType="queryTable" totalsRowShown="0">
  <tableColumns count="13">
    <tableColumn id="11" xr3:uid="{72CE202A-C56C-4D63-9F9F-0DFF72BB5190}" uniqueName="11" name="День нед" queryTableFieldId="39" dataDxfId="64"/>
    <tableColumn id="8" xr3:uid="{0D9F5C4C-70B0-46E2-9E29-649E206B6616}" uniqueName="8" name="Дата" queryTableFieldId="19" dataDxfId="63"/>
    <tableColumn id="9" xr3:uid="{7C8561D4-BD7D-493F-BC95-213F2D55F3FD}" uniqueName="9" name="Время" queryTableFieldId="20" dataDxfId="62"/>
    <tableColumn id="5" xr3:uid="{E48795B2-2732-4E4A-81E8-B1585581420B}" uniqueName="5" name="Событие" queryTableFieldId="27" dataDxfId="892"/>
    <tableColumn id="7" xr3:uid="{F684EE24-0636-4EC2-AB94-A65EA5355534}" uniqueName="7" name="Объект" queryTableFieldId="29" dataDxfId="891"/>
    <tableColumn id="10" xr3:uid="{0C1B5273-277F-4438-B52D-9F868AD13DEE}" uniqueName="10" name="Груз" queryTableFieldId="30" dataDxfId="890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889"/>
    <tableColumn id="4" xr3:uid="{729433F6-F4FD-435B-851D-D34CC9060068}" uniqueName="4" name="Name" queryTableFieldId="14" dataDxfId="888"/>
    <tableColumn id="1" xr3:uid="{7A9B9B80-B872-4A82-9D9D-98A75E20F89B}" uniqueName="1" name="Folder Path" queryTableFieldId="11" dataDxfId="887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6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612" tableType="queryTable" totalsRowShown="0">
  <tableColumns count="13">
    <tableColumn id="11" xr3:uid="{2CE691F0-1D02-41BD-8E81-7716875609CD}" uniqueName="11" name="День нед" queryTableFieldId="39" dataDxfId="60"/>
    <tableColumn id="8" xr3:uid="{1A2A3B97-F602-468E-8AD3-5DD492638A71}" uniqueName="8" name="Дата" queryTableFieldId="19" dataDxfId="59"/>
    <tableColumn id="9" xr3:uid="{E8725BDD-FF6C-47C3-9100-825160B93721}" uniqueName="9" name="Время" queryTableFieldId="20" dataDxfId="58"/>
    <tableColumn id="5" xr3:uid="{F68EB906-7F6F-4765-A5C8-9B40064179BE}" uniqueName="5" name="Событие" queryTableFieldId="27" dataDxfId="872"/>
    <tableColumn id="7" xr3:uid="{812FE0F9-0D7E-497C-893A-B104BA069155}" uniqueName="7" name="Объект" queryTableFieldId="29" dataDxfId="871"/>
    <tableColumn id="10" xr3:uid="{1679E688-A047-4936-9EBC-9BDCFEA4CD95}" uniqueName="10" name="Груз" queryTableFieldId="30" dataDxfId="870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69"/>
    <tableColumn id="4" xr3:uid="{F9F7F55E-2CCF-4A6B-892F-1C76C0668832}" uniqueName="4" name="Name" queryTableFieldId="14" dataDxfId="868"/>
    <tableColumn id="1" xr3:uid="{0AF9B05B-8D0E-4B8A-81D0-358A18429CE8}" uniqueName="1" name="Folder Path" queryTableFieldId="11" dataDxfId="867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57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633" tableType="queryTable" totalsRowShown="0">
  <tableColumns count="13">
    <tableColumn id="11" xr3:uid="{96A6BDDB-7ED5-4607-80F3-3FD842EAEE0A}" uniqueName="11" name="День нед" queryTableFieldId="39" dataDxfId="56"/>
    <tableColumn id="8" xr3:uid="{FBEC9ECA-BD5C-442E-BB86-7CCAEF9464D2}" uniqueName="8" name="Дата" queryTableFieldId="19" dataDxfId="55"/>
    <tableColumn id="9" xr3:uid="{68242AF7-BC60-4380-843B-35A6CC4A66E6}" uniqueName="9" name="Время" queryTableFieldId="20" dataDxfId="54"/>
    <tableColumn id="5" xr3:uid="{C98BCFD6-9DE9-4A28-B769-F5737933429D}" uniqueName="5" name="Событие" queryTableFieldId="27" dataDxfId="852"/>
    <tableColumn id="7" xr3:uid="{4D44F8D4-93A4-4851-894E-AC8CDD93BD71}" uniqueName="7" name="Объект" queryTableFieldId="29" dataDxfId="851"/>
    <tableColumn id="10" xr3:uid="{0A838B00-A88A-40EE-A542-7E8E08968D89}" uniqueName="10" name="Груз" queryTableFieldId="30" dataDxfId="850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49"/>
    <tableColumn id="4" xr3:uid="{4FA2E248-D5A3-4824-875F-C328FA9AC2F9}" uniqueName="4" name="Name" queryTableFieldId="14" dataDxfId="848"/>
    <tableColumn id="1" xr3:uid="{B01A6B83-82C4-4172-AD5B-D2AF410DBE1B}" uniqueName="1" name="Folder Path" queryTableFieldId="11" dataDxfId="847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53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10" tableType="queryTable" totalsRowShown="0">
  <tableColumns count="13">
    <tableColumn id="11" xr3:uid="{2AD64508-44AB-4871-8C82-4C5A1E5A5DD2}" uniqueName="11" name="День нед" queryTableFieldId="39" dataDxfId="52"/>
    <tableColumn id="8" xr3:uid="{C788117B-4896-492B-97B3-B2502F0537D8}" uniqueName="8" name="Дата" queryTableFieldId="19" dataDxfId="51"/>
    <tableColumn id="9" xr3:uid="{E3EF5757-6705-492A-BD76-A47D414757C0}" uniqueName="9" name="Время" queryTableFieldId="20" dataDxfId="50"/>
    <tableColumn id="5" xr3:uid="{EF049B28-F832-4F3D-AB4F-3C396920BF5B}" uniqueName="5" name="Событие" queryTableFieldId="27" dataDxfId="832"/>
    <tableColumn id="7" xr3:uid="{DDB63E42-2809-4377-A568-A326109989E9}" uniqueName="7" name="Объект" queryTableFieldId="29" dataDxfId="831"/>
    <tableColumn id="10" xr3:uid="{A4FCF3D3-582A-4DEF-8FB8-9D050C82517D}" uniqueName="10" name="Груз" queryTableFieldId="30" dataDxfId="830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29"/>
    <tableColumn id="4" xr3:uid="{DA63B8EC-3587-40B4-A86A-92B91C78723D}" uniqueName="4" name="Name" queryTableFieldId="14" dataDxfId="828"/>
    <tableColumn id="1" xr3:uid="{360C7476-DEC6-4377-8E95-D472C6673B12}" uniqueName="1" name="Folder Path" queryTableFieldId="11" dataDxfId="827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49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45" tableType="queryTable" totalsRowShown="0">
  <tableColumns count="13">
    <tableColumn id="11" xr3:uid="{C40005DE-8CA6-428A-9DF2-E715CC943F02}" uniqueName="11" name="День нед" queryTableFieldId="39" dataDxfId="43"/>
    <tableColumn id="8" xr3:uid="{55C75F47-F14F-483C-9C7A-95288D9463D6}" uniqueName="8" name="Дата" queryTableFieldId="19" dataDxfId="42"/>
    <tableColumn id="9" xr3:uid="{79D3981C-638A-4D64-BACB-D64D85DAC855}" uniqueName="9" name="Время" queryTableFieldId="20" dataDxfId="41"/>
    <tableColumn id="5" xr3:uid="{B0B848B5-29B2-4292-89A5-7DE5A2F72D15}" uniqueName="5" name="Событие" queryTableFieldId="27" dataDxfId="812"/>
    <tableColumn id="7" xr3:uid="{A9E0C8AC-2336-4969-BC3E-110E6C33529C}" uniqueName="7" name="Объект" queryTableFieldId="29" dataDxfId="811"/>
    <tableColumn id="10" xr3:uid="{F8691CA5-2689-452F-9550-C52E06B35BD6}" uniqueName="10" name="Груз" queryTableFieldId="30" dataDxfId="810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09"/>
    <tableColumn id="4" xr3:uid="{E9716AC2-8439-4E67-8698-BA6CD84F7B9C}" uniqueName="4" name="Name" queryTableFieldId="14" dataDxfId="808"/>
    <tableColumn id="1" xr3:uid="{9AB30DEC-91E3-4633-A156-B937B586CECB}" uniqueName="1" name="Folder Path" queryTableFieldId="11" dataDxfId="807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40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07" tableType="queryTable" totalsRowShown="0">
  <tableColumns count="13">
    <tableColumn id="11" xr3:uid="{B21CFC33-55C8-4073-BBD2-E0A5154A10D6}" uniqueName="11" name="День нед" queryTableFieldId="39" dataDxfId="39"/>
    <tableColumn id="8" xr3:uid="{004370C0-0D3C-4162-A392-32C741C3A58B}" uniqueName="8" name="Дата" queryTableFieldId="19" dataDxfId="38"/>
    <tableColumn id="9" xr3:uid="{6537DA5E-247D-44FB-ACE3-933B3C9B9408}" uniqueName="9" name="Время" queryTableFieldId="20" dataDxfId="37"/>
    <tableColumn id="5" xr3:uid="{4FA9309D-407E-48C1-B1F9-C33DEA7645B1}" uniqueName="5" name="Событие" queryTableFieldId="27" dataDxfId="792"/>
    <tableColumn id="7" xr3:uid="{76E54E9E-D730-4C99-9BF5-96E9384FF63C}" uniqueName="7" name="Объект" queryTableFieldId="29" dataDxfId="791"/>
    <tableColumn id="10" xr3:uid="{B9F78DE2-7938-486B-9BE2-F824D0E7A6C4}" uniqueName="10" name="Груз" queryTableFieldId="30" dataDxfId="790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789"/>
    <tableColumn id="4" xr3:uid="{921D28C1-5761-48A7-B447-6A4446F87545}" uniqueName="4" name="Name" queryTableFieldId="14" dataDxfId="788"/>
    <tableColumn id="1" xr3:uid="{F1A648C1-8DB5-4DEF-B011-BD85E17FCAA3}" uniqueName="1" name="Folder Path" queryTableFieldId="11" dataDxfId="787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36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6" tableType="queryTable" totalsRowShown="0">
  <tableColumns count="13">
    <tableColumn id="11" xr3:uid="{326CF8DE-8E4F-4540-A010-20CF489342A6}" uniqueName="11" name="День нед" queryTableFieldId="39" dataDxfId="48"/>
    <tableColumn id="8" xr3:uid="{B803C26B-EDF7-4F4B-99B7-759FDE206BB4}" uniqueName="8" name="Дата" queryTableFieldId="19" dataDxfId="47"/>
    <tableColumn id="9" xr3:uid="{691C5FBB-50CD-4B8E-845B-069A5BEF4054}" uniqueName="9" name="Время" queryTableFieldId="20" dataDxfId="46"/>
    <tableColumn id="5" xr3:uid="{963AEB35-E363-4027-9FA3-EA15F072700D}" uniqueName="5" name="Событие" queryTableFieldId="27" dataDxfId="772"/>
    <tableColumn id="7" xr3:uid="{9C2F1BAF-3932-43E9-9155-EA713BB0011D}" uniqueName="7" name="Объект" queryTableFieldId="29" dataDxfId="771"/>
    <tableColumn id="10" xr3:uid="{5D4CEE63-A195-4AD7-9985-38CAADCF8E9D}" uniqueName="10" name="Груз" queryTableFieldId="30" dataDxfId="770"/>
    <tableColumn id="13" xr3:uid="{7298E84C-ACAB-4631-8905-CF20AC72E0EA}" uniqueName="13" name="Кол-во" queryTableFieldId="31" dataDxfId="45"/>
    <tableColumn id="14" xr3:uid="{7C8EF3A5-15A6-4571-8EB7-C981C6BEB025}" uniqueName="14" name="Примечание" queryTableFieldId="32" dataDxfId="769"/>
    <tableColumn id="4" xr3:uid="{D4638119-06B9-4DD4-899F-6281EFBF2A28}" uniqueName="4" name="Name" queryTableFieldId="14" dataDxfId="768"/>
    <tableColumn id="1" xr3:uid="{53F21A0B-EBC8-48C0-B8DE-B46C5D45C7AE}" uniqueName="1" name="Folder Path" queryTableFieldId="11" dataDxfId="767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44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5" tableType="queryTable" totalsRowShown="0">
  <tableColumns count="13">
    <tableColumn id="11" xr3:uid="{0CFDC447-3A1C-4713-8714-972F5D0CA073}" uniqueName="11" name="День нед" queryTableFieldId="39" dataDxfId="35"/>
    <tableColumn id="8" xr3:uid="{0C391974-E2F5-4A95-A1CF-60789D499629}" uniqueName="8" name="Дата" queryTableFieldId="19" dataDxfId="34"/>
    <tableColumn id="9" xr3:uid="{FA3DAD09-E88C-4F5F-BF0D-4C339BEA0379}" uniqueName="9" name="Время" queryTableFieldId="20" dataDxfId="33"/>
    <tableColumn id="5" xr3:uid="{A64C6221-99CB-4F4A-8D59-9A565B539E8F}" uniqueName="5" name="Событие" queryTableFieldId="27" dataDxfId="752"/>
    <tableColumn id="7" xr3:uid="{A450DCE6-DF8B-4086-A9AC-461A34512F32}" uniqueName="7" name="Объект" queryTableFieldId="29" dataDxfId="751"/>
    <tableColumn id="10" xr3:uid="{10063D90-AC03-4F75-A11D-AC21D3D60004}" uniqueName="10" name="Груз" queryTableFieldId="30" dataDxfId="750"/>
    <tableColumn id="13" xr3:uid="{181B76AA-1C08-4D33-806D-1F2F74743310}" uniqueName="13" name="Кол-во" queryTableFieldId="31" dataDxfId="32"/>
    <tableColumn id="14" xr3:uid="{4521D51C-620E-4319-B053-8C6D64C3EDE6}" uniqueName="14" name="Примечание" queryTableFieldId="32" dataDxfId="749"/>
    <tableColumn id="4" xr3:uid="{D15D4B57-C607-4304-9179-11BE299FB124}" uniqueName="4" name="Name" queryTableFieldId="14" dataDxfId="748"/>
    <tableColumn id="1" xr3:uid="{A0C0E586-D0B7-448D-928A-8F553900221D}" uniqueName="1" name="Folder Path" queryTableFieldId="11" dataDxfId="747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31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" tableType="queryTable" totalsRowShown="0">
  <tableColumns count="13">
    <tableColumn id="11" xr3:uid="{DBE515D3-C915-413E-AB17-4F456480DC24}" uniqueName="11" name="День нед" queryTableFieldId="39" dataDxfId="22"/>
    <tableColumn id="8" xr3:uid="{3F87D45A-256D-42F9-A0B8-BE1BF846E410}" uniqueName="8" name="Дата" queryTableFieldId="19" dataDxfId="21"/>
    <tableColumn id="9" xr3:uid="{465B1309-C725-4992-B63E-A70188E91281}" uniqueName="9" name="Время" queryTableFieldId="20" dataDxfId="20"/>
    <tableColumn id="5" xr3:uid="{50C1A202-1B56-40A2-AB13-2511D2291499}" uniqueName="5" name="Событие" queryTableFieldId="27" dataDxfId="732"/>
    <tableColumn id="7" xr3:uid="{FDB3318C-D13D-4B0B-9853-1EF40B58299A}" uniqueName="7" name="Объект" queryTableFieldId="29" dataDxfId="731"/>
    <tableColumn id="10" xr3:uid="{1CEBC306-6BF1-49C1-A704-CC239C79F10B}" uniqueName="10" name="Груз" queryTableFieldId="30" dataDxfId="730"/>
    <tableColumn id="13" xr3:uid="{3EE0C05E-6FF0-490E-B1B0-19B341DAD03E}" uniqueName="13" name="Кол-во" queryTableFieldId="31" dataDxfId="19"/>
    <tableColumn id="14" xr3:uid="{2D68CF85-753C-481D-8DC1-3B9EC9B7EC53}" uniqueName="14" name="Примечание" queryTableFieldId="32" dataDxfId="729"/>
    <tableColumn id="4" xr3:uid="{C8B35D61-7E66-45AB-93A9-51E52D8140C2}" uniqueName="4" name="Name" queryTableFieldId="14" dataDxfId="728"/>
    <tableColumn id="1" xr3:uid="{7D5853A1-56B3-42B3-9B8D-B85E9D9A2D1A}" uniqueName="1" name="Folder Path" queryTableFieldId="11" dataDxfId="727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8" tableType="queryTable" totalsRowShown="0">
  <tableColumns count="13">
    <tableColumn id="11" xr3:uid="{C2F51F72-E32B-452E-A758-54D19EA7554C}" uniqueName="11" name="День нед" queryTableFieldId="39" dataDxfId="17"/>
    <tableColumn id="8" xr3:uid="{5605969B-3DDA-4935-9901-BA1373284B0A}" uniqueName="8" name="Дата" queryTableFieldId="19" dataDxfId="16"/>
    <tableColumn id="9" xr3:uid="{D9EC7471-58C0-46C9-8780-F73898B23AC2}" uniqueName="9" name="Время" queryTableFieldId="20" dataDxfId="15"/>
    <tableColumn id="5" xr3:uid="{96518AE6-7E5C-4C8D-B54C-F54D11234D6C}" uniqueName="5" name="Событие" queryTableFieldId="27" dataDxfId="712"/>
    <tableColumn id="7" xr3:uid="{F862865E-2F4F-4BAD-8D28-E2820B418659}" uniqueName="7" name="Объект" queryTableFieldId="29" dataDxfId="711"/>
    <tableColumn id="10" xr3:uid="{476FE760-4B7E-4311-B61C-EB76222CEA80}" uniqueName="10" name="Груз" queryTableFieldId="30" dataDxfId="710"/>
    <tableColumn id="13" xr3:uid="{E29E2A9C-9B65-42B8-A282-C804C29C0986}" uniqueName="13" name="Кол-во" queryTableFieldId="31" dataDxfId="14"/>
    <tableColumn id="14" xr3:uid="{410D0DD1-9316-49BC-A307-70ADAE7FB021}" uniqueName="14" name="Примечание" queryTableFieldId="32" dataDxfId="709"/>
    <tableColumn id="4" xr3:uid="{F032B895-AD2B-487F-A174-968F9099A5EC}" uniqueName="4" name="Name" queryTableFieldId="14" dataDxfId="708"/>
    <tableColumn id="1" xr3:uid="{EDB0C229-E24E-4FEA-A0EA-4864FD102E8A}" uniqueName="1" name="Folder Path" queryTableFieldId="11" dataDxfId="707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3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4234" totalsRowShown="0"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39" tableType="queryTable" totalsRowShown="0">
  <tableColumns count="13">
    <tableColumn id="11" xr3:uid="{789F1DE9-5F62-44CA-84AA-51D36355EDD2}" uniqueName="11" name="День нед" queryTableFieldId="39" dataDxfId="12"/>
    <tableColumn id="8" xr3:uid="{60928C38-9593-43BD-B23F-A707A8BA6BF4}" uniqueName="8" name="Дата" queryTableFieldId="19" dataDxfId="11"/>
    <tableColumn id="9" xr3:uid="{9E5D4465-E1ED-428A-B708-C10ADDB65305}" uniqueName="9" name="Время" queryTableFieldId="20" dataDxfId="10"/>
    <tableColumn id="5" xr3:uid="{A9911CA3-0E83-4156-B13A-725D5483CB80}" uniqueName="5" name="Событие" queryTableFieldId="27" dataDxfId="106"/>
    <tableColumn id="7" xr3:uid="{22ACAF1F-F285-43EB-B67C-1DAA0609E04C}" uniqueName="7" name="Объект" queryTableFieldId="29" dataDxfId="105"/>
    <tableColumn id="10" xr3:uid="{8E679C38-5159-496B-8534-CDFA63A95BDF}" uniqueName="10" name="Груз" queryTableFieldId="30" dataDxfId="104"/>
    <tableColumn id="13" xr3:uid="{A06491EC-5198-4E5F-9576-1A3B2FF455BF}" uniqueName="13" name="Кол-во" queryTableFieldId="31" dataDxfId="9"/>
    <tableColumn id="14" xr3:uid="{881B0B85-064A-4D8F-922A-E2F2D20FE30E}" uniqueName="14" name="Примечание" queryTableFieldId="32" dataDxfId="103"/>
    <tableColumn id="4" xr3:uid="{83859021-3431-4733-9E28-9475D80139E8}" uniqueName="4" name="Name" queryTableFieldId="14" dataDxfId="102"/>
    <tableColumn id="1" xr3:uid="{F6AD7BBE-7CE0-4E30-97C2-B8AA8EFFB52B}" uniqueName="1" name="Folder Path" queryTableFieldId="11" dataDxfId="101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58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4"/>
    <tableColumn id="10" xr3:uid="{37082223-0A57-495F-97B8-0BCE1F173A2E}" uniqueName="10" name="Folder Path" queryTableFieldId="10" dataDxfId="9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65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86"/>
    <tableColumn id="10" xr3:uid="{2646CF32-E994-4A14-AEA5-9E938118AF27}" uniqueName="10" name="Folder Path" queryTableFieldId="10" dataDxfId="85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59"/>
  <sheetViews>
    <sheetView tabSelected="1" zoomScale="90" zoomScaleNormal="90" workbookViewId="0">
      <pane ySplit="1" topLeftCell="A2" activePane="bottomLeft" state="frozen"/>
      <selection pane="bottomLeft" activeCell="J1" sqref="J1:N104857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28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12652</v>
      </c>
      <c r="K2" t="s">
        <v>13082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12652</v>
      </c>
      <c r="K3" t="s">
        <v>12655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12652</v>
      </c>
      <c r="K4" t="s">
        <v>12654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12652</v>
      </c>
      <c r="K5" t="s">
        <v>12653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12652</v>
      </c>
      <c r="K6" t="s">
        <v>13083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12652</v>
      </c>
      <c r="K7" t="s">
        <v>13084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12652</v>
      </c>
      <c r="K8" t="s">
        <v>13085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12652</v>
      </c>
      <c r="K9" t="s">
        <v>12659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12652</v>
      </c>
      <c r="K10" t="s">
        <v>12660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12652</v>
      </c>
      <c r="K11" t="s">
        <v>12661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12652</v>
      </c>
      <c r="K12" t="s">
        <v>12656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12652</v>
      </c>
      <c r="K13" t="s">
        <v>12657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12652</v>
      </c>
      <c r="K14" t="s">
        <v>12658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12652</v>
      </c>
      <c r="K15" t="s">
        <v>13086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12652</v>
      </c>
      <c r="K16" t="s">
        <v>13087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12652</v>
      </c>
      <c r="K17" t="s">
        <v>12663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12652</v>
      </c>
      <c r="K18" t="s">
        <v>12662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12652</v>
      </c>
      <c r="K19" t="s">
        <v>13088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12652</v>
      </c>
      <c r="K20" t="s">
        <v>13089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12652</v>
      </c>
      <c r="K21" t="s">
        <v>13090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12652</v>
      </c>
      <c r="K22" t="s">
        <v>13091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12652</v>
      </c>
      <c r="K23" t="s">
        <v>13092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12652</v>
      </c>
      <c r="K24" t="s">
        <v>13093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12652</v>
      </c>
      <c r="K25" t="s">
        <v>13094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12652</v>
      </c>
      <c r="K26" t="s">
        <v>13095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12652</v>
      </c>
      <c r="K27" t="s">
        <v>13096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12652</v>
      </c>
      <c r="K28" t="s">
        <v>13097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12652</v>
      </c>
      <c r="K29" t="s">
        <v>13098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12652</v>
      </c>
      <c r="K30" t="s">
        <v>12669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12652</v>
      </c>
      <c r="K31" t="s">
        <v>13099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12652</v>
      </c>
      <c r="K32" t="s">
        <v>12668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12652</v>
      </c>
      <c r="K33" t="s">
        <v>12671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12652</v>
      </c>
      <c r="K34" t="s">
        <v>12670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12652</v>
      </c>
      <c r="K35" t="s">
        <v>12665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12652</v>
      </c>
      <c r="K36" t="s">
        <v>12664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12652</v>
      </c>
      <c r="K37" t="s">
        <v>12667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12652</v>
      </c>
      <c r="K38" t="s">
        <v>12666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12652</v>
      </c>
      <c r="K39" t="s">
        <v>13100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12652</v>
      </c>
      <c r="K40" t="s">
        <v>12675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12652</v>
      </c>
      <c r="K41" t="s">
        <v>13101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12652</v>
      </c>
      <c r="K42" t="s">
        <v>12676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12652</v>
      </c>
      <c r="K43" t="s">
        <v>12677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12652</v>
      </c>
      <c r="K44" t="s">
        <v>12672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12652</v>
      </c>
      <c r="K45" t="s">
        <v>13102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12652</v>
      </c>
      <c r="K46" t="s">
        <v>12673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12652</v>
      </c>
      <c r="K47" t="s">
        <v>12674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12652</v>
      </c>
      <c r="K48" t="s">
        <v>13103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12652</v>
      </c>
      <c r="K49" t="s">
        <v>13104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12652</v>
      </c>
      <c r="K50" t="s">
        <v>13105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12652</v>
      </c>
      <c r="K51" t="s">
        <v>12680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12652</v>
      </c>
      <c r="K52" t="s">
        <v>12679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12652</v>
      </c>
      <c r="K53" t="s">
        <v>12678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12652</v>
      </c>
      <c r="K54" t="s">
        <v>13106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12652</v>
      </c>
      <c r="K55" t="s">
        <v>13107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12652</v>
      </c>
      <c r="K56" t="s">
        <v>12682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12652</v>
      </c>
      <c r="K57" t="s">
        <v>12681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12652</v>
      </c>
      <c r="K58" t="s">
        <v>13108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12652</v>
      </c>
      <c r="K59" t="s">
        <v>13109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12652</v>
      </c>
      <c r="K60" t="s">
        <v>13110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12652</v>
      </c>
      <c r="K61" t="s">
        <v>13111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12652</v>
      </c>
      <c r="K62" t="s">
        <v>13112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12652</v>
      </c>
      <c r="K63" t="s">
        <v>13113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12652</v>
      </c>
      <c r="K64" t="s">
        <v>13114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12652</v>
      </c>
      <c r="K65" t="s">
        <v>13115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12652</v>
      </c>
      <c r="K66" t="s">
        <v>13116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12652</v>
      </c>
      <c r="K67" t="s">
        <v>13117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12652</v>
      </c>
      <c r="K68" t="s">
        <v>13118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12652</v>
      </c>
      <c r="K69" t="s">
        <v>13119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12652</v>
      </c>
      <c r="K70" t="s">
        <v>13120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12652</v>
      </c>
      <c r="K71" t="s">
        <v>12685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12652</v>
      </c>
      <c r="K72" t="s">
        <v>12686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12652</v>
      </c>
      <c r="K73" t="s">
        <v>12683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12652</v>
      </c>
      <c r="K74" t="s">
        <v>12684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12652</v>
      </c>
      <c r="K75" t="s">
        <v>12688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12652</v>
      </c>
      <c r="K76" t="s">
        <v>12687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12652</v>
      </c>
      <c r="K77" t="s">
        <v>12690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12652</v>
      </c>
      <c r="K78" t="s">
        <v>12689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12652</v>
      </c>
      <c r="K79" t="s">
        <v>12693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12652</v>
      </c>
      <c r="K80" t="s">
        <v>12694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12652</v>
      </c>
      <c r="K81" t="s">
        <v>12691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12652</v>
      </c>
      <c r="K82" t="s">
        <v>12692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12652</v>
      </c>
      <c r="K83" t="s">
        <v>13121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12652</v>
      </c>
      <c r="K84" t="s">
        <v>13122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12652</v>
      </c>
      <c r="K85" t="s">
        <v>12696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12652</v>
      </c>
      <c r="K86" t="s">
        <v>12695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12652</v>
      </c>
      <c r="K87" t="s">
        <v>13123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12652</v>
      </c>
      <c r="K88" t="s">
        <v>13124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12652</v>
      </c>
      <c r="K89" t="s">
        <v>13125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12652</v>
      </c>
      <c r="K90" t="s">
        <v>13126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12652</v>
      </c>
      <c r="K91" t="s">
        <v>13127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12652</v>
      </c>
      <c r="K92" t="s">
        <v>13128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12652</v>
      </c>
      <c r="K93" t="s">
        <v>13129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12652</v>
      </c>
      <c r="K94" t="s">
        <v>13130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12652</v>
      </c>
      <c r="K95" t="s">
        <v>13131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12652</v>
      </c>
      <c r="K96" t="s">
        <v>13132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12652</v>
      </c>
      <c r="K97" t="s">
        <v>13133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12652</v>
      </c>
      <c r="K98" t="s">
        <v>13134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12652</v>
      </c>
      <c r="K99" t="s">
        <v>13135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12652</v>
      </c>
      <c r="K100" t="s">
        <v>13136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12652</v>
      </c>
      <c r="K101" t="s">
        <v>12698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12652</v>
      </c>
      <c r="K102" t="s">
        <v>12697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12652</v>
      </c>
      <c r="K103" t="s">
        <v>12700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12652</v>
      </c>
      <c r="K104" t="s">
        <v>12699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12652</v>
      </c>
      <c r="K105" t="s">
        <v>12704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12652</v>
      </c>
      <c r="K106" t="s">
        <v>12705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12652</v>
      </c>
      <c r="K107" t="s">
        <v>12706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12652</v>
      </c>
      <c r="K108" t="s">
        <v>12701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12652</v>
      </c>
      <c r="K109" t="s">
        <v>12702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12652</v>
      </c>
      <c r="K110" t="s">
        <v>12703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12652</v>
      </c>
      <c r="K111" t="s">
        <v>12708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12652</v>
      </c>
      <c r="K112" t="s">
        <v>12707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12652</v>
      </c>
      <c r="K113" t="s">
        <v>13137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12652</v>
      </c>
      <c r="K114" t="s">
        <v>13138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12652</v>
      </c>
      <c r="K115" t="s">
        <v>12713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12652</v>
      </c>
      <c r="K116" t="s">
        <v>12714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12652</v>
      </c>
      <c r="K117" t="s">
        <v>12715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12652</v>
      </c>
      <c r="K118" t="s">
        <v>12712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12652</v>
      </c>
      <c r="K119" t="s">
        <v>12709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12652</v>
      </c>
      <c r="K120" t="s">
        <v>12710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12652</v>
      </c>
      <c r="K121" t="s">
        <v>12711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12652</v>
      </c>
      <c r="K122" t="s">
        <v>13139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12652</v>
      </c>
      <c r="K123" t="s">
        <v>12719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12652</v>
      </c>
      <c r="K124" t="s">
        <v>12720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12652</v>
      </c>
      <c r="K125" t="s">
        <v>12718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12652</v>
      </c>
      <c r="K126" t="s">
        <v>12716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12652</v>
      </c>
      <c r="K127" t="s">
        <v>13140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12652</v>
      </c>
      <c r="K128" t="s">
        <v>13141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12652</v>
      </c>
      <c r="K129" t="s">
        <v>12717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12652</v>
      </c>
      <c r="K130" t="s">
        <v>12723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12652</v>
      </c>
      <c r="K131" t="s">
        <v>12724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12652</v>
      </c>
      <c r="K132" t="s">
        <v>12721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12652</v>
      </c>
      <c r="K133" t="s">
        <v>12722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12652</v>
      </c>
      <c r="K134" t="s">
        <v>13142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12652</v>
      </c>
      <c r="K135" t="s">
        <v>12726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12652</v>
      </c>
      <c r="K136" t="s">
        <v>13143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12652</v>
      </c>
      <c r="K137" t="s">
        <v>13144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12652</v>
      </c>
      <c r="K138" t="s">
        <v>13145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12652</v>
      </c>
      <c r="K139" t="s">
        <v>12725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12652</v>
      </c>
      <c r="K140" t="s">
        <v>13146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12652</v>
      </c>
      <c r="K141" t="s">
        <v>13147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12652</v>
      </c>
      <c r="K142" t="s">
        <v>13148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12652</v>
      </c>
      <c r="K143" t="s">
        <v>12728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12652</v>
      </c>
      <c r="K144" t="s">
        <v>12727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12652</v>
      </c>
      <c r="K145" t="s">
        <v>12730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12652</v>
      </c>
      <c r="K146" t="s">
        <v>12729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12652</v>
      </c>
      <c r="K147" t="s">
        <v>13149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12652</v>
      </c>
      <c r="K148" t="s">
        <v>12731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12652</v>
      </c>
      <c r="K149" t="s">
        <v>12734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12652</v>
      </c>
      <c r="K150" t="s">
        <v>13150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12652</v>
      </c>
      <c r="K151" t="s">
        <v>12733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12652</v>
      </c>
      <c r="K152" t="s">
        <v>13151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12652</v>
      </c>
      <c r="K153" t="s">
        <v>12732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12652</v>
      </c>
      <c r="K154" t="s">
        <v>12736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12652</v>
      </c>
      <c r="K155" t="s">
        <v>12735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12652</v>
      </c>
      <c r="K156" t="s">
        <v>12739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12652</v>
      </c>
      <c r="K157" t="s">
        <v>12740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12652</v>
      </c>
      <c r="K158" t="s">
        <v>12737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12652</v>
      </c>
      <c r="K159" t="s">
        <v>12738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12652</v>
      </c>
      <c r="K160" t="s">
        <v>12744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12652</v>
      </c>
      <c r="K161" t="s">
        <v>12745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12652</v>
      </c>
      <c r="K162" t="s">
        <v>13152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12652</v>
      </c>
      <c r="K163" t="s">
        <v>12746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12652</v>
      </c>
      <c r="K164" t="s">
        <v>13153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12652</v>
      </c>
      <c r="K165" t="s">
        <v>12741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12652</v>
      </c>
      <c r="K166" t="s">
        <v>12742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12652</v>
      </c>
      <c r="K167" t="s">
        <v>12743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12652</v>
      </c>
      <c r="K168" t="s">
        <v>13154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12652</v>
      </c>
      <c r="K169" t="s">
        <v>13155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12652</v>
      </c>
      <c r="K170" t="s">
        <v>13156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12652</v>
      </c>
      <c r="K171" t="s">
        <v>13157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12652</v>
      </c>
      <c r="K172" t="s">
        <v>13158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12652</v>
      </c>
      <c r="K173" t="s">
        <v>13159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12652</v>
      </c>
      <c r="K174" t="s">
        <v>13160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12652</v>
      </c>
      <c r="K175" t="s">
        <v>13161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12652</v>
      </c>
      <c r="K176" t="s">
        <v>13162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12652</v>
      </c>
      <c r="K177" t="s">
        <v>13163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12652</v>
      </c>
      <c r="K178" t="s">
        <v>12748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12652</v>
      </c>
      <c r="K179" t="s">
        <v>12747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12652</v>
      </c>
      <c r="K180" t="s">
        <v>13164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12652</v>
      </c>
      <c r="K181" t="s">
        <v>13165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12652</v>
      </c>
      <c r="K182" t="s">
        <v>12750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12652</v>
      </c>
      <c r="K183" t="s">
        <v>12749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12652</v>
      </c>
      <c r="K184" t="s">
        <v>13166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12652</v>
      </c>
      <c r="K185" t="s">
        <v>12752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12652</v>
      </c>
      <c r="K186" t="s">
        <v>12751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12652</v>
      </c>
      <c r="K187" t="s">
        <v>12754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12652</v>
      </c>
      <c r="K188" t="s">
        <v>12753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12652</v>
      </c>
      <c r="K189" t="s">
        <v>12758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12652</v>
      </c>
      <c r="K190" t="s">
        <v>12759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12652</v>
      </c>
      <c r="K191" t="s">
        <v>12760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12652</v>
      </c>
      <c r="K192" t="s">
        <v>12755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12652</v>
      </c>
      <c r="K193" t="s">
        <v>12756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12652</v>
      </c>
      <c r="K194" t="s">
        <v>12757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12652</v>
      </c>
      <c r="K195" t="s">
        <v>13167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12652</v>
      </c>
      <c r="K196" t="s">
        <v>12762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12652</v>
      </c>
      <c r="K197" t="s">
        <v>12761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12652</v>
      </c>
      <c r="K198" t="s">
        <v>13168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12652</v>
      </c>
      <c r="K199" t="s">
        <v>12764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12652</v>
      </c>
      <c r="K200" t="s">
        <v>12763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12652</v>
      </c>
      <c r="K201" t="s">
        <v>12766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12652</v>
      </c>
      <c r="K202" t="s">
        <v>12765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12652</v>
      </c>
      <c r="K203" t="s">
        <v>13169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12652</v>
      </c>
      <c r="K204" t="s">
        <v>12767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12652</v>
      </c>
      <c r="K205" t="s">
        <v>12771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12652</v>
      </c>
      <c r="K206" t="s">
        <v>12772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12652</v>
      </c>
      <c r="K207" t="s">
        <v>12773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12652</v>
      </c>
      <c r="K208" t="s">
        <v>12768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12652</v>
      </c>
      <c r="K209" t="s">
        <v>12769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12652</v>
      </c>
      <c r="K210" t="s">
        <v>12770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12652</v>
      </c>
      <c r="K211" t="s">
        <v>13170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12652</v>
      </c>
      <c r="K212" t="s">
        <v>13171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12652</v>
      </c>
      <c r="K213" t="s">
        <v>13172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12652</v>
      </c>
      <c r="K214" t="s">
        <v>13173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12652</v>
      </c>
      <c r="K215" t="s">
        <v>12776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12652</v>
      </c>
      <c r="K216" t="s">
        <v>12775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12652</v>
      </c>
      <c r="K217" t="s">
        <v>12774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12652</v>
      </c>
      <c r="K218" t="s">
        <v>12780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12652</v>
      </c>
      <c r="K219" t="s">
        <v>12781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12652</v>
      </c>
      <c r="K220" t="s">
        <v>12782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12652</v>
      </c>
      <c r="K221" t="s">
        <v>12777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12652</v>
      </c>
      <c r="K222" t="s">
        <v>12778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12652</v>
      </c>
      <c r="K223" t="s">
        <v>12779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12652</v>
      </c>
      <c r="K224" t="s">
        <v>13174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12652</v>
      </c>
      <c r="K225" t="s">
        <v>13175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12652</v>
      </c>
      <c r="K226" t="s">
        <v>13176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12652</v>
      </c>
      <c r="K227" t="s">
        <v>13177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12652</v>
      </c>
      <c r="K228" t="s">
        <v>13178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12652</v>
      </c>
      <c r="K229" t="s">
        <v>12783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12652</v>
      </c>
      <c r="K230" t="s">
        <v>13179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12652</v>
      </c>
      <c r="K231" t="s">
        <v>13180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12652</v>
      </c>
      <c r="K232" t="s">
        <v>12786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12652</v>
      </c>
      <c r="K233" t="s">
        <v>12785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12652</v>
      </c>
      <c r="K234" t="s">
        <v>12784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12652</v>
      </c>
      <c r="K235" t="s">
        <v>13181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12652</v>
      </c>
      <c r="K236" t="s">
        <v>13182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12652</v>
      </c>
      <c r="K237" t="s">
        <v>12788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12652</v>
      </c>
      <c r="K238" t="s">
        <v>12787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12652</v>
      </c>
      <c r="K239" t="s">
        <v>13183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12652</v>
      </c>
      <c r="K240" t="s">
        <v>13184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12652</v>
      </c>
      <c r="K241" t="s">
        <v>13185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12652</v>
      </c>
      <c r="K242" t="s">
        <v>13186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12652</v>
      </c>
      <c r="K243" t="s">
        <v>13187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12652</v>
      </c>
      <c r="K244" t="s">
        <v>13188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12652</v>
      </c>
      <c r="K245" t="s">
        <v>13189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12652</v>
      </c>
      <c r="K246" t="s">
        <v>12790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12652</v>
      </c>
      <c r="K247" t="s">
        <v>12789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12652</v>
      </c>
      <c r="K248" t="s">
        <v>13190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12652</v>
      </c>
      <c r="K249" t="s">
        <v>12792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12652</v>
      </c>
      <c r="K250" t="s">
        <v>12791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12652</v>
      </c>
      <c r="K251" t="s">
        <v>13191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11072</v>
      </c>
      <c r="I252" t="s">
        <v>10584</v>
      </c>
      <c r="J252" t="s">
        <v>12652</v>
      </c>
      <c r="K252" t="s">
        <v>12795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11071</v>
      </c>
      <c r="F253" t="s">
        <v>4070</v>
      </c>
      <c r="H253" t="s">
        <v>11074</v>
      </c>
      <c r="I253" t="s">
        <v>10586</v>
      </c>
      <c r="J253" t="s">
        <v>12652</v>
      </c>
      <c r="K253" t="s">
        <v>12796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11072</v>
      </c>
      <c r="F254" t="s">
        <v>165</v>
      </c>
      <c r="I254" t="s">
        <v>10588</v>
      </c>
      <c r="J254" t="s">
        <v>12652</v>
      </c>
      <c r="K254" t="s">
        <v>12793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11073</v>
      </c>
      <c r="F255" t="s">
        <v>60</v>
      </c>
      <c r="I255" t="s">
        <v>10590</v>
      </c>
      <c r="J255" t="s">
        <v>12652</v>
      </c>
      <c r="K255" t="s">
        <v>12794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11071</v>
      </c>
      <c r="F256" t="s">
        <v>4070</v>
      </c>
      <c r="I256" t="s">
        <v>10592</v>
      </c>
      <c r="J256" t="s">
        <v>12652</v>
      </c>
      <c r="K256" t="s">
        <v>12799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11073</v>
      </c>
      <c r="F257" t="s">
        <v>51</v>
      </c>
      <c r="I257" t="s">
        <v>10594</v>
      </c>
      <c r="J257" t="s">
        <v>12652</v>
      </c>
      <c r="K257" t="s">
        <v>12800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11071</v>
      </c>
      <c r="F258" t="s">
        <v>4070</v>
      </c>
      <c r="I258" t="s">
        <v>10596</v>
      </c>
      <c r="J258" t="s">
        <v>12652</v>
      </c>
      <c r="K258" t="s">
        <v>12797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11075</v>
      </c>
      <c r="F259" t="s">
        <v>58</v>
      </c>
      <c r="G259">
        <v>3</v>
      </c>
      <c r="H259" t="s">
        <v>7461</v>
      </c>
      <c r="I259" t="s">
        <v>10598</v>
      </c>
      <c r="J259" t="s">
        <v>12652</v>
      </c>
      <c r="K259" t="s">
        <v>12798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</sheetData>
  <phoneticPr fontId="2" type="noConversion"/>
  <conditionalFormatting sqref="E260:E273 D260:D270 G2:H259 D2:E259">
    <cfRule type="containsText" dxfId="1048" priority="23" operator="containsText" text="Выезд с территории">
      <formula>NOT(ISERROR(SEARCH("Выезд с территории",D2)))</formula>
    </cfRule>
  </conditionalFormatting>
  <conditionalFormatting sqref="F2:F747">
    <cfRule type="notContainsText" dxfId="1047" priority="21" operator="notContains" text="порожний">
      <formula>ISERROR(SEARCH("порожний",F2))</formula>
    </cfRule>
  </conditionalFormatting>
  <conditionalFormatting sqref="E2:E273">
    <cfRule type="containsText" dxfId="1046" priority="12" operator="containsText" text="Газель базы">
      <formula>NOT(ISERROR(SEARCH("Газель базы",E2)))</formula>
    </cfRule>
    <cfRule type="containsText" dxfId="1045" priority="13" operator="containsText" text="Погрузчик базы">
      <formula>NOT(ISERROR(SEARCH("Погрузчик базы",E2)))</formula>
    </cfRule>
  </conditionalFormatting>
  <conditionalFormatting sqref="E2:E273">
    <cfRule type="containsText" dxfId="1044" priority="11" operator="containsText" text="Трактор базы">
      <formula>NOT(ISERROR(SEARCH("Трактор базы",E2)))</formula>
    </cfRule>
  </conditionalFormatting>
  <conditionalFormatting sqref="A2:C259">
    <cfRule type="expression" dxfId="1043" priority="9">
      <formula>$A2="пн"</formula>
    </cfRule>
  </conditionalFormatting>
  <conditionalFormatting sqref="A2:C261">
    <cfRule type="expression" dxfId="1042" priority="3">
      <formula>$A2="вс"</formula>
    </cfRule>
    <cfRule type="expression" dxfId="1041" priority="4">
      <formula>$A2="сб"</formula>
    </cfRule>
    <cfRule type="expression" dxfId="1040" priority="5">
      <formula>$A2="пт"</formula>
    </cfRule>
    <cfRule type="expression" dxfId="1039" priority="6">
      <formula>$A2="чт"</formula>
    </cfRule>
    <cfRule type="expression" dxfId="1038" priority="7">
      <formula>$A2="ср"</formula>
    </cfRule>
    <cfRule type="expression" dxfId="1037" priority="8">
      <formula>$A2="вт"</formula>
    </cfRule>
  </conditionalFormatting>
  <conditionalFormatting sqref="D2:D270">
    <cfRule type="containsText" dxfId="10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0">
    <cfRule type="containsText" dxfId="10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81"/>
  <sheetViews>
    <sheetView zoomScale="90" zoomScaleNormal="90" workbookViewId="0">
      <pane ySplit="1" topLeftCell="A264" activePane="bottomLeft" state="frozen"/>
      <selection pane="bottomLeft" activeCell="I280" sqref="I280:I28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12801</v>
      </c>
      <c r="K2" t="s">
        <v>12802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12801</v>
      </c>
      <c r="K3" t="s">
        <v>12803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12801</v>
      </c>
      <c r="K4" t="s">
        <v>12804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12801</v>
      </c>
      <c r="K5" t="s">
        <v>12805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12801</v>
      </c>
      <c r="K6" t="s">
        <v>12806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12801</v>
      </c>
      <c r="K7" t="s">
        <v>12807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12801</v>
      </c>
      <c r="K8" t="s">
        <v>12808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12801</v>
      </c>
      <c r="K9" t="s">
        <v>12809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12801</v>
      </c>
      <c r="K10" t="s">
        <v>12810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12801</v>
      </c>
      <c r="K11" t="s">
        <v>12811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12801</v>
      </c>
      <c r="K12" t="s">
        <v>12812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12801</v>
      </c>
      <c r="K13" t="s">
        <v>12813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12801</v>
      </c>
      <c r="K14" t="s">
        <v>12814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12801</v>
      </c>
      <c r="K15" t="s">
        <v>12815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12801</v>
      </c>
      <c r="K16" t="s">
        <v>12816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12801</v>
      </c>
      <c r="K17" t="s">
        <v>12817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12801</v>
      </c>
      <c r="K18" t="s">
        <v>12818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12801</v>
      </c>
      <c r="K19" t="s">
        <v>12819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12801</v>
      </c>
      <c r="K20" t="s">
        <v>12820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12801</v>
      </c>
      <c r="K21" t="s">
        <v>12821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12801</v>
      </c>
      <c r="K22" t="s">
        <v>12822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12801</v>
      </c>
      <c r="K23" t="s">
        <v>12823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12801</v>
      </c>
      <c r="K24" t="s">
        <v>12824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12801</v>
      </c>
      <c r="K25" t="s">
        <v>12825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12801</v>
      </c>
      <c r="K26" t="s">
        <v>12826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12801</v>
      </c>
      <c r="K27" t="s">
        <v>12827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12801</v>
      </c>
      <c r="K28" t="s">
        <v>12828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12801</v>
      </c>
      <c r="K29" t="s">
        <v>12829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12801</v>
      </c>
      <c r="K30" t="s">
        <v>12830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12801</v>
      </c>
      <c r="K31" t="s">
        <v>12831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12801</v>
      </c>
      <c r="K32" t="s">
        <v>12832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12801</v>
      </c>
      <c r="K33" t="s">
        <v>12833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12801</v>
      </c>
      <c r="K34" t="s">
        <v>12834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12801</v>
      </c>
      <c r="K35" t="s">
        <v>12835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12801</v>
      </c>
      <c r="K36" t="s">
        <v>12836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1607</v>
      </c>
      <c r="I37" t="s">
        <v>952</v>
      </c>
      <c r="J37" t="s">
        <v>12801</v>
      </c>
      <c r="K37" t="s">
        <v>12837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954</v>
      </c>
      <c r="J38" t="s">
        <v>12801</v>
      </c>
      <c r="K38" t="s">
        <v>12838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1607</v>
      </c>
      <c r="I39" t="s">
        <v>956</v>
      </c>
      <c r="J39" t="s">
        <v>12801</v>
      </c>
      <c r="K39" t="s">
        <v>12839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958</v>
      </c>
      <c r="J40" t="s">
        <v>12801</v>
      </c>
      <c r="K40" t="s">
        <v>12840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1607</v>
      </c>
      <c r="I41" t="s">
        <v>1628</v>
      </c>
      <c r="J41" t="s">
        <v>12801</v>
      </c>
      <c r="K41" t="s">
        <v>12841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1607</v>
      </c>
      <c r="I42" t="s">
        <v>1630</v>
      </c>
      <c r="J42" t="s">
        <v>12801</v>
      </c>
      <c r="K42" t="s">
        <v>12842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1607</v>
      </c>
      <c r="I43" t="s">
        <v>1632</v>
      </c>
      <c r="J43" t="s">
        <v>12801</v>
      </c>
      <c r="K43" t="s">
        <v>12843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2342</v>
      </c>
      <c r="I44" t="s">
        <v>1634</v>
      </c>
      <c r="J44" t="s">
        <v>12801</v>
      </c>
      <c r="K44" t="s">
        <v>12844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1636</v>
      </c>
      <c r="J45" t="s">
        <v>12801</v>
      </c>
      <c r="K45" t="s">
        <v>12845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1607</v>
      </c>
      <c r="I46" t="s">
        <v>1638</v>
      </c>
      <c r="J46" t="s">
        <v>12801</v>
      </c>
      <c r="K46" t="s">
        <v>12846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1607</v>
      </c>
      <c r="I47" t="s">
        <v>1640</v>
      </c>
      <c r="J47" t="s">
        <v>12801</v>
      </c>
      <c r="K47" t="s">
        <v>12847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1607</v>
      </c>
      <c r="I48" t="s">
        <v>1642</v>
      </c>
      <c r="J48" t="s">
        <v>12801</v>
      </c>
      <c r="K48" t="s">
        <v>12848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226</v>
      </c>
      <c r="E49" t="s">
        <v>86</v>
      </c>
      <c r="F49" t="s">
        <v>2457</v>
      </c>
      <c r="H49" t="s">
        <v>2458</v>
      </c>
      <c r="I49" t="s">
        <v>2423</v>
      </c>
      <c r="J49" t="s">
        <v>12801</v>
      </c>
      <c r="K49" t="s">
        <v>12849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2459</v>
      </c>
      <c r="E50" t="s">
        <v>86</v>
      </c>
      <c r="F50" t="s">
        <v>2457</v>
      </c>
      <c r="H50" t="s">
        <v>2460</v>
      </c>
      <c r="I50" t="s">
        <v>2425</v>
      </c>
      <c r="J50" t="s">
        <v>12801</v>
      </c>
      <c r="K50" t="s">
        <v>12850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226</v>
      </c>
      <c r="E51" t="s">
        <v>86</v>
      </c>
      <c r="F51" t="s">
        <v>2457</v>
      </c>
      <c r="H51" t="s">
        <v>2458</v>
      </c>
      <c r="I51" t="s">
        <v>2427</v>
      </c>
      <c r="J51" t="s">
        <v>12801</v>
      </c>
      <c r="K51" t="s">
        <v>12851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2459</v>
      </c>
      <c r="E52" t="s">
        <v>86</v>
      </c>
      <c r="F52" t="s">
        <v>2457</v>
      </c>
      <c r="H52" t="s">
        <v>2460</v>
      </c>
      <c r="I52" t="s">
        <v>2429</v>
      </c>
      <c r="J52" t="s">
        <v>12801</v>
      </c>
      <c r="K52" t="s">
        <v>12852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2461</v>
      </c>
      <c r="I53" t="s">
        <v>2431</v>
      </c>
      <c r="J53" t="s">
        <v>12801</v>
      </c>
      <c r="K53" t="s">
        <v>12853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226</v>
      </c>
      <c r="E54" t="s">
        <v>86</v>
      </c>
      <c r="F54" t="s">
        <v>2457</v>
      </c>
      <c r="H54" t="s">
        <v>2458</v>
      </c>
      <c r="I54" t="s">
        <v>2433</v>
      </c>
      <c r="J54" t="s">
        <v>12801</v>
      </c>
      <c r="K54" t="s">
        <v>12854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2459</v>
      </c>
      <c r="E55" t="s">
        <v>86</v>
      </c>
      <c r="F55" t="s">
        <v>2457</v>
      </c>
      <c r="H55" t="s">
        <v>2460</v>
      </c>
      <c r="I55" t="s">
        <v>2435</v>
      </c>
      <c r="J55" t="s">
        <v>12801</v>
      </c>
      <c r="K55" t="s">
        <v>12855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226</v>
      </c>
      <c r="E56" t="s">
        <v>86</v>
      </c>
      <c r="F56" t="s">
        <v>2457</v>
      </c>
      <c r="H56" t="s">
        <v>2458</v>
      </c>
      <c r="I56" t="s">
        <v>2437</v>
      </c>
      <c r="J56" t="s">
        <v>12801</v>
      </c>
      <c r="K56" t="s">
        <v>12856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2459</v>
      </c>
      <c r="E57" t="s">
        <v>86</v>
      </c>
      <c r="F57" t="s">
        <v>2457</v>
      </c>
      <c r="H57" t="s">
        <v>2460</v>
      </c>
      <c r="I57" t="s">
        <v>2439</v>
      </c>
      <c r="J57" t="s">
        <v>12801</v>
      </c>
      <c r="K57" t="s">
        <v>12857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226</v>
      </c>
      <c r="E58" t="s">
        <v>86</v>
      </c>
      <c r="F58" t="s">
        <v>2457</v>
      </c>
      <c r="H58" t="s">
        <v>2458</v>
      </c>
      <c r="I58" t="s">
        <v>2441</v>
      </c>
      <c r="J58" t="s">
        <v>12801</v>
      </c>
      <c r="K58" t="s">
        <v>12858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2459</v>
      </c>
      <c r="E59" t="s">
        <v>86</v>
      </c>
      <c r="F59" t="s">
        <v>2457</v>
      </c>
      <c r="H59" t="s">
        <v>2460</v>
      </c>
      <c r="I59" t="s">
        <v>2443</v>
      </c>
      <c r="J59" t="s">
        <v>12801</v>
      </c>
      <c r="K59" t="s">
        <v>12859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226</v>
      </c>
      <c r="E60" t="s">
        <v>86</v>
      </c>
      <c r="F60" t="s">
        <v>2462</v>
      </c>
      <c r="G60">
        <v>1</v>
      </c>
      <c r="I60" t="s">
        <v>2445</v>
      </c>
      <c r="J60" t="s">
        <v>12801</v>
      </c>
      <c r="K60" t="s">
        <v>12860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2459</v>
      </c>
      <c r="E61" t="s">
        <v>86</v>
      </c>
      <c r="F61" t="s">
        <v>2462</v>
      </c>
      <c r="G61">
        <v>1</v>
      </c>
      <c r="H61" t="s">
        <v>2463</v>
      </c>
      <c r="I61" t="s">
        <v>2447</v>
      </c>
      <c r="J61" t="s">
        <v>12801</v>
      </c>
      <c r="K61" t="s">
        <v>12861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226</v>
      </c>
      <c r="E62" t="s">
        <v>86</v>
      </c>
      <c r="F62" t="s">
        <v>2462</v>
      </c>
      <c r="G62">
        <v>1</v>
      </c>
      <c r="I62" t="s">
        <v>2449</v>
      </c>
      <c r="J62" t="s">
        <v>12801</v>
      </c>
      <c r="K62" t="s">
        <v>12862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2459</v>
      </c>
      <c r="E63" t="s">
        <v>86</v>
      </c>
      <c r="F63" t="s">
        <v>2462</v>
      </c>
      <c r="G63">
        <v>1</v>
      </c>
      <c r="H63" t="s">
        <v>2463</v>
      </c>
      <c r="I63" t="s">
        <v>2451</v>
      </c>
      <c r="J63" t="s">
        <v>12801</v>
      </c>
      <c r="K63" t="s">
        <v>12863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2461</v>
      </c>
      <c r="I64" t="s">
        <v>2453</v>
      </c>
      <c r="J64" t="s">
        <v>12801</v>
      </c>
      <c r="K64" t="s">
        <v>12864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2464</v>
      </c>
      <c r="I65" t="s">
        <v>2455</v>
      </c>
      <c r="J65" t="s">
        <v>12801</v>
      </c>
      <c r="K65" t="s">
        <v>12865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3363</v>
      </c>
      <c r="E66" t="s">
        <v>3357</v>
      </c>
      <c r="F66" t="s">
        <v>51</v>
      </c>
      <c r="I66" t="s">
        <v>2574</v>
      </c>
      <c r="J66" t="s">
        <v>12801</v>
      </c>
      <c r="K66" t="s">
        <v>12866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3364</v>
      </c>
      <c r="E67" t="s">
        <v>3365</v>
      </c>
      <c r="H67" t="s">
        <v>2461</v>
      </c>
      <c r="I67" t="s">
        <v>2576</v>
      </c>
      <c r="J67" t="s">
        <v>12801</v>
      </c>
      <c r="K67" t="s">
        <v>12867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3364</v>
      </c>
      <c r="E68" t="s">
        <v>3365</v>
      </c>
      <c r="H68" t="s">
        <v>2352</v>
      </c>
      <c r="I68" t="s">
        <v>2578</v>
      </c>
      <c r="J68" t="s">
        <v>12801</v>
      </c>
      <c r="K68" t="s">
        <v>12868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3364</v>
      </c>
      <c r="E69" t="s">
        <v>3365</v>
      </c>
      <c r="H69" t="s">
        <v>2352</v>
      </c>
      <c r="I69" t="s">
        <v>2580</v>
      </c>
      <c r="J69" t="s">
        <v>12801</v>
      </c>
      <c r="K69" t="s">
        <v>12869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3364</v>
      </c>
      <c r="E70" t="s">
        <v>3365</v>
      </c>
      <c r="H70" t="s">
        <v>2352</v>
      </c>
      <c r="I70" t="s">
        <v>2582</v>
      </c>
      <c r="J70" t="s">
        <v>12801</v>
      </c>
      <c r="K70" t="s">
        <v>12870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3364</v>
      </c>
      <c r="E71" t="s">
        <v>3365</v>
      </c>
      <c r="H71" t="s">
        <v>2352</v>
      </c>
      <c r="I71" t="s">
        <v>2584</v>
      </c>
      <c r="J71" t="s">
        <v>12801</v>
      </c>
      <c r="K71" t="s">
        <v>12871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3364</v>
      </c>
      <c r="E72" t="s">
        <v>3365</v>
      </c>
      <c r="H72" t="s">
        <v>2352</v>
      </c>
      <c r="I72" t="s">
        <v>2586</v>
      </c>
      <c r="J72" t="s">
        <v>12801</v>
      </c>
      <c r="K72" t="s">
        <v>12872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3364</v>
      </c>
      <c r="E73" t="s">
        <v>3365</v>
      </c>
      <c r="H73" t="s">
        <v>2352</v>
      </c>
      <c r="I73" t="s">
        <v>2588</v>
      </c>
      <c r="J73" t="s">
        <v>12801</v>
      </c>
      <c r="K73" t="s">
        <v>12873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3364</v>
      </c>
      <c r="E74" t="s">
        <v>3365</v>
      </c>
      <c r="H74" t="s">
        <v>2352</v>
      </c>
      <c r="I74" t="s">
        <v>2590</v>
      </c>
      <c r="J74" t="s">
        <v>12801</v>
      </c>
      <c r="K74" t="s">
        <v>12874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3364</v>
      </c>
      <c r="E75" t="s">
        <v>3365</v>
      </c>
      <c r="H75" t="s">
        <v>2352</v>
      </c>
      <c r="I75" t="s">
        <v>2592</v>
      </c>
      <c r="J75" t="s">
        <v>12801</v>
      </c>
      <c r="K75" t="s">
        <v>12875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3364</v>
      </c>
      <c r="E76" t="s">
        <v>3365</v>
      </c>
      <c r="H76" t="s">
        <v>2352</v>
      </c>
      <c r="I76" t="s">
        <v>2594</v>
      </c>
      <c r="J76" t="s">
        <v>12801</v>
      </c>
      <c r="K76" t="s">
        <v>12876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3364</v>
      </c>
      <c r="E77" t="s">
        <v>3365</v>
      </c>
      <c r="H77" t="s">
        <v>2352</v>
      </c>
      <c r="I77" t="s">
        <v>2596</v>
      </c>
      <c r="J77" t="s">
        <v>12801</v>
      </c>
      <c r="K77" t="s">
        <v>12877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226</v>
      </c>
      <c r="E78" t="s">
        <v>86</v>
      </c>
      <c r="F78" t="s">
        <v>2457</v>
      </c>
      <c r="H78" t="s">
        <v>2458</v>
      </c>
      <c r="I78" t="s">
        <v>2598</v>
      </c>
      <c r="J78" t="s">
        <v>12801</v>
      </c>
      <c r="K78" t="s">
        <v>12878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2459</v>
      </c>
      <c r="E79" t="s">
        <v>86</v>
      </c>
      <c r="F79" t="s">
        <v>2457</v>
      </c>
      <c r="H79" t="s">
        <v>2460</v>
      </c>
      <c r="I79" t="s">
        <v>2600</v>
      </c>
      <c r="J79" t="s">
        <v>12801</v>
      </c>
      <c r="K79" t="s">
        <v>12879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226</v>
      </c>
      <c r="E80" t="s">
        <v>86</v>
      </c>
      <c r="F80" t="s">
        <v>2457</v>
      </c>
      <c r="H80" t="s">
        <v>2458</v>
      </c>
      <c r="I80" t="s">
        <v>2602</v>
      </c>
      <c r="J80" t="s">
        <v>12801</v>
      </c>
      <c r="K80" t="s">
        <v>12880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2459</v>
      </c>
      <c r="E81" t="s">
        <v>86</v>
      </c>
      <c r="F81" t="s">
        <v>2457</v>
      </c>
      <c r="H81" t="s">
        <v>2460</v>
      </c>
      <c r="I81" t="s">
        <v>2604</v>
      </c>
      <c r="J81" t="s">
        <v>12801</v>
      </c>
      <c r="K81" t="s">
        <v>12881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226</v>
      </c>
      <c r="E82" t="s">
        <v>86</v>
      </c>
      <c r="F82" t="s">
        <v>2457</v>
      </c>
      <c r="H82" t="s">
        <v>2458</v>
      </c>
      <c r="I82" t="s">
        <v>2606</v>
      </c>
      <c r="J82" t="s">
        <v>12801</v>
      </c>
      <c r="K82" t="s">
        <v>12882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2459</v>
      </c>
      <c r="E83" t="s">
        <v>86</v>
      </c>
      <c r="F83" t="s">
        <v>2457</v>
      </c>
      <c r="H83" t="s">
        <v>2460</v>
      </c>
      <c r="I83" t="s">
        <v>2608</v>
      </c>
      <c r="J83" t="s">
        <v>12801</v>
      </c>
      <c r="K83" t="s">
        <v>12883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226</v>
      </c>
      <c r="E84" t="s">
        <v>86</v>
      </c>
      <c r="F84" t="s">
        <v>2457</v>
      </c>
      <c r="H84" t="s">
        <v>2458</v>
      </c>
      <c r="I84" t="s">
        <v>2610</v>
      </c>
      <c r="J84" t="s">
        <v>12801</v>
      </c>
      <c r="K84" t="s">
        <v>12884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2459</v>
      </c>
      <c r="E85" t="s">
        <v>86</v>
      </c>
      <c r="F85" t="s">
        <v>2457</v>
      </c>
      <c r="H85" t="s">
        <v>2460</v>
      </c>
      <c r="I85" t="s">
        <v>2612</v>
      </c>
      <c r="J85" t="s">
        <v>12801</v>
      </c>
      <c r="K85" t="s">
        <v>12885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3367</v>
      </c>
      <c r="E86" t="s">
        <v>3358</v>
      </c>
      <c r="F86" t="s">
        <v>51</v>
      </c>
      <c r="I86" t="s">
        <v>2614</v>
      </c>
      <c r="J86" t="s">
        <v>12801</v>
      </c>
      <c r="K86" t="s">
        <v>12886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3367</v>
      </c>
      <c r="E87" t="s">
        <v>3358</v>
      </c>
      <c r="F87" t="s">
        <v>51</v>
      </c>
      <c r="H87" t="s">
        <v>2352</v>
      </c>
      <c r="I87" t="s">
        <v>2616</v>
      </c>
      <c r="J87" t="s">
        <v>12801</v>
      </c>
      <c r="K87" t="s">
        <v>12887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3367</v>
      </c>
      <c r="E88" t="s">
        <v>3358</v>
      </c>
      <c r="F88" t="s">
        <v>51</v>
      </c>
      <c r="H88" t="s">
        <v>2352</v>
      </c>
      <c r="I88" t="s">
        <v>2618</v>
      </c>
      <c r="J88" t="s">
        <v>12801</v>
      </c>
      <c r="K88" t="s">
        <v>12888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3366</v>
      </c>
      <c r="E89" t="s">
        <v>3358</v>
      </c>
      <c r="I89" t="s">
        <v>2620</v>
      </c>
      <c r="J89" t="s">
        <v>12801</v>
      </c>
      <c r="K89" t="s">
        <v>12889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2464</v>
      </c>
      <c r="I90" t="s">
        <v>2622</v>
      </c>
      <c r="J90" t="s">
        <v>12801</v>
      </c>
      <c r="K90" t="s">
        <v>12890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1607</v>
      </c>
      <c r="I91" t="s">
        <v>3421</v>
      </c>
      <c r="J91" t="s">
        <v>12801</v>
      </c>
      <c r="K91" t="s">
        <v>12891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4072</v>
      </c>
      <c r="E92" t="s">
        <v>1274</v>
      </c>
      <c r="F92" t="s">
        <v>4073</v>
      </c>
      <c r="H92" t="s">
        <v>4074</v>
      </c>
      <c r="I92" t="s">
        <v>3456</v>
      </c>
      <c r="J92" t="s">
        <v>12801</v>
      </c>
      <c r="K92" t="s">
        <v>12892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4075</v>
      </c>
      <c r="E93" t="s">
        <v>86</v>
      </c>
      <c r="F93" t="s">
        <v>2457</v>
      </c>
      <c r="H93" t="s">
        <v>4076</v>
      </c>
      <c r="I93" t="s">
        <v>3458</v>
      </c>
      <c r="J93" t="s">
        <v>12801</v>
      </c>
      <c r="K93" t="s">
        <v>12893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3460</v>
      </c>
      <c r="J94" t="s">
        <v>12801</v>
      </c>
      <c r="K94" t="s">
        <v>12894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2354</v>
      </c>
      <c r="I95" t="s">
        <v>3462</v>
      </c>
      <c r="J95" t="s">
        <v>12801</v>
      </c>
      <c r="K95" t="s">
        <v>12895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4075</v>
      </c>
      <c r="E96" t="s">
        <v>86</v>
      </c>
      <c r="F96" t="s">
        <v>2354</v>
      </c>
      <c r="H96" t="s">
        <v>4076</v>
      </c>
      <c r="I96" t="s">
        <v>3464</v>
      </c>
      <c r="J96" t="s">
        <v>12801</v>
      </c>
      <c r="K96" t="s">
        <v>12896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4077</v>
      </c>
      <c r="H97" t="s">
        <v>4078</v>
      </c>
      <c r="I97" t="s">
        <v>3466</v>
      </c>
      <c r="J97" t="s">
        <v>12801</v>
      </c>
      <c r="K97" t="s">
        <v>12897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3469</v>
      </c>
      <c r="J98" t="s">
        <v>12801</v>
      </c>
      <c r="K98" t="s">
        <v>12898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2461</v>
      </c>
      <c r="I99" t="s">
        <v>3471</v>
      </c>
      <c r="J99" t="s">
        <v>12801</v>
      </c>
      <c r="K99" t="s">
        <v>12899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2461</v>
      </c>
      <c r="I100" t="s">
        <v>3473</v>
      </c>
      <c r="J100" t="s">
        <v>12801</v>
      </c>
      <c r="K100" t="s">
        <v>12900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2461</v>
      </c>
      <c r="I101" t="s">
        <v>3475</v>
      </c>
      <c r="J101" t="s">
        <v>12801</v>
      </c>
      <c r="K101" t="s">
        <v>12901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2461</v>
      </c>
      <c r="I102" t="s">
        <v>3477</v>
      </c>
      <c r="J102" t="s">
        <v>12801</v>
      </c>
      <c r="K102" t="s">
        <v>12902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2461</v>
      </c>
      <c r="I103" t="s">
        <v>3479</v>
      </c>
      <c r="J103" t="s">
        <v>12801</v>
      </c>
      <c r="K103" t="s">
        <v>12903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2461</v>
      </c>
      <c r="I104" t="s">
        <v>3481</v>
      </c>
      <c r="J104" t="s">
        <v>12801</v>
      </c>
      <c r="K104" t="s">
        <v>12904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2461</v>
      </c>
      <c r="I105" t="s">
        <v>3483</v>
      </c>
      <c r="J105" t="s">
        <v>12801</v>
      </c>
      <c r="K105" t="s">
        <v>12905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4079</v>
      </c>
      <c r="G106">
        <v>3</v>
      </c>
      <c r="H106" t="s">
        <v>2461</v>
      </c>
      <c r="I106" t="s">
        <v>3485</v>
      </c>
      <c r="J106" t="s">
        <v>12801</v>
      </c>
      <c r="K106" t="s">
        <v>12906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4079</v>
      </c>
      <c r="G107">
        <v>3</v>
      </c>
      <c r="H107" t="s">
        <v>2461</v>
      </c>
      <c r="I107" t="s">
        <v>3487</v>
      </c>
      <c r="J107" t="s">
        <v>12801</v>
      </c>
      <c r="K107" t="s">
        <v>12907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4079</v>
      </c>
      <c r="G108">
        <v>3</v>
      </c>
      <c r="H108" t="s">
        <v>2461</v>
      </c>
      <c r="I108" t="s">
        <v>3489</v>
      </c>
      <c r="J108" t="s">
        <v>12801</v>
      </c>
      <c r="K108" t="s">
        <v>12908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3386</v>
      </c>
      <c r="E109" t="s">
        <v>86</v>
      </c>
      <c r="F109" t="s">
        <v>3405</v>
      </c>
      <c r="H109" t="s">
        <v>3401</v>
      </c>
      <c r="I109" t="s">
        <v>3491</v>
      </c>
      <c r="J109" t="s">
        <v>12801</v>
      </c>
      <c r="K109" t="s">
        <v>12909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3386</v>
      </c>
      <c r="E110" t="s">
        <v>86</v>
      </c>
      <c r="F110" t="s">
        <v>3405</v>
      </c>
      <c r="H110" t="s">
        <v>2352</v>
      </c>
      <c r="I110" t="s">
        <v>3493</v>
      </c>
      <c r="J110" t="s">
        <v>12801</v>
      </c>
      <c r="K110" t="s">
        <v>12910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4079</v>
      </c>
      <c r="G111">
        <v>3</v>
      </c>
      <c r="H111" t="s">
        <v>2461</v>
      </c>
      <c r="I111" t="s">
        <v>3495</v>
      </c>
      <c r="J111" t="s">
        <v>12801</v>
      </c>
      <c r="K111" t="s">
        <v>12911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2461</v>
      </c>
      <c r="I112" t="s">
        <v>3497</v>
      </c>
      <c r="J112" t="s">
        <v>12801</v>
      </c>
      <c r="K112" t="s">
        <v>12912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2461</v>
      </c>
      <c r="I113" t="s">
        <v>3499</v>
      </c>
      <c r="J113" t="s">
        <v>12801</v>
      </c>
      <c r="K113" t="s">
        <v>12913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2461</v>
      </c>
      <c r="I114" t="s">
        <v>3501</v>
      </c>
      <c r="J114" t="s">
        <v>12801</v>
      </c>
      <c r="K114" t="s">
        <v>12914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2461</v>
      </c>
      <c r="I115" t="s">
        <v>3503</v>
      </c>
      <c r="J115" t="s">
        <v>12801</v>
      </c>
      <c r="K115" t="s">
        <v>12915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2461</v>
      </c>
      <c r="I116" t="s">
        <v>3505</v>
      </c>
      <c r="J116" t="s">
        <v>12801</v>
      </c>
      <c r="K116" t="s">
        <v>12916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2461</v>
      </c>
      <c r="I117" t="s">
        <v>3507</v>
      </c>
      <c r="J117" t="s">
        <v>12801</v>
      </c>
      <c r="K117" t="s">
        <v>12917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3386</v>
      </c>
      <c r="E118" t="s">
        <v>86</v>
      </c>
      <c r="F118" t="s">
        <v>2354</v>
      </c>
      <c r="H118" t="s">
        <v>3401</v>
      </c>
      <c r="I118" t="s">
        <v>3509</v>
      </c>
      <c r="J118" t="s">
        <v>12801</v>
      </c>
      <c r="K118" t="s">
        <v>12918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3386</v>
      </c>
      <c r="E119" t="s">
        <v>86</v>
      </c>
      <c r="F119" t="s">
        <v>2354</v>
      </c>
      <c r="H119" t="s">
        <v>2352</v>
      </c>
      <c r="I119" t="s">
        <v>3511</v>
      </c>
      <c r="J119" t="s">
        <v>12801</v>
      </c>
      <c r="K119" t="s">
        <v>12919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2461</v>
      </c>
      <c r="I120" t="s">
        <v>3513</v>
      </c>
      <c r="J120" t="s">
        <v>12801</v>
      </c>
      <c r="K120" t="s">
        <v>12920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2461</v>
      </c>
      <c r="I121" t="s">
        <v>3515</v>
      </c>
      <c r="J121" t="s">
        <v>12801</v>
      </c>
      <c r="K121" t="s">
        <v>12921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2461</v>
      </c>
      <c r="I122" t="s">
        <v>3517</v>
      </c>
      <c r="J122" t="s">
        <v>12801</v>
      </c>
      <c r="K122" t="s">
        <v>12922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2461</v>
      </c>
      <c r="I123" t="s">
        <v>3519</v>
      </c>
      <c r="J123" t="s">
        <v>12801</v>
      </c>
      <c r="K123" t="s">
        <v>12923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2461</v>
      </c>
      <c r="I124" t="s">
        <v>3521</v>
      </c>
      <c r="J124" t="s">
        <v>12801</v>
      </c>
      <c r="K124" t="s">
        <v>12924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1607</v>
      </c>
      <c r="I125" t="s">
        <v>3523</v>
      </c>
      <c r="J125" t="s">
        <v>12801</v>
      </c>
      <c r="K125" t="s">
        <v>12925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1607</v>
      </c>
      <c r="I126" t="s">
        <v>4185</v>
      </c>
      <c r="J126" t="s">
        <v>12801</v>
      </c>
      <c r="K126" t="s">
        <v>12926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3358</v>
      </c>
      <c r="F127" t="s">
        <v>4070</v>
      </c>
      <c r="I127" t="s">
        <v>4252</v>
      </c>
      <c r="J127" t="s">
        <v>12801</v>
      </c>
      <c r="K127" t="s">
        <v>12927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3358</v>
      </c>
      <c r="F128" t="s">
        <v>4070</v>
      </c>
      <c r="H128" t="s">
        <v>4390</v>
      </c>
      <c r="I128" t="s">
        <v>4242</v>
      </c>
      <c r="J128" t="s">
        <v>12801</v>
      </c>
      <c r="K128" t="s">
        <v>12928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2461</v>
      </c>
      <c r="I129" t="s">
        <v>4254</v>
      </c>
      <c r="J129" t="s">
        <v>12801</v>
      </c>
      <c r="K129" t="s">
        <v>12929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2461</v>
      </c>
      <c r="I130" t="s">
        <v>4256</v>
      </c>
      <c r="J130" t="s">
        <v>12801</v>
      </c>
      <c r="K130" t="s">
        <v>12930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4391</v>
      </c>
      <c r="F131" t="s">
        <v>4070</v>
      </c>
      <c r="H131" t="s">
        <v>4390</v>
      </c>
      <c r="I131" t="s">
        <v>4258</v>
      </c>
      <c r="J131" t="s">
        <v>12801</v>
      </c>
      <c r="K131" t="s">
        <v>12931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4260</v>
      </c>
      <c r="J132" t="s">
        <v>12801</v>
      </c>
      <c r="K132" t="s">
        <v>12932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3363</v>
      </c>
      <c r="E133" t="s">
        <v>86</v>
      </c>
      <c r="F133" t="s">
        <v>4920</v>
      </c>
      <c r="I133" t="s">
        <v>4414</v>
      </c>
      <c r="J133" t="s">
        <v>12801</v>
      </c>
      <c r="K133" t="s">
        <v>12933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1273</v>
      </c>
      <c r="E134" t="s">
        <v>3358</v>
      </c>
      <c r="F134" t="s">
        <v>4070</v>
      </c>
      <c r="I134" t="s">
        <v>4416</v>
      </c>
      <c r="J134" t="s">
        <v>12801</v>
      </c>
      <c r="K134" t="s">
        <v>12934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4921</v>
      </c>
      <c r="E135" t="s">
        <v>3358</v>
      </c>
      <c r="F135" t="s">
        <v>4070</v>
      </c>
      <c r="H135" t="s">
        <v>4390</v>
      </c>
      <c r="I135" t="s">
        <v>4418</v>
      </c>
      <c r="J135" t="s">
        <v>12801</v>
      </c>
      <c r="K135" t="s">
        <v>12935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1273</v>
      </c>
      <c r="E136" t="s">
        <v>3358</v>
      </c>
      <c r="F136" t="s">
        <v>4070</v>
      </c>
      <c r="I136" t="s">
        <v>4420</v>
      </c>
      <c r="J136" t="s">
        <v>12801</v>
      </c>
      <c r="K136" t="s">
        <v>12936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4921</v>
      </c>
      <c r="E137" t="s">
        <v>3358</v>
      </c>
      <c r="F137" t="s">
        <v>4070</v>
      </c>
      <c r="H137" t="s">
        <v>4390</v>
      </c>
      <c r="I137" t="s">
        <v>4422</v>
      </c>
      <c r="J137" t="s">
        <v>12801</v>
      </c>
      <c r="K137" t="s">
        <v>12937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3363</v>
      </c>
      <c r="E138" t="s">
        <v>86</v>
      </c>
      <c r="F138" t="s">
        <v>2360</v>
      </c>
      <c r="I138" t="s">
        <v>4424</v>
      </c>
      <c r="J138" t="s">
        <v>12801</v>
      </c>
      <c r="K138" t="s">
        <v>12938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3363</v>
      </c>
      <c r="E139" t="s">
        <v>86</v>
      </c>
      <c r="F139" t="s">
        <v>2360</v>
      </c>
      <c r="H139" t="s">
        <v>2352</v>
      </c>
      <c r="I139" t="s">
        <v>4426</v>
      </c>
      <c r="J139" t="s">
        <v>12801</v>
      </c>
      <c r="K139" t="s">
        <v>12939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3363</v>
      </c>
      <c r="E140" t="s">
        <v>86</v>
      </c>
      <c r="F140" t="s">
        <v>465</v>
      </c>
      <c r="I140" t="s">
        <v>4428</v>
      </c>
      <c r="J140" t="s">
        <v>12801</v>
      </c>
      <c r="K140" t="s">
        <v>12940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3363</v>
      </c>
      <c r="E141" t="s">
        <v>86</v>
      </c>
      <c r="F141" t="s">
        <v>465</v>
      </c>
      <c r="H141" t="s">
        <v>2352</v>
      </c>
      <c r="I141" t="s">
        <v>4430</v>
      </c>
      <c r="J141" t="s">
        <v>12801</v>
      </c>
      <c r="K141" t="s">
        <v>12941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1273</v>
      </c>
      <c r="E142" t="s">
        <v>3358</v>
      </c>
      <c r="F142" t="s">
        <v>4070</v>
      </c>
      <c r="I142" t="s">
        <v>4432</v>
      </c>
      <c r="J142" t="s">
        <v>12801</v>
      </c>
      <c r="K142" t="s">
        <v>12942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4921</v>
      </c>
      <c r="E143" t="s">
        <v>3358</v>
      </c>
      <c r="F143" t="s">
        <v>4070</v>
      </c>
      <c r="H143" t="s">
        <v>4390</v>
      </c>
      <c r="I143" t="s">
        <v>4434</v>
      </c>
      <c r="J143" t="s">
        <v>12801</v>
      </c>
      <c r="K143" t="s">
        <v>12943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4633</v>
      </c>
      <c r="J144" t="s">
        <v>12801</v>
      </c>
      <c r="K144" t="s">
        <v>12944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3363</v>
      </c>
      <c r="E145" t="s">
        <v>86</v>
      </c>
      <c r="F145" t="s">
        <v>4922</v>
      </c>
      <c r="I145" t="s">
        <v>4635</v>
      </c>
      <c r="J145" t="s">
        <v>12801</v>
      </c>
      <c r="K145" t="s">
        <v>12945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2461</v>
      </c>
      <c r="I146" t="s">
        <v>4637</v>
      </c>
      <c r="J146" t="s">
        <v>12801</v>
      </c>
      <c r="K146" t="s">
        <v>12946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2461</v>
      </c>
      <c r="I147" t="s">
        <v>4639</v>
      </c>
      <c r="J147" t="s">
        <v>12801</v>
      </c>
      <c r="K147" t="s">
        <v>12947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2461</v>
      </c>
      <c r="I148" t="s">
        <v>4641</v>
      </c>
      <c r="J148" t="s">
        <v>12801</v>
      </c>
      <c r="K148" t="s">
        <v>12948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2461</v>
      </c>
      <c r="I149" t="s">
        <v>4643</v>
      </c>
      <c r="J149" t="s">
        <v>12801</v>
      </c>
      <c r="K149" t="s">
        <v>12949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2461</v>
      </c>
      <c r="I150" t="s">
        <v>4645</v>
      </c>
      <c r="J150" t="s">
        <v>12801</v>
      </c>
      <c r="K150" t="s">
        <v>12950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2461</v>
      </c>
      <c r="I151" t="s">
        <v>4647</v>
      </c>
      <c r="J151" t="s">
        <v>12801</v>
      </c>
      <c r="K151" t="s">
        <v>12951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2461</v>
      </c>
      <c r="I152" t="s">
        <v>4649</v>
      </c>
      <c r="J152" t="s">
        <v>12801</v>
      </c>
      <c r="K152" t="s">
        <v>12952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1607</v>
      </c>
      <c r="E153" t="s">
        <v>8</v>
      </c>
      <c r="I153" t="s">
        <v>4800</v>
      </c>
      <c r="J153" t="s">
        <v>12801</v>
      </c>
      <c r="K153" t="s">
        <v>12953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1607</v>
      </c>
      <c r="E154" t="s">
        <v>8</v>
      </c>
      <c r="I154" t="s">
        <v>4942</v>
      </c>
      <c r="J154" t="s">
        <v>12801</v>
      </c>
      <c r="K154" t="s">
        <v>12954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226</v>
      </c>
      <c r="E155" t="s">
        <v>86</v>
      </c>
      <c r="F155" t="s">
        <v>3405</v>
      </c>
      <c r="I155" t="s">
        <v>5007</v>
      </c>
      <c r="J155" t="s">
        <v>12801</v>
      </c>
      <c r="K155" t="s">
        <v>12955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3363</v>
      </c>
      <c r="E156" t="s">
        <v>86</v>
      </c>
      <c r="F156" t="s">
        <v>3405</v>
      </c>
      <c r="H156" t="s">
        <v>1287</v>
      </c>
      <c r="I156" t="s">
        <v>5009</v>
      </c>
      <c r="J156" t="s">
        <v>12801</v>
      </c>
      <c r="K156" t="s">
        <v>12956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3363</v>
      </c>
      <c r="E157" t="s">
        <v>86</v>
      </c>
      <c r="F157" t="s">
        <v>4932</v>
      </c>
      <c r="H157" t="s">
        <v>5055</v>
      </c>
      <c r="I157" t="s">
        <v>5011</v>
      </c>
      <c r="J157" t="s">
        <v>12801</v>
      </c>
      <c r="K157" t="s">
        <v>12957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1273</v>
      </c>
      <c r="E158" t="s">
        <v>3358</v>
      </c>
      <c r="F158" t="s">
        <v>4070</v>
      </c>
      <c r="I158" t="s">
        <v>5013</v>
      </c>
      <c r="J158" t="s">
        <v>12801</v>
      </c>
      <c r="K158" t="s">
        <v>12958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4921</v>
      </c>
      <c r="E159" t="s">
        <v>3358</v>
      </c>
      <c r="F159" t="s">
        <v>4070</v>
      </c>
      <c r="H159" t="s">
        <v>4390</v>
      </c>
      <c r="I159" t="s">
        <v>5015</v>
      </c>
      <c r="J159" t="s">
        <v>12801</v>
      </c>
      <c r="K159" t="s">
        <v>12959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587</v>
      </c>
      <c r="E160" t="s">
        <v>3358</v>
      </c>
      <c r="F160" t="s">
        <v>4070</v>
      </c>
      <c r="I160" t="s">
        <v>5018</v>
      </c>
      <c r="J160" t="s">
        <v>12801</v>
      </c>
      <c r="K160" t="s">
        <v>12960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465</v>
      </c>
      <c r="G161">
        <v>1</v>
      </c>
      <c r="H161" t="s">
        <v>2461</v>
      </c>
      <c r="I161" t="s">
        <v>5020</v>
      </c>
      <c r="J161" t="s">
        <v>12801</v>
      </c>
      <c r="K161" t="s">
        <v>12961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465</v>
      </c>
      <c r="G162">
        <v>1</v>
      </c>
      <c r="H162" t="s">
        <v>2461</v>
      </c>
      <c r="I162" t="s">
        <v>5022</v>
      </c>
      <c r="J162" t="s">
        <v>12801</v>
      </c>
      <c r="K162" t="s">
        <v>12962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2461</v>
      </c>
      <c r="I163" t="s">
        <v>5024</v>
      </c>
      <c r="J163" t="s">
        <v>12801</v>
      </c>
      <c r="K163" t="s">
        <v>12963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4921</v>
      </c>
      <c r="E164" t="s">
        <v>3358</v>
      </c>
      <c r="F164" t="s">
        <v>4070</v>
      </c>
      <c r="H164" t="s">
        <v>4390</v>
      </c>
      <c r="I164" t="s">
        <v>5232</v>
      </c>
      <c r="J164" t="s">
        <v>12801</v>
      </c>
      <c r="K164" t="s">
        <v>12964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587</v>
      </c>
      <c r="E165" t="s">
        <v>3358</v>
      </c>
      <c r="F165" t="s">
        <v>4070</v>
      </c>
      <c r="I165" t="s">
        <v>5234</v>
      </c>
      <c r="J165" t="s">
        <v>12801</v>
      </c>
      <c r="K165" t="s">
        <v>12965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470</v>
      </c>
      <c r="E166" t="s">
        <v>1274</v>
      </c>
      <c r="F166" t="s">
        <v>892</v>
      </c>
      <c r="H166" t="s">
        <v>1287</v>
      </c>
      <c r="I166" t="s">
        <v>5328</v>
      </c>
      <c r="J166" t="s">
        <v>12801</v>
      </c>
      <c r="K166" t="s">
        <v>12966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3386</v>
      </c>
      <c r="E167" t="s">
        <v>86</v>
      </c>
      <c r="F167" t="s">
        <v>2360</v>
      </c>
      <c r="H167" t="s">
        <v>1287</v>
      </c>
      <c r="I167" t="s">
        <v>5330</v>
      </c>
      <c r="J167" t="s">
        <v>12801</v>
      </c>
      <c r="K167" t="s">
        <v>12967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3386</v>
      </c>
      <c r="E168" t="s">
        <v>86</v>
      </c>
      <c r="F168" t="s">
        <v>2360</v>
      </c>
      <c r="H168" t="s">
        <v>2352</v>
      </c>
      <c r="I168" t="s">
        <v>5332</v>
      </c>
      <c r="J168" t="s">
        <v>12801</v>
      </c>
      <c r="K168" t="s">
        <v>12968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465</v>
      </c>
      <c r="G169">
        <v>1</v>
      </c>
      <c r="H169" t="s">
        <v>2461</v>
      </c>
      <c r="I169" t="s">
        <v>5334</v>
      </c>
      <c r="J169" t="s">
        <v>12801</v>
      </c>
      <c r="K169" t="s">
        <v>12969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1273</v>
      </c>
      <c r="E170" t="s">
        <v>3358</v>
      </c>
      <c r="F170" t="s">
        <v>4070</v>
      </c>
      <c r="I170" t="s">
        <v>5336</v>
      </c>
      <c r="J170" t="s">
        <v>12801</v>
      </c>
      <c r="K170" t="s">
        <v>12970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4921</v>
      </c>
      <c r="E171" t="s">
        <v>3358</v>
      </c>
      <c r="F171" t="s">
        <v>4070</v>
      </c>
      <c r="H171" t="s">
        <v>4390</v>
      </c>
      <c r="I171" t="s">
        <v>5338</v>
      </c>
      <c r="J171" t="s">
        <v>12801</v>
      </c>
      <c r="K171" t="s">
        <v>12971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587</v>
      </c>
      <c r="E172" t="s">
        <v>3358</v>
      </c>
      <c r="F172" t="s">
        <v>4070</v>
      </c>
      <c r="I172" t="s">
        <v>5340</v>
      </c>
      <c r="J172" t="s">
        <v>12801</v>
      </c>
      <c r="K172" t="s">
        <v>12972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3386</v>
      </c>
      <c r="E173" t="s">
        <v>86</v>
      </c>
      <c r="F173" t="s">
        <v>892</v>
      </c>
      <c r="H173" t="s">
        <v>3401</v>
      </c>
      <c r="I173" t="s">
        <v>5482</v>
      </c>
      <c r="J173" t="s">
        <v>12801</v>
      </c>
      <c r="K173" t="s">
        <v>12973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3386</v>
      </c>
      <c r="E174" t="s">
        <v>86</v>
      </c>
      <c r="F174" t="s">
        <v>892</v>
      </c>
      <c r="H174" t="s">
        <v>3401</v>
      </c>
      <c r="I174" t="s">
        <v>5484</v>
      </c>
      <c r="J174" t="s">
        <v>12801</v>
      </c>
      <c r="K174" t="s">
        <v>12974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3386</v>
      </c>
      <c r="E175" t="s">
        <v>86</v>
      </c>
      <c r="F175" t="s">
        <v>892</v>
      </c>
      <c r="H175" t="s">
        <v>3401</v>
      </c>
      <c r="I175" t="s">
        <v>5486</v>
      </c>
      <c r="J175" t="s">
        <v>12801</v>
      </c>
      <c r="K175" t="s">
        <v>12975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3386</v>
      </c>
      <c r="E176" t="s">
        <v>86</v>
      </c>
      <c r="F176" t="s">
        <v>892</v>
      </c>
      <c r="H176" t="s">
        <v>3401</v>
      </c>
      <c r="I176" t="s">
        <v>5488</v>
      </c>
      <c r="J176" t="s">
        <v>12801</v>
      </c>
      <c r="K176" t="s">
        <v>12976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3386</v>
      </c>
      <c r="E177" t="s">
        <v>86</v>
      </c>
      <c r="F177" t="s">
        <v>892</v>
      </c>
      <c r="H177" t="s">
        <v>3401</v>
      </c>
      <c r="I177" t="s">
        <v>5490</v>
      </c>
      <c r="J177" t="s">
        <v>12801</v>
      </c>
      <c r="K177" t="s">
        <v>12977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3386</v>
      </c>
      <c r="E178" t="s">
        <v>86</v>
      </c>
      <c r="F178" t="s">
        <v>892</v>
      </c>
      <c r="H178" t="s">
        <v>3401</v>
      </c>
      <c r="I178" t="s">
        <v>5492</v>
      </c>
      <c r="J178" t="s">
        <v>12801</v>
      </c>
      <c r="K178" t="s">
        <v>12978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1607</v>
      </c>
      <c r="E179" t="s">
        <v>8</v>
      </c>
      <c r="I179" t="s">
        <v>5494</v>
      </c>
      <c r="J179" t="s">
        <v>12801</v>
      </c>
      <c r="K179" t="s">
        <v>12979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1607</v>
      </c>
      <c r="E180" t="s">
        <v>8</v>
      </c>
      <c r="I180" t="s">
        <v>5705</v>
      </c>
      <c r="J180" t="s">
        <v>12801</v>
      </c>
      <c r="K180" t="s">
        <v>12980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1273</v>
      </c>
      <c r="E181" t="s">
        <v>3358</v>
      </c>
      <c r="F181" t="s">
        <v>4070</v>
      </c>
      <c r="I181" t="s">
        <v>5737</v>
      </c>
      <c r="J181" t="s">
        <v>12801</v>
      </c>
      <c r="K181" t="s">
        <v>12981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587</v>
      </c>
      <c r="E182" t="s">
        <v>3358</v>
      </c>
      <c r="F182" t="s">
        <v>4070</v>
      </c>
      <c r="I182" t="s">
        <v>5739</v>
      </c>
      <c r="J182" t="s">
        <v>12801</v>
      </c>
      <c r="K182" t="s">
        <v>12982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1607</v>
      </c>
      <c r="E183" t="s">
        <v>8</v>
      </c>
      <c r="I183" t="s">
        <v>5741</v>
      </c>
      <c r="J183" t="s">
        <v>12801</v>
      </c>
      <c r="K183" t="s">
        <v>12983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1607</v>
      </c>
      <c r="E184" t="s">
        <v>8</v>
      </c>
      <c r="I184" t="s">
        <v>5925</v>
      </c>
      <c r="J184" t="s">
        <v>12801</v>
      </c>
      <c r="K184" t="s">
        <v>12984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1607</v>
      </c>
      <c r="E185" t="s">
        <v>8</v>
      </c>
      <c r="I185" t="s">
        <v>5927</v>
      </c>
      <c r="J185" t="s">
        <v>12801</v>
      </c>
      <c r="K185" t="s">
        <v>12985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1607</v>
      </c>
      <c r="E186" t="s">
        <v>8</v>
      </c>
      <c r="I186" t="s">
        <v>6168</v>
      </c>
      <c r="J186" t="s">
        <v>12801</v>
      </c>
      <c r="K186" t="s">
        <v>12986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1273</v>
      </c>
      <c r="E187" t="s">
        <v>3358</v>
      </c>
      <c r="F187" t="s">
        <v>4070</v>
      </c>
      <c r="I187" t="s">
        <v>6300</v>
      </c>
      <c r="J187" t="s">
        <v>12801</v>
      </c>
      <c r="K187" t="s">
        <v>12987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4921</v>
      </c>
      <c r="E188" t="s">
        <v>3358</v>
      </c>
      <c r="F188" t="s">
        <v>4070</v>
      </c>
      <c r="H188" t="s">
        <v>4390</v>
      </c>
      <c r="I188" t="s">
        <v>6302</v>
      </c>
      <c r="J188" t="s">
        <v>12801</v>
      </c>
      <c r="K188" t="s">
        <v>12988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587</v>
      </c>
      <c r="E189" t="s">
        <v>3358</v>
      </c>
      <c r="F189" t="s">
        <v>4070</v>
      </c>
      <c r="I189" t="s">
        <v>6304</v>
      </c>
      <c r="J189" t="s">
        <v>12801</v>
      </c>
      <c r="K189" t="s">
        <v>12989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6436</v>
      </c>
      <c r="E190" t="s">
        <v>5045</v>
      </c>
      <c r="F190" t="s">
        <v>4070</v>
      </c>
      <c r="I190" t="s">
        <v>6306</v>
      </c>
      <c r="J190" t="s">
        <v>12801</v>
      </c>
      <c r="K190" t="s">
        <v>12990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1273</v>
      </c>
      <c r="E191" t="s">
        <v>3358</v>
      </c>
      <c r="F191" t="s">
        <v>4070</v>
      </c>
      <c r="I191" t="s">
        <v>6308</v>
      </c>
      <c r="J191" t="s">
        <v>12801</v>
      </c>
      <c r="K191" t="s">
        <v>12991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587</v>
      </c>
      <c r="E192" t="s">
        <v>3358</v>
      </c>
      <c r="F192" t="s">
        <v>4070</v>
      </c>
      <c r="I192" t="s">
        <v>6310</v>
      </c>
      <c r="J192" t="s">
        <v>12801</v>
      </c>
      <c r="K192" t="s">
        <v>12992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470</v>
      </c>
      <c r="E193" t="s">
        <v>468</v>
      </c>
      <c r="F193" t="s">
        <v>1288</v>
      </c>
      <c r="H193" t="s">
        <v>1287</v>
      </c>
      <c r="I193" t="s">
        <v>6464</v>
      </c>
      <c r="J193" t="s">
        <v>12801</v>
      </c>
      <c r="K193" t="s">
        <v>12993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1607</v>
      </c>
      <c r="E194" t="s">
        <v>8</v>
      </c>
      <c r="I194" t="s">
        <v>6466</v>
      </c>
      <c r="J194" t="s">
        <v>12801</v>
      </c>
      <c r="K194" t="s">
        <v>12994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1607</v>
      </c>
      <c r="E195" t="s">
        <v>8</v>
      </c>
      <c r="I195" t="s">
        <v>6468</v>
      </c>
      <c r="J195" t="s">
        <v>12801</v>
      </c>
      <c r="K195" t="s">
        <v>12995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1607</v>
      </c>
      <c r="E196" t="s">
        <v>8</v>
      </c>
      <c r="I196" t="s">
        <v>6470</v>
      </c>
      <c r="J196" t="s">
        <v>12801</v>
      </c>
      <c r="K196" t="s">
        <v>12996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1607</v>
      </c>
      <c r="E197" t="s">
        <v>8</v>
      </c>
      <c r="I197" t="s">
        <v>6690</v>
      </c>
      <c r="J197" t="s">
        <v>12801</v>
      </c>
      <c r="K197" t="s">
        <v>12997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1607</v>
      </c>
      <c r="E198" t="s">
        <v>8</v>
      </c>
      <c r="I198" t="s">
        <v>6692</v>
      </c>
      <c r="J198" t="s">
        <v>12801</v>
      </c>
      <c r="K198" t="s">
        <v>12998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1607</v>
      </c>
      <c r="E199" t="s">
        <v>8</v>
      </c>
      <c r="I199" t="s">
        <v>6694</v>
      </c>
      <c r="J199" t="s">
        <v>12801</v>
      </c>
      <c r="K199" t="s">
        <v>12999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1607</v>
      </c>
      <c r="E200" t="s">
        <v>8</v>
      </c>
      <c r="I200" t="s">
        <v>6789</v>
      </c>
      <c r="J200" t="s">
        <v>12801</v>
      </c>
      <c r="K200" t="s">
        <v>13000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1607</v>
      </c>
      <c r="E201" t="s">
        <v>8</v>
      </c>
      <c r="I201" t="s">
        <v>6791</v>
      </c>
      <c r="J201" t="s">
        <v>12801</v>
      </c>
      <c r="K201" t="s">
        <v>13001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1607</v>
      </c>
      <c r="E202" t="s">
        <v>8</v>
      </c>
      <c r="I202" t="s">
        <v>6793</v>
      </c>
      <c r="J202" t="s">
        <v>12801</v>
      </c>
      <c r="K202" t="s">
        <v>13002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1607</v>
      </c>
      <c r="E203" t="s">
        <v>8</v>
      </c>
      <c r="I203" t="s">
        <v>6795</v>
      </c>
      <c r="J203" t="s">
        <v>12801</v>
      </c>
      <c r="K203" t="s">
        <v>13003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1607</v>
      </c>
      <c r="E204" t="s">
        <v>8</v>
      </c>
      <c r="I204" t="s">
        <v>6797</v>
      </c>
      <c r="J204" t="s">
        <v>12801</v>
      </c>
      <c r="K204" t="s">
        <v>13004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1607</v>
      </c>
      <c r="E205" t="s">
        <v>8</v>
      </c>
      <c r="I205" t="s">
        <v>6799</v>
      </c>
      <c r="J205" t="s">
        <v>12801</v>
      </c>
      <c r="K205" t="s">
        <v>13005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1607</v>
      </c>
      <c r="E206" t="s">
        <v>8</v>
      </c>
      <c r="I206" t="s">
        <v>6801</v>
      </c>
      <c r="J206" t="s">
        <v>12801</v>
      </c>
      <c r="K206" t="s">
        <v>13006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3386</v>
      </c>
      <c r="E207" t="s">
        <v>86</v>
      </c>
      <c r="F207" t="s">
        <v>3405</v>
      </c>
      <c r="H207" t="s">
        <v>1287</v>
      </c>
      <c r="I207" t="s">
        <v>7070</v>
      </c>
      <c r="J207" t="s">
        <v>12801</v>
      </c>
      <c r="K207" t="s">
        <v>13007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3386</v>
      </c>
      <c r="E208" t="s">
        <v>86</v>
      </c>
      <c r="F208" t="s">
        <v>3405</v>
      </c>
      <c r="H208" t="s">
        <v>3401</v>
      </c>
      <c r="I208" t="s">
        <v>7072</v>
      </c>
      <c r="J208" t="s">
        <v>12801</v>
      </c>
      <c r="K208" t="s">
        <v>13008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2461</v>
      </c>
      <c r="I209" t="s">
        <v>7074</v>
      </c>
      <c r="J209" t="s">
        <v>12801</v>
      </c>
      <c r="K209" t="s">
        <v>13009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2461</v>
      </c>
      <c r="I210" t="s">
        <v>7076</v>
      </c>
      <c r="J210" t="s">
        <v>12801</v>
      </c>
      <c r="K210" t="s">
        <v>13010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2461</v>
      </c>
      <c r="I211" t="s">
        <v>7078</v>
      </c>
      <c r="J211" t="s">
        <v>12801</v>
      </c>
      <c r="K211" t="s">
        <v>13011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3386</v>
      </c>
      <c r="E212" t="s">
        <v>86</v>
      </c>
      <c r="F212" t="s">
        <v>7343</v>
      </c>
      <c r="H212" t="s">
        <v>1287</v>
      </c>
      <c r="I212" t="s">
        <v>7080</v>
      </c>
      <c r="J212" t="s">
        <v>12801</v>
      </c>
      <c r="K212" t="s">
        <v>13012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3386</v>
      </c>
      <c r="E213" t="s">
        <v>86</v>
      </c>
      <c r="F213" t="s">
        <v>7343</v>
      </c>
      <c r="H213" t="s">
        <v>2352</v>
      </c>
      <c r="I213" t="s">
        <v>7082</v>
      </c>
      <c r="J213" t="s">
        <v>12801</v>
      </c>
      <c r="K213" t="s">
        <v>13013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2461</v>
      </c>
      <c r="I214" t="s">
        <v>7084</v>
      </c>
      <c r="J214" t="s">
        <v>12801</v>
      </c>
      <c r="K214" t="s">
        <v>13014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1273</v>
      </c>
      <c r="E215" t="s">
        <v>3358</v>
      </c>
      <c r="I215" t="s">
        <v>7367</v>
      </c>
      <c r="J215" t="s">
        <v>12801</v>
      </c>
      <c r="K215" t="s">
        <v>13015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7462</v>
      </c>
      <c r="E216" t="s">
        <v>3358</v>
      </c>
      <c r="I216" t="s">
        <v>7369</v>
      </c>
      <c r="J216" t="s">
        <v>12801</v>
      </c>
      <c r="K216" t="s">
        <v>13016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7462</v>
      </c>
      <c r="E217" t="s">
        <v>3358</v>
      </c>
      <c r="H217" t="s">
        <v>7463</v>
      </c>
      <c r="I217" t="s">
        <v>7371</v>
      </c>
      <c r="J217" t="s">
        <v>12801</v>
      </c>
      <c r="K217" t="s">
        <v>13017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7462</v>
      </c>
      <c r="E218" t="s">
        <v>3358</v>
      </c>
      <c r="F218" t="s">
        <v>7464</v>
      </c>
      <c r="H218" t="s">
        <v>7465</v>
      </c>
      <c r="I218" t="s">
        <v>7373</v>
      </c>
      <c r="J218" t="s">
        <v>12801</v>
      </c>
      <c r="K218" t="s">
        <v>13018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587</v>
      </c>
      <c r="E219" t="s">
        <v>3358</v>
      </c>
      <c r="I219" t="s">
        <v>7375</v>
      </c>
      <c r="J219" t="s">
        <v>12801</v>
      </c>
      <c r="K219" t="s">
        <v>13019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1607</v>
      </c>
      <c r="E220" t="s">
        <v>8</v>
      </c>
      <c r="I220" t="s">
        <v>7377</v>
      </c>
      <c r="J220" t="s">
        <v>12801</v>
      </c>
      <c r="K220" t="s">
        <v>13020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470</v>
      </c>
      <c r="E221" t="s">
        <v>468</v>
      </c>
      <c r="F221" t="s">
        <v>2345</v>
      </c>
      <c r="I221" t="s">
        <v>7379</v>
      </c>
      <c r="J221" t="s">
        <v>12801</v>
      </c>
      <c r="K221" t="s">
        <v>13021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470</v>
      </c>
      <c r="E222" t="s">
        <v>468</v>
      </c>
      <c r="F222" t="s">
        <v>2345</v>
      </c>
      <c r="H222" t="s">
        <v>2352</v>
      </c>
      <c r="I222" t="s">
        <v>7381</v>
      </c>
      <c r="J222" t="s">
        <v>12801</v>
      </c>
      <c r="K222" t="s">
        <v>13022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7466</v>
      </c>
      <c r="E223" t="s">
        <v>7467</v>
      </c>
      <c r="H223" t="s">
        <v>5216</v>
      </c>
      <c r="I223" t="s">
        <v>7383</v>
      </c>
      <c r="J223" t="s">
        <v>12801</v>
      </c>
      <c r="K223" t="s">
        <v>13023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1273</v>
      </c>
      <c r="E224" t="s">
        <v>5310</v>
      </c>
      <c r="F224" t="s">
        <v>51</v>
      </c>
      <c r="I224" t="s">
        <v>7651</v>
      </c>
      <c r="J224" t="s">
        <v>12801</v>
      </c>
      <c r="K224" t="s">
        <v>13024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587</v>
      </c>
      <c r="E225" t="s">
        <v>5310</v>
      </c>
      <c r="F225" t="s">
        <v>3405</v>
      </c>
      <c r="I225" t="s">
        <v>7653</v>
      </c>
      <c r="J225" t="s">
        <v>12801</v>
      </c>
      <c r="K225" t="s">
        <v>13025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1273</v>
      </c>
      <c r="E226" t="s">
        <v>5310</v>
      </c>
      <c r="F226" t="s">
        <v>51</v>
      </c>
      <c r="I226" t="s">
        <v>7655</v>
      </c>
      <c r="J226" t="s">
        <v>12801</v>
      </c>
      <c r="K226" t="s">
        <v>13026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587</v>
      </c>
      <c r="E227" t="s">
        <v>5310</v>
      </c>
      <c r="F227" t="s">
        <v>7738</v>
      </c>
      <c r="I227" t="s">
        <v>7657</v>
      </c>
      <c r="J227" t="s">
        <v>12801</v>
      </c>
      <c r="K227" t="s">
        <v>13027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1607</v>
      </c>
      <c r="E228" t="s">
        <v>8</v>
      </c>
      <c r="I228" t="s">
        <v>7659</v>
      </c>
      <c r="J228" t="s">
        <v>12801</v>
      </c>
      <c r="K228" t="s">
        <v>13028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1607</v>
      </c>
      <c r="E229" t="s">
        <v>8</v>
      </c>
      <c r="I229" t="s">
        <v>7766</v>
      </c>
      <c r="J229" t="s">
        <v>12801</v>
      </c>
      <c r="K229" t="s">
        <v>13029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1607</v>
      </c>
      <c r="E230" t="s">
        <v>8</v>
      </c>
      <c r="I230" t="s">
        <v>7768</v>
      </c>
      <c r="J230" t="s">
        <v>12801</v>
      </c>
      <c r="K230" t="s">
        <v>13030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1273</v>
      </c>
      <c r="E231" t="s">
        <v>8099</v>
      </c>
      <c r="H231" t="s">
        <v>4390</v>
      </c>
      <c r="I231" t="s">
        <v>7926</v>
      </c>
      <c r="J231" t="s">
        <v>12801</v>
      </c>
      <c r="K231" t="s">
        <v>13031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587</v>
      </c>
      <c r="E232" t="s">
        <v>8099</v>
      </c>
      <c r="I232" t="s">
        <v>7928</v>
      </c>
      <c r="J232" t="s">
        <v>12801</v>
      </c>
      <c r="K232" t="s">
        <v>13032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1273</v>
      </c>
      <c r="E233" t="s">
        <v>3358</v>
      </c>
      <c r="H233" t="s">
        <v>4390</v>
      </c>
      <c r="I233" t="s">
        <v>7930</v>
      </c>
      <c r="J233" t="s">
        <v>12801</v>
      </c>
      <c r="K233" t="s">
        <v>13033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587</v>
      </c>
      <c r="E234" t="s">
        <v>3358</v>
      </c>
      <c r="I234" t="s">
        <v>7932</v>
      </c>
      <c r="J234" t="s">
        <v>12801</v>
      </c>
      <c r="K234" t="s">
        <v>13034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1273</v>
      </c>
      <c r="E235" t="s">
        <v>8118</v>
      </c>
      <c r="F235" t="s">
        <v>4070</v>
      </c>
      <c r="I235" t="s">
        <v>8120</v>
      </c>
      <c r="J235" t="s">
        <v>12801</v>
      </c>
      <c r="K235" t="s">
        <v>13035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4921</v>
      </c>
      <c r="E236" t="s">
        <v>8118</v>
      </c>
      <c r="F236" t="s">
        <v>4070</v>
      </c>
      <c r="H236" t="s">
        <v>4390</v>
      </c>
      <c r="I236" t="s">
        <v>8122</v>
      </c>
      <c r="J236" t="s">
        <v>12801</v>
      </c>
      <c r="K236" t="s">
        <v>13036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587</v>
      </c>
      <c r="E237" t="s">
        <v>8118</v>
      </c>
      <c r="F237" t="s">
        <v>4070</v>
      </c>
      <c r="I237" t="s">
        <v>8124</v>
      </c>
      <c r="J237" t="s">
        <v>12801</v>
      </c>
      <c r="K237" t="s">
        <v>13037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1607</v>
      </c>
      <c r="E238" t="s">
        <v>8</v>
      </c>
      <c r="I238" t="s">
        <v>8375</v>
      </c>
      <c r="J238" t="s">
        <v>12801</v>
      </c>
      <c r="K238" t="s">
        <v>13038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1607</v>
      </c>
      <c r="E239" t="s">
        <v>8</v>
      </c>
      <c r="I239" t="s">
        <v>8377</v>
      </c>
      <c r="J239" t="s">
        <v>12801</v>
      </c>
      <c r="K239" t="s">
        <v>13039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1607</v>
      </c>
      <c r="E240" t="s">
        <v>8</v>
      </c>
      <c r="I240" t="s">
        <v>8442</v>
      </c>
      <c r="J240" t="s">
        <v>12801</v>
      </c>
      <c r="K240" t="s">
        <v>13040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1607</v>
      </c>
      <c r="E241" t="s">
        <v>8</v>
      </c>
      <c r="I241" t="s">
        <v>8444</v>
      </c>
      <c r="J241" t="s">
        <v>12801</v>
      </c>
      <c r="K241" t="s">
        <v>13041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1274</v>
      </c>
      <c r="F242" t="s">
        <v>2345</v>
      </c>
      <c r="G242">
        <v>1</v>
      </c>
      <c r="H242" t="s">
        <v>2461</v>
      </c>
      <c r="I242" t="s">
        <v>8531</v>
      </c>
      <c r="J242" t="s">
        <v>12801</v>
      </c>
      <c r="K242" t="s">
        <v>13042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1274</v>
      </c>
      <c r="F243" t="s">
        <v>2345</v>
      </c>
      <c r="G243">
        <v>1</v>
      </c>
      <c r="H243" t="s">
        <v>2461</v>
      </c>
      <c r="I243" t="s">
        <v>8533</v>
      </c>
      <c r="J243" t="s">
        <v>12801</v>
      </c>
      <c r="K243" t="s">
        <v>13043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1274</v>
      </c>
      <c r="F244" t="s">
        <v>2345</v>
      </c>
      <c r="G244">
        <v>1</v>
      </c>
      <c r="H244" t="s">
        <v>2461</v>
      </c>
      <c r="I244" t="s">
        <v>8535</v>
      </c>
      <c r="J244" t="s">
        <v>12801</v>
      </c>
      <c r="K244" t="s">
        <v>13044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1274</v>
      </c>
      <c r="F245" t="s">
        <v>2345</v>
      </c>
      <c r="G245">
        <v>1</v>
      </c>
      <c r="H245" t="s">
        <v>2461</v>
      </c>
      <c r="I245" t="s">
        <v>8537</v>
      </c>
      <c r="J245" t="s">
        <v>12801</v>
      </c>
      <c r="K245" t="s">
        <v>13045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226</v>
      </c>
      <c r="E246" t="s">
        <v>8714</v>
      </c>
      <c r="F246" t="s">
        <v>2345</v>
      </c>
      <c r="G246">
        <v>1</v>
      </c>
      <c r="I246" t="s">
        <v>8539</v>
      </c>
      <c r="J246" t="s">
        <v>12801</v>
      </c>
      <c r="K246" t="s">
        <v>13046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226</v>
      </c>
      <c r="E247" t="s">
        <v>8714</v>
      </c>
      <c r="F247" t="s">
        <v>2345</v>
      </c>
      <c r="G247">
        <v>1</v>
      </c>
      <c r="H247" t="s">
        <v>2352</v>
      </c>
      <c r="I247" t="s">
        <v>8542</v>
      </c>
      <c r="J247" t="s">
        <v>12801</v>
      </c>
      <c r="K247" t="s">
        <v>13047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226</v>
      </c>
      <c r="E248" t="s">
        <v>8714</v>
      </c>
      <c r="F248" t="s">
        <v>2345</v>
      </c>
      <c r="G248">
        <v>1</v>
      </c>
      <c r="H248" t="s">
        <v>2352</v>
      </c>
      <c r="I248" t="s">
        <v>8545</v>
      </c>
      <c r="J248" t="s">
        <v>12801</v>
      </c>
      <c r="K248" t="s">
        <v>13048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226</v>
      </c>
      <c r="E249" t="s">
        <v>8714</v>
      </c>
      <c r="F249" t="s">
        <v>2345</v>
      </c>
      <c r="G249">
        <v>1</v>
      </c>
      <c r="H249" t="s">
        <v>2352</v>
      </c>
      <c r="I249" t="s">
        <v>8548</v>
      </c>
      <c r="J249" t="s">
        <v>12801</v>
      </c>
      <c r="K249" t="s">
        <v>13049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587</v>
      </c>
      <c r="E250" t="s">
        <v>8714</v>
      </c>
      <c r="F250" t="s">
        <v>58</v>
      </c>
      <c r="H250" t="s">
        <v>7461</v>
      </c>
      <c r="I250" t="s">
        <v>8551</v>
      </c>
      <c r="J250" t="s">
        <v>12801</v>
      </c>
      <c r="K250" t="s">
        <v>13050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1274</v>
      </c>
      <c r="F251" t="s">
        <v>2345</v>
      </c>
      <c r="G251">
        <v>1</v>
      </c>
      <c r="H251" t="s">
        <v>2461</v>
      </c>
      <c r="I251" t="s">
        <v>8553</v>
      </c>
      <c r="J251" t="s">
        <v>12801</v>
      </c>
      <c r="K251" t="s">
        <v>13051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1274</v>
      </c>
      <c r="F252" t="s">
        <v>2345</v>
      </c>
      <c r="G252">
        <v>2</v>
      </c>
      <c r="H252" t="s">
        <v>2461</v>
      </c>
      <c r="I252" t="s">
        <v>8555</v>
      </c>
      <c r="J252" t="s">
        <v>12801</v>
      </c>
      <c r="K252" t="s">
        <v>13052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1274</v>
      </c>
      <c r="F253" t="s">
        <v>2345</v>
      </c>
      <c r="G253">
        <v>2</v>
      </c>
      <c r="H253" t="s">
        <v>2461</v>
      </c>
      <c r="I253" t="s">
        <v>8557</v>
      </c>
      <c r="J253" t="s">
        <v>12801</v>
      </c>
      <c r="K253" t="s">
        <v>13053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1274</v>
      </c>
      <c r="F254" t="s">
        <v>2345</v>
      </c>
      <c r="G254">
        <v>2</v>
      </c>
      <c r="H254" t="s">
        <v>2461</v>
      </c>
      <c r="I254" t="s">
        <v>8559</v>
      </c>
      <c r="J254" t="s">
        <v>12801</v>
      </c>
      <c r="K254" t="s">
        <v>13054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470</v>
      </c>
      <c r="E255" t="s">
        <v>468</v>
      </c>
      <c r="F255" t="s">
        <v>2345</v>
      </c>
      <c r="H255" t="s">
        <v>8715</v>
      </c>
      <c r="I255" t="s">
        <v>8561</v>
      </c>
      <c r="J255" t="s">
        <v>12801</v>
      </c>
      <c r="K255" t="s">
        <v>13055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470</v>
      </c>
      <c r="E256" t="s">
        <v>468</v>
      </c>
      <c r="F256" t="s">
        <v>2345</v>
      </c>
      <c r="H256" t="s">
        <v>8715</v>
      </c>
      <c r="I256" t="s">
        <v>8563</v>
      </c>
      <c r="J256" t="s">
        <v>12801</v>
      </c>
      <c r="K256" t="s">
        <v>13056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470</v>
      </c>
      <c r="E257" t="s">
        <v>468</v>
      </c>
      <c r="F257" t="s">
        <v>2345</v>
      </c>
      <c r="H257" t="s">
        <v>8715</v>
      </c>
      <c r="I257" t="s">
        <v>8565</v>
      </c>
      <c r="J257" t="s">
        <v>12801</v>
      </c>
      <c r="K257" t="s">
        <v>13057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470</v>
      </c>
      <c r="E258" t="s">
        <v>468</v>
      </c>
      <c r="F258" t="s">
        <v>2345</v>
      </c>
      <c r="H258" t="s">
        <v>8715</v>
      </c>
      <c r="I258" t="s">
        <v>8567</v>
      </c>
      <c r="J258" t="s">
        <v>12801</v>
      </c>
      <c r="K258" t="s">
        <v>13058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470</v>
      </c>
      <c r="E259" t="s">
        <v>468</v>
      </c>
      <c r="F259" t="s">
        <v>2345</v>
      </c>
      <c r="H259" t="s">
        <v>8715</v>
      </c>
      <c r="I259" t="s">
        <v>8569</v>
      </c>
      <c r="J259" t="s">
        <v>12801</v>
      </c>
      <c r="K259" t="s">
        <v>13059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470</v>
      </c>
      <c r="E260" t="s">
        <v>468</v>
      </c>
      <c r="F260" t="s">
        <v>2345</v>
      </c>
      <c r="H260" t="s">
        <v>8715</v>
      </c>
      <c r="I260" t="s">
        <v>8571</v>
      </c>
      <c r="J260" t="s">
        <v>12801</v>
      </c>
      <c r="K260" t="s">
        <v>13060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470</v>
      </c>
      <c r="E261" t="s">
        <v>468</v>
      </c>
      <c r="F261" t="s">
        <v>2345</v>
      </c>
      <c r="H261" t="s">
        <v>8715</v>
      </c>
      <c r="I261" t="s">
        <v>8573</v>
      </c>
      <c r="J261" t="s">
        <v>12801</v>
      </c>
      <c r="K261" t="s">
        <v>13061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470</v>
      </c>
      <c r="E262" t="s">
        <v>468</v>
      </c>
      <c r="F262" t="s">
        <v>2345</v>
      </c>
      <c r="H262" t="s">
        <v>8715</v>
      </c>
      <c r="I262" t="s">
        <v>8575</v>
      </c>
      <c r="J262" t="s">
        <v>12801</v>
      </c>
      <c r="K262" t="s">
        <v>13062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470</v>
      </c>
      <c r="E263" t="s">
        <v>468</v>
      </c>
      <c r="F263" t="s">
        <v>2345</v>
      </c>
      <c r="H263" t="s">
        <v>8715</v>
      </c>
      <c r="I263" t="s">
        <v>8577</v>
      </c>
      <c r="J263" t="s">
        <v>12801</v>
      </c>
      <c r="K263" t="s">
        <v>13063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470</v>
      </c>
      <c r="E264" t="s">
        <v>468</v>
      </c>
      <c r="F264" t="s">
        <v>2345</v>
      </c>
      <c r="H264" t="s">
        <v>8715</v>
      </c>
      <c r="I264" t="s">
        <v>8579</v>
      </c>
      <c r="J264" t="s">
        <v>12801</v>
      </c>
      <c r="K264" t="s">
        <v>13064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1273</v>
      </c>
      <c r="E265" t="s">
        <v>8099</v>
      </c>
      <c r="I265" t="s">
        <v>8720</v>
      </c>
      <c r="J265" t="s">
        <v>12801</v>
      </c>
      <c r="K265" t="s">
        <v>13065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587</v>
      </c>
      <c r="E266" t="s">
        <v>8099</v>
      </c>
      <c r="I266" t="s">
        <v>8722</v>
      </c>
      <c r="J266" t="s">
        <v>12801</v>
      </c>
      <c r="K266" t="s">
        <v>13066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1607</v>
      </c>
      <c r="E267" t="s">
        <v>8</v>
      </c>
      <c r="I267" t="s">
        <v>8822</v>
      </c>
      <c r="J267" t="s">
        <v>12801</v>
      </c>
      <c r="K267" t="s">
        <v>13067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1607</v>
      </c>
      <c r="E268" t="s">
        <v>8</v>
      </c>
      <c r="I268" t="s">
        <v>8824</v>
      </c>
      <c r="J268" t="s">
        <v>12801</v>
      </c>
      <c r="K268" t="s">
        <v>13068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1607</v>
      </c>
      <c r="E269" t="s">
        <v>8</v>
      </c>
      <c r="I269" t="s">
        <v>8926</v>
      </c>
      <c r="J269" t="s">
        <v>12801</v>
      </c>
      <c r="K269" t="s">
        <v>13069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8099</v>
      </c>
      <c r="I270" t="s">
        <v>8928</v>
      </c>
      <c r="J270" t="s">
        <v>12801</v>
      </c>
      <c r="K270" t="s">
        <v>13070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2461</v>
      </c>
      <c r="I271" t="s">
        <v>9144</v>
      </c>
      <c r="J271" t="s">
        <v>12801</v>
      </c>
      <c r="K271" t="s">
        <v>13071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2461</v>
      </c>
      <c r="I272" t="s">
        <v>9146</v>
      </c>
      <c r="J272" t="s">
        <v>12801</v>
      </c>
      <c r="K272" t="s">
        <v>13072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2461</v>
      </c>
      <c r="I273" t="s">
        <v>9148</v>
      </c>
      <c r="J273" t="s">
        <v>12801</v>
      </c>
      <c r="K273" t="s">
        <v>13073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470</v>
      </c>
      <c r="E274" t="s">
        <v>468</v>
      </c>
      <c r="F274" t="s">
        <v>2345</v>
      </c>
      <c r="H274" t="s">
        <v>8715</v>
      </c>
      <c r="I274" t="s">
        <v>9150</v>
      </c>
      <c r="J274" t="s">
        <v>12801</v>
      </c>
      <c r="K274" t="s">
        <v>13074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470</v>
      </c>
      <c r="E275" t="s">
        <v>468</v>
      </c>
      <c r="F275" t="s">
        <v>2345</v>
      </c>
      <c r="H275" t="s">
        <v>8715</v>
      </c>
      <c r="I275" t="s">
        <v>9152</v>
      </c>
      <c r="J275" t="s">
        <v>12801</v>
      </c>
      <c r="K275" t="s">
        <v>13075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470</v>
      </c>
      <c r="E276" t="s">
        <v>468</v>
      </c>
      <c r="F276" t="s">
        <v>2345</v>
      </c>
      <c r="H276" t="s">
        <v>8715</v>
      </c>
      <c r="I276" t="s">
        <v>9154</v>
      </c>
      <c r="J276" t="s">
        <v>12801</v>
      </c>
      <c r="K276" t="s">
        <v>13076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470</v>
      </c>
      <c r="E277" t="s">
        <v>468</v>
      </c>
      <c r="F277" t="s">
        <v>2345</v>
      </c>
      <c r="H277" t="s">
        <v>8715</v>
      </c>
      <c r="I277" t="s">
        <v>9156</v>
      </c>
      <c r="J277" t="s">
        <v>12801</v>
      </c>
      <c r="K277" t="s">
        <v>13077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1607</v>
      </c>
      <c r="E278" t="s">
        <v>8</v>
      </c>
      <c r="I278" t="s">
        <v>9326</v>
      </c>
      <c r="J278" t="s">
        <v>12801</v>
      </c>
      <c r="K278" t="s">
        <v>13078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1607</v>
      </c>
      <c r="E279" t="s">
        <v>8</v>
      </c>
      <c r="I279" t="s">
        <v>9413</v>
      </c>
      <c r="J279" t="s">
        <v>12801</v>
      </c>
      <c r="K279" t="s">
        <v>13079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1607</v>
      </c>
      <c r="E280" t="s">
        <v>8</v>
      </c>
      <c r="I280" t="s">
        <v>10604</v>
      </c>
      <c r="J280" t="s">
        <v>12801</v>
      </c>
      <c r="K280" t="s">
        <v>13080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1607</v>
      </c>
      <c r="E281" t="s">
        <v>8</v>
      </c>
      <c r="I281" t="s">
        <v>10606</v>
      </c>
      <c r="J281" t="s">
        <v>12801</v>
      </c>
      <c r="K281" t="s">
        <v>13081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</sheetData>
  <conditionalFormatting sqref="D282:D292 E282:E295 G2:H281 D2:E281">
    <cfRule type="containsText" dxfId="1027" priority="14" operator="containsText" text="Выезд с территории">
      <formula>NOT(ISERROR(SEARCH("Выезд с территории",D2)))</formula>
    </cfRule>
  </conditionalFormatting>
  <conditionalFormatting sqref="F2:F281">
    <cfRule type="notContainsText" dxfId="1026" priority="13" operator="notContains" text="порожний">
      <formula>ISERROR(SEARCH("порожний",F2))</formula>
    </cfRule>
  </conditionalFormatting>
  <conditionalFormatting sqref="E2:E295">
    <cfRule type="containsText" dxfId="1025" priority="11" operator="containsText" text="Газель базы">
      <formula>NOT(ISERROR(SEARCH("Газель базы",E2)))</formula>
    </cfRule>
    <cfRule type="containsText" dxfId="1024" priority="12" operator="containsText" text="Погрузчик базы">
      <formula>NOT(ISERROR(SEARCH("Погрузчик базы",E2)))</formula>
    </cfRule>
  </conditionalFormatting>
  <conditionalFormatting sqref="E2:E295">
    <cfRule type="containsText" dxfId="1023" priority="10" operator="containsText" text="Трактор базы">
      <formula>NOT(ISERROR(SEARCH("Трактор базы",E2)))</formula>
    </cfRule>
  </conditionalFormatting>
  <conditionalFormatting sqref="A2:C281">
    <cfRule type="expression" dxfId="1022" priority="9">
      <formula>$A2="пн"</formula>
    </cfRule>
  </conditionalFormatting>
  <conditionalFormatting sqref="A2:C283">
    <cfRule type="expression" dxfId="1021" priority="3">
      <formula>$A2="вс"</formula>
    </cfRule>
    <cfRule type="expression" dxfId="1020" priority="4">
      <formula>$A2="сб"</formula>
    </cfRule>
    <cfRule type="expression" dxfId="1019" priority="5">
      <formula>$A2="пт"</formula>
    </cfRule>
    <cfRule type="expression" dxfId="1018" priority="6">
      <formula>$A2="чт"</formula>
    </cfRule>
    <cfRule type="expression" dxfId="1017" priority="7">
      <formula>$A2="ср"</formula>
    </cfRule>
    <cfRule type="expression" dxfId="1016" priority="8">
      <formula>$A2="вт"</formula>
    </cfRule>
  </conditionalFormatting>
  <conditionalFormatting sqref="D2:D292">
    <cfRule type="containsText" dxfId="101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92">
    <cfRule type="containsText" dxfId="101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63"/>
  <sheetViews>
    <sheetView zoomScale="90" zoomScaleNormal="90" workbookViewId="0">
      <pane ySplit="1" topLeftCell="A155" activePane="bottomLeft" state="frozen"/>
      <selection pane="bottomLeft" activeCell="I162" sqref="I162:I164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10908</v>
      </c>
      <c r="K2" t="s">
        <v>10909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171</v>
      </c>
      <c r="J3" t="s">
        <v>10908</v>
      </c>
      <c r="K3" t="s">
        <v>10910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173</v>
      </c>
      <c r="J4" t="s">
        <v>10908</v>
      </c>
      <c r="K4" t="s">
        <v>10911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175</v>
      </c>
      <c r="J5" t="s">
        <v>10908</v>
      </c>
      <c r="K5" t="s">
        <v>10912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177</v>
      </c>
      <c r="J6" t="s">
        <v>10908</v>
      </c>
      <c r="K6" t="s">
        <v>10913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179</v>
      </c>
      <c r="J7" t="s">
        <v>10908</v>
      </c>
      <c r="K7" t="s">
        <v>10914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181</v>
      </c>
      <c r="J8" t="s">
        <v>10908</v>
      </c>
      <c r="K8" t="s">
        <v>10915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183</v>
      </c>
      <c r="J9" t="s">
        <v>10908</v>
      </c>
      <c r="K9" t="s">
        <v>10916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185</v>
      </c>
      <c r="J10" t="s">
        <v>10908</v>
      </c>
      <c r="K10" t="s">
        <v>10917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187</v>
      </c>
      <c r="J11" t="s">
        <v>10908</v>
      </c>
      <c r="K11" t="s">
        <v>10918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189</v>
      </c>
      <c r="J12" t="s">
        <v>10908</v>
      </c>
      <c r="K12" t="s">
        <v>10919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191</v>
      </c>
      <c r="J13" t="s">
        <v>10908</v>
      </c>
      <c r="K13" t="s">
        <v>10920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193</v>
      </c>
      <c r="J14" t="s">
        <v>10908</v>
      </c>
      <c r="K14" t="s">
        <v>10921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195</v>
      </c>
      <c r="J15" t="s">
        <v>10908</v>
      </c>
      <c r="K15" t="s">
        <v>10922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197</v>
      </c>
      <c r="J16" t="s">
        <v>10908</v>
      </c>
      <c r="K16" t="s">
        <v>10923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226</v>
      </c>
      <c r="E17" t="s">
        <v>66</v>
      </c>
      <c r="F17" t="s">
        <v>225</v>
      </c>
      <c r="I17" t="s">
        <v>199</v>
      </c>
      <c r="J17" t="s">
        <v>10908</v>
      </c>
      <c r="K17" t="s">
        <v>10924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201</v>
      </c>
      <c r="J18" t="s">
        <v>10908</v>
      </c>
      <c r="K18" t="s">
        <v>10925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203</v>
      </c>
      <c r="J19" t="s">
        <v>10908</v>
      </c>
      <c r="K19" t="s">
        <v>10926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205</v>
      </c>
      <c r="J20" t="s">
        <v>10908</v>
      </c>
      <c r="K20" t="s">
        <v>10927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207</v>
      </c>
      <c r="J21" t="s">
        <v>10908</v>
      </c>
      <c r="K21" t="s">
        <v>10928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209</v>
      </c>
      <c r="J22" t="s">
        <v>10908</v>
      </c>
      <c r="K22" t="s">
        <v>10929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211</v>
      </c>
      <c r="J23" t="s">
        <v>10908</v>
      </c>
      <c r="K23" t="s">
        <v>10930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213</v>
      </c>
      <c r="J24" t="s">
        <v>10908</v>
      </c>
      <c r="K24" t="s">
        <v>10931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215</v>
      </c>
      <c r="J25" t="s">
        <v>10908</v>
      </c>
      <c r="K25" t="s">
        <v>10932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217</v>
      </c>
      <c r="J26" t="s">
        <v>10908</v>
      </c>
      <c r="K26" t="s">
        <v>10933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227</v>
      </c>
      <c r="E27" t="s">
        <v>66</v>
      </c>
      <c r="F27" t="s">
        <v>88</v>
      </c>
      <c r="I27" t="s">
        <v>219</v>
      </c>
      <c r="J27" t="s">
        <v>10908</v>
      </c>
      <c r="K27" t="s">
        <v>10934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221</v>
      </c>
      <c r="J28" t="s">
        <v>10908</v>
      </c>
      <c r="K28" t="s">
        <v>10935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223</v>
      </c>
      <c r="J29" t="s">
        <v>10908</v>
      </c>
      <c r="K29" t="s">
        <v>10936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974</v>
      </c>
      <c r="J30" t="s">
        <v>10908</v>
      </c>
      <c r="K30" t="s">
        <v>10937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1608</v>
      </c>
      <c r="H31" t="s">
        <v>1609</v>
      </c>
      <c r="I31" t="s">
        <v>976</v>
      </c>
      <c r="J31" t="s">
        <v>10908</v>
      </c>
      <c r="K31" t="s">
        <v>10938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1608</v>
      </c>
      <c r="H32" t="s">
        <v>1610</v>
      </c>
      <c r="I32" t="s">
        <v>978</v>
      </c>
      <c r="J32" t="s">
        <v>10908</v>
      </c>
      <c r="K32" t="s">
        <v>10939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1611</v>
      </c>
      <c r="I33" t="s">
        <v>980</v>
      </c>
      <c r="J33" t="s">
        <v>10908</v>
      </c>
      <c r="K33" t="s">
        <v>10940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982</v>
      </c>
      <c r="J34" t="s">
        <v>10908</v>
      </c>
      <c r="K34" t="s">
        <v>10941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1292</v>
      </c>
      <c r="I35" t="s">
        <v>984</v>
      </c>
      <c r="J35" t="s">
        <v>10908</v>
      </c>
      <c r="K35" t="s">
        <v>10942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1612</v>
      </c>
      <c r="I36" t="s">
        <v>986</v>
      </c>
      <c r="J36" t="s">
        <v>10908</v>
      </c>
      <c r="K36" t="s">
        <v>10943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1607</v>
      </c>
      <c r="I37" t="s">
        <v>988</v>
      </c>
      <c r="J37" t="s">
        <v>10908</v>
      </c>
      <c r="K37" t="s">
        <v>10944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1292</v>
      </c>
      <c r="I38" t="s">
        <v>990</v>
      </c>
      <c r="J38" t="s">
        <v>10908</v>
      </c>
      <c r="K38" t="s">
        <v>10945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1607</v>
      </c>
      <c r="I39" t="s">
        <v>1659</v>
      </c>
      <c r="J39" t="s">
        <v>10908</v>
      </c>
      <c r="K39" t="s">
        <v>10946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1661</v>
      </c>
      <c r="J40" t="s">
        <v>10908</v>
      </c>
      <c r="K40" t="s">
        <v>10947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226</v>
      </c>
      <c r="E41" t="s">
        <v>2343</v>
      </c>
      <c r="F41" t="s">
        <v>58</v>
      </c>
      <c r="H41" t="s">
        <v>2344</v>
      </c>
      <c r="I41" t="s">
        <v>1663</v>
      </c>
      <c r="J41" t="s">
        <v>10908</v>
      </c>
      <c r="K41" t="s">
        <v>10948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1666</v>
      </c>
      <c r="J42" t="s">
        <v>10908</v>
      </c>
      <c r="K42" t="s">
        <v>10949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1668</v>
      </c>
      <c r="J43" t="s">
        <v>10908</v>
      </c>
      <c r="K43" t="s">
        <v>10950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1670</v>
      </c>
      <c r="J44" t="s">
        <v>10908</v>
      </c>
      <c r="K44" t="s">
        <v>10951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226</v>
      </c>
      <c r="E45" t="s">
        <v>2343</v>
      </c>
      <c r="F45" t="s">
        <v>2345</v>
      </c>
      <c r="H45" t="s">
        <v>3368</v>
      </c>
      <c r="I45" t="s">
        <v>1672</v>
      </c>
      <c r="J45" t="s">
        <v>10908</v>
      </c>
      <c r="K45" t="s">
        <v>10952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1675</v>
      </c>
      <c r="J46" t="s">
        <v>10908</v>
      </c>
      <c r="K46" t="s">
        <v>10953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1607</v>
      </c>
      <c r="I47" t="s">
        <v>1677</v>
      </c>
      <c r="J47" t="s">
        <v>10908</v>
      </c>
      <c r="K47" t="s">
        <v>10954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1607</v>
      </c>
      <c r="I48" t="s">
        <v>1679</v>
      </c>
      <c r="J48" t="s">
        <v>10908</v>
      </c>
      <c r="K48" t="s">
        <v>10955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2624</v>
      </c>
      <c r="J49" t="s">
        <v>10908</v>
      </c>
      <c r="K49" t="s">
        <v>10956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2626</v>
      </c>
      <c r="J50" t="s">
        <v>10908</v>
      </c>
      <c r="K50" t="s">
        <v>10957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2628</v>
      </c>
      <c r="J51" t="s">
        <v>10908</v>
      </c>
      <c r="K51" t="s">
        <v>10958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3369</v>
      </c>
      <c r="I52" t="s">
        <v>2630</v>
      </c>
      <c r="J52" t="s">
        <v>10908</v>
      </c>
      <c r="K52" t="s">
        <v>10959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2632</v>
      </c>
      <c r="J53" t="s">
        <v>10908</v>
      </c>
      <c r="K53" t="s">
        <v>10960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1607</v>
      </c>
      <c r="I54" t="s">
        <v>2634</v>
      </c>
      <c r="J54" t="s">
        <v>10908</v>
      </c>
      <c r="K54" t="s">
        <v>10961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3357</v>
      </c>
      <c r="F55" t="s">
        <v>58</v>
      </c>
      <c r="I55" t="s">
        <v>2636</v>
      </c>
      <c r="J55" t="s">
        <v>10908</v>
      </c>
      <c r="K55" t="s">
        <v>10962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2638</v>
      </c>
      <c r="J56" t="s">
        <v>10908</v>
      </c>
      <c r="K56" t="s">
        <v>10963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2640</v>
      </c>
      <c r="J57" t="s">
        <v>10908</v>
      </c>
      <c r="K57" t="s">
        <v>10964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1607</v>
      </c>
      <c r="I58" t="s">
        <v>2642</v>
      </c>
      <c r="J58" t="s">
        <v>10908</v>
      </c>
      <c r="K58" t="s">
        <v>10965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2644</v>
      </c>
      <c r="J59" t="s">
        <v>10908</v>
      </c>
      <c r="K59" t="s">
        <v>10966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1607</v>
      </c>
      <c r="I60" t="s">
        <v>2646</v>
      </c>
      <c r="J60" t="s">
        <v>10908</v>
      </c>
      <c r="K60" t="s">
        <v>10967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2648</v>
      </c>
      <c r="J61" t="s">
        <v>10908</v>
      </c>
      <c r="K61" t="s">
        <v>10968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226</v>
      </c>
      <c r="E62" t="s">
        <v>2343</v>
      </c>
      <c r="F62" t="s">
        <v>53</v>
      </c>
      <c r="G62">
        <v>4</v>
      </c>
      <c r="I62" t="s">
        <v>2650</v>
      </c>
      <c r="J62" t="s">
        <v>10908</v>
      </c>
      <c r="K62" t="s">
        <v>10969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3359</v>
      </c>
      <c r="F63" t="s">
        <v>3361</v>
      </c>
      <c r="I63" t="s">
        <v>2653</v>
      </c>
      <c r="J63" t="s">
        <v>10908</v>
      </c>
      <c r="K63" t="s">
        <v>10970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1607</v>
      </c>
      <c r="I64" t="s">
        <v>3423</v>
      </c>
      <c r="J64" t="s">
        <v>10908</v>
      </c>
      <c r="K64" t="s">
        <v>10971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3665</v>
      </c>
      <c r="J65" t="s">
        <v>10908</v>
      </c>
      <c r="K65" t="s">
        <v>10972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3359</v>
      </c>
      <c r="H66" t="s">
        <v>4083</v>
      </c>
      <c r="I66" t="s">
        <v>3667</v>
      </c>
      <c r="J66" t="s">
        <v>10908</v>
      </c>
      <c r="K66" t="s">
        <v>10973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3669</v>
      </c>
      <c r="J67" t="s">
        <v>10908</v>
      </c>
      <c r="K67" t="s">
        <v>10974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3671</v>
      </c>
      <c r="J68" t="s">
        <v>10908</v>
      </c>
      <c r="K68" t="s">
        <v>10975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226</v>
      </c>
      <c r="E69" t="s">
        <v>2343</v>
      </c>
      <c r="F69" t="s">
        <v>53</v>
      </c>
      <c r="G69">
        <v>3</v>
      </c>
      <c r="I69" t="s">
        <v>4080</v>
      </c>
      <c r="J69" t="s">
        <v>10908</v>
      </c>
      <c r="K69" t="s">
        <v>10976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3673</v>
      </c>
      <c r="J70" t="s">
        <v>10908</v>
      </c>
      <c r="K70" t="s">
        <v>10977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1607</v>
      </c>
      <c r="I71" t="s">
        <v>3675</v>
      </c>
      <c r="J71" t="s">
        <v>10908</v>
      </c>
      <c r="K71" t="s">
        <v>10978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4235</v>
      </c>
      <c r="F72" t="s">
        <v>1276</v>
      </c>
      <c r="I72" t="s">
        <v>4135</v>
      </c>
      <c r="J72" t="s">
        <v>10908</v>
      </c>
      <c r="K72" t="s">
        <v>10979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4248</v>
      </c>
      <c r="J73" t="s">
        <v>10908</v>
      </c>
      <c r="K73" t="s">
        <v>10980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1607</v>
      </c>
      <c r="I74" t="s">
        <v>4250</v>
      </c>
      <c r="J74" t="s">
        <v>10908</v>
      </c>
      <c r="K74" t="s">
        <v>10981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4548</v>
      </c>
      <c r="J75" t="s">
        <v>10908</v>
      </c>
      <c r="K75" t="s">
        <v>10982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4550</v>
      </c>
      <c r="J76" t="s">
        <v>10908</v>
      </c>
      <c r="K76" t="s">
        <v>10983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4552</v>
      </c>
      <c r="J77" t="s">
        <v>10908</v>
      </c>
      <c r="K77" t="s">
        <v>10984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1607</v>
      </c>
      <c r="E78" t="s">
        <v>8</v>
      </c>
      <c r="I78" t="s">
        <v>4554</v>
      </c>
      <c r="J78" t="s">
        <v>10908</v>
      </c>
      <c r="K78" t="s">
        <v>10985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4667</v>
      </c>
      <c r="J79" t="s">
        <v>10908</v>
      </c>
      <c r="K79" t="s">
        <v>10986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1607</v>
      </c>
      <c r="E80" t="s">
        <v>8</v>
      </c>
      <c r="I80" t="s">
        <v>4669</v>
      </c>
      <c r="J80" t="s">
        <v>10908</v>
      </c>
      <c r="K80" t="s">
        <v>10987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1607</v>
      </c>
      <c r="E81" t="s">
        <v>8</v>
      </c>
      <c r="I81" t="s">
        <v>4671</v>
      </c>
      <c r="J81" t="s">
        <v>10908</v>
      </c>
      <c r="K81" t="s">
        <v>10988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4837</v>
      </c>
      <c r="J82" t="s">
        <v>10908</v>
      </c>
      <c r="K82" t="s">
        <v>10989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4839</v>
      </c>
      <c r="J83" t="s">
        <v>10908</v>
      </c>
      <c r="K83" t="s">
        <v>10990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4841</v>
      </c>
      <c r="J84" t="s">
        <v>10908</v>
      </c>
      <c r="K84" t="s">
        <v>10991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1607</v>
      </c>
      <c r="E85" t="s">
        <v>8</v>
      </c>
      <c r="I85" t="s">
        <v>4944</v>
      </c>
      <c r="J85" t="s">
        <v>10908</v>
      </c>
      <c r="K85" t="s">
        <v>10992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5040</v>
      </c>
      <c r="J86" t="s">
        <v>10908</v>
      </c>
      <c r="K86" t="s">
        <v>10993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5236</v>
      </c>
      <c r="J87" t="s">
        <v>10908</v>
      </c>
      <c r="K87" t="s">
        <v>10994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1607</v>
      </c>
      <c r="E88" t="s">
        <v>8</v>
      </c>
      <c r="I88" t="s">
        <v>5312</v>
      </c>
      <c r="J88" t="s">
        <v>10908</v>
      </c>
      <c r="K88" t="s">
        <v>10995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1607</v>
      </c>
      <c r="E89" t="s">
        <v>8</v>
      </c>
      <c r="I89" t="s">
        <v>5314</v>
      </c>
      <c r="J89" t="s">
        <v>10908</v>
      </c>
      <c r="K89" t="s">
        <v>10996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1607</v>
      </c>
      <c r="E90" t="s">
        <v>8</v>
      </c>
      <c r="I90" t="s">
        <v>5506</v>
      </c>
      <c r="J90" t="s">
        <v>10908</v>
      </c>
      <c r="K90" t="s">
        <v>10997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1607</v>
      </c>
      <c r="E91" t="s">
        <v>8</v>
      </c>
      <c r="I91" t="s">
        <v>5508</v>
      </c>
      <c r="J91" t="s">
        <v>10908</v>
      </c>
      <c r="K91" t="s">
        <v>10998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1607</v>
      </c>
      <c r="E92" t="s">
        <v>8</v>
      </c>
      <c r="I92" t="s">
        <v>5707</v>
      </c>
      <c r="J92" t="s">
        <v>10908</v>
      </c>
      <c r="K92" t="s">
        <v>10999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1607</v>
      </c>
      <c r="E93" t="s">
        <v>8</v>
      </c>
      <c r="I93" t="s">
        <v>5772</v>
      </c>
      <c r="J93" t="s">
        <v>10908</v>
      </c>
      <c r="K93" t="s">
        <v>11000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5774</v>
      </c>
      <c r="J94" t="s">
        <v>10908</v>
      </c>
      <c r="K94" t="s">
        <v>11001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5903</v>
      </c>
      <c r="F95" t="s">
        <v>51</v>
      </c>
      <c r="I95" t="s">
        <v>5776</v>
      </c>
      <c r="J95" t="s">
        <v>10908</v>
      </c>
      <c r="K95" t="s">
        <v>11002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1607</v>
      </c>
      <c r="E96" t="s">
        <v>8</v>
      </c>
      <c r="I96" t="s">
        <v>5951</v>
      </c>
      <c r="J96" t="s">
        <v>10908</v>
      </c>
      <c r="K96" t="s">
        <v>11003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6154</v>
      </c>
      <c r="F97" t="s">
        <v>60</v>
      </c>
      <c r="I97" t="s">
        <v>5953</v>
      </c>
      <c r="J97" t="s">
        <v>10908</v>
      </c>
      <c r="K97" t="s">
        <v>11004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6154</v>
      </c>
      <c r="F98" t="s">
        <v>51</v>
      </c>
      <c r="I98" t="s">
        <v>5955</v>
      </c>
      <c r="J98" t="s">
        <v>10908</v>
      </c>
      <c r="K98" t="s">
        <v>11005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1607</v>
      </c>
      <c r="E99" t="s">
        <v>8</v>
      </c>
      <c r="I99" t="s">
        <v>5957</v>
      </c>
      <c r="J99" t="s">
        <v>10908</v>
      </c>
      <c r="K99" t="s">
        <v>11006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226</v>
      </c>
      <c r="E100" t="s">
        <v>2343</v>
      </c>
      <c r="F100" t="s">
        <v>5697</v>
      </c>
      <c r="I100" t="s">
        <v>6248</v>
      </c>
      <c r="J100" t="s">
        <v>10908</v>
      </c>
      <c r="K100" t="s">
        <v>11007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226</v>
      </c>
      <c r="E101" t="s">
        <v>2343</v>
      </c>
      <c r="F101" t="s">
        <v>5697</v>
      </c>
      <c r="H101" t="s">
        <v>2352</v>
      </c>
      <c r="I101" t="s">
        <v>6251</v>
      </c>
      <c r="J101" t="s">
        <v>10908</v>
      </c>
      <c r="K101" t="s">
        <v>11008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226</v>
      </c>
      <c r="E102" t="s">
        <v>2343</v>
      </c>
      <c r="F102" t="s">
        <v>5697</v>
      </c>
      <c r="H102" t="s">
        <v>2352</v>
      </c>
      <c r="I102" t="s">
        <v>6254</v>
      </c>
      <c r="J102" t="s">
        <v>10908</v>
      </c>
      <c r="K102" t="s">
        <v>11009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1607</v>
      </c>
      <c r="E103" t="s">
        <v>8</v>
      </c>
      <c r="I103" t="s">
        <v>6353</v>
      </c>
      <c r="J103" t="s">
        <v>10908</v>
      </c>
      <c r="K103" t="s">
        <v>11010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1607</v>
      </c>
      <c r="E104" t="s">
        <v>8</v>
      </c>
      <c r="I104" t="s">
        <v>6355</v>
      </c>
      <c r="J104" t="s">
        <v>10908</v>
      </c>
      <c r="K104" t="s">
        <v>11011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468</v>
      </c>
      <c r="I105" t="s">
        <v>6357</v>
      </c>
      <c r="J105" t="s">
        <v>10908</v>
      </c>
      <c r="K105" t="s">
        <v>11012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1607</v>
      </c>
      <c r="E106" t="s">
        <v>8</v>
      </c>
      <c r="I106" t="s">
        <v>6359</v>
      </c>
      <c r="J106" t="s">
        <v>10908</v>
      </c>
      <c r="K106" t="s">
        <v>11013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1607</v>
      </c>
      <c r="E107" t="s">
        <v>8</v>
      </c>
      <c r="I107" t="s">
        <v>6490</v>
      </c>
      <c r="J107" t="s">
        <v>10908</v>
      </c>
      <c r="K107" t="s">
        <v>11014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1607</v>
      </c>
      <c r="E108" t="s">
        <v>8</v>
      </c>
      <c r="I108" t="s">
        <v>6492</v>
      </c>
      <c r="J108" t="s">
        <v>10908</v>
      </c>
      <c r="K108" t="s">
        <v>11015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1607</v>
      </c>
      <c r="E109" t="s">
        <v>8</v>
      </c>
      <c r="I109" t="s">
        <v>6494</v>
      </c>
      <c r="J109" t="s">
        <v>10908</v>
      </c>
      <c r="K109" t="s">
        <v>11016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1607</v>
      </c>
      <c r="E110" t="s">
        <v>8</v>
      </c>
      <c r="I110" t="s">
        <v>6496</v>
      </c>
      <c r="J110" t="s">
        <v>10908</v>
      </c>
      <c r="K110" t="s">
        <v>11017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1607</v>
      </c>
      <c r="E111" t="s">
        <v>8</v>
      </c>
      <c r="I111" t="s">
        <v>6704</v>
      </c>
      <c r="J111" t="s">
        <v>10908</v>
      </c>
      <c r="K111" t="s">
        <v>11018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1607</v>
      </c>
      <c r="E112" t="s">
        <v>8</v>
      </c>
      <c r="I112" t="s">
        <v>6706</v>
      </c>
      <c r="J112" t="s">
        <v>10908</v>
      </c>
      <c r="K112" t="s">
        <v>11019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1607</v>
      </c>
      <c r="E113" t="s">
        <v>8</v>
      </c>
      <c r="I113" t="s">
        <v>6708</v>
      </c>
      <c r="J113" t="s">
        <v>10908</v>
      </c>
      <c r="K113" t="s">
        <v>11020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1607</v>
      </c>
      <c r="E114" t="s">
        <v>8</v>
      </c>
      <c r="I114" t="s">
        <v>6893</v>
      </c>
      <c r="J114" t="s">
        <v>10908</v>
      </c>
      <c r="K114" t="s">
        <v>11021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7045</v>
      </c>
      <c r="I115" t="s">
        <v>6895</v>
      </c>
      <c r="J115" t="s">
        <v>10908</v>
      </c>
      <c r="K115" t="s">
        <v>11022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7045</v>
      </c>
      <c r="I116" t="s">
        <v>6897</v>
      </c>
      <c r="J116" t="s">
        <v>10908</v>
      </c>
      <c r="K116" t="s">
        <v>11023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7045</v>
      </c>
      <c r="I117" t="s">
        <v>6899</v>
      </c>
      <c r="J117" t="s">
        <v>10908</v>
      </c>
      <c r="K117" t="s">
        <v>11024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7045</v>
      </c>
      <c r="I118" t="s">
        <v>6901</v>
      </c>
      <c r="J118" t="s">
        <v>10908</v>
      </c>
      <c r="K118" t="s">
        <v>11025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7045</v>
      </c>
      <c r="I119" t="s">
        <v>6903</v>
      </c>
      <c r="J119" t="s">
        <v>10908</v>
      </c>
      <c r="K119" t="s">
        <v>11026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1607</v>
      </c>
      <c r="E120" t="s">
        <v>8</v>
      </c>
      <c r="I120" t="s">
        <v>6905</v>
      </c>
      <c r="J120" t="s">
        <v>10908</v>
      </c>
      <c r="K120" t="s">
        <v>11027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7045</v>
      </c>
      <c r="I121" t="s">
        <v>7180</v>
      </c>
      <c r="J121" t="s">
        <v>10908</v>
      </c>
      <c r="K121" t="s">
        <v>11028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226</v>
      </c>
      <c r="E122" t="s">
        <v>7341</v>
      </c>
      <c r="F122" t="s">
        <v>7342</v>
      </c>
      <c r="I122" t="s">
        <v>7183</v>
      </c>
      <c r="J122" t="s">
        <v>10908</v>
      </c>
      <c r="K122" t="s">
        <v>11029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226</v>
      </c>
      <c r="E123" t="s">
        <v>7341</v>
      </c>
      <c r="F123" t="s">
        <v>7342</v>
      </c>
      <c r="H123" t="s">
        <v>2352</v>
      </c>
      <c r="I123" t="s">
        <v>7186</v>
      </c>
      <c r="J123" t="s">
        <v>10908</v>
      </c>
      <c r="K123" t="s">
        <v>11030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7045</v>
      </c>
      <c r="I124" t="s">
        <v>7189</v>
      </c>
      <c r="J124" t="s">
        <v>10908</v>
      </c>
      <c r="K124" t="s">
        <v>11031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7045</v>
      </c>
      <c r="I125" t="s">
        <v>7385</v>
      </c>
      <c r="J125" t="s">
        <v>10908</v>
      </c>
      <c r="K125" t="s">
        <v>11032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7045</v>
      </c>
      <c r="I126" t="s">
        <v>7468</v>
      </c>
      <c r="J126" t="s">
        <v>10908</v>
      </c>
      <c r="K126" t="s">
        <v>11033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7045</v>
      </c>
      <c r="I127" t="s">
        <v>7470</v>
      </c>
      <c r="J127" t="s">
        <v>10908</v>
      </c>
      <c r="K127" t="s">
        <v>11034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7045</v>
      </c>
      <c r="I128" t="s">
        <v>7472</v>
      </c>
      <c r="J128" t="s">
        <v>10908</v>
      </c>
      <c r="K128" t="s">
        <v>11035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7739</v>
      </c>
      <c r="I129" t="s">
        <v>7661</v>
      </c>
      <c r="J129" t="s">
        <v>10908</v>
      </c>
      <c r="K129" t="s">
        <v>11036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1607</v>
      </c>
      <c r="E130" t="s">
        <v>8</v>
      </c>
      <c r="I130" t="s">
        <v>7663</v>
      </c>
      <c r="J130" t="s">
        <v>10908</v>
      </c>
      <c r="K130" t="s">
        <v>11037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7045</v>
      </c>
      <c r="I131" t="s">
        <v>7770</v>
      </c>
      <c r="J131" t="s">
        <v>10908</v>
      </c>
      <c r="K131" t="s">
        <v>11038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7045</v>
      </c>
      <c r="I132" t="s">
        <v>7772</v>
      </c>
      <c r="J132" t="s">
        <v>10908</v>
      </c>
      <c r="K132" t="s">
        <v>11039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7045</v>
      </c>
      <c r="I133" t="s">
        <v>7955</v>
      </c>
      <c r="J133" t="s">
        <v>10908</v>
      </c>
      <c r="K133" t="s">
        <v>11040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7045</v>
      </c>
      <c r="I134" t="s">
        <v>7957</v>
      </c>
      <c r="J134" t="s">
        <v>10908</v>
      </c>
      <c r="K134" t="s">
        <v>11041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7045</v>
      </c>
      <c r="I135" t="s">
        <v>7959</v>
      </c>
      <c r="J135" t="s">
        <v>10908</v>
      </c>
      <c r="K135" t="s">
        <v>11042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7045</v>
      </c>
      <c r="I136" t="s">
        <v>8126</v>
      </c>
      <c r="J136" t="s">
        <v>10908</v>
      </c>
      <c r="K136" t="s">
        <v>11043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1607</v>
      </c>
      <c r="E137" t="s">
        <v>8</v>
      </c>
      <c r="I137" t="s">
        <v>8440</v>
      </c>
      <c r="J137" t="s">
        <v>10908</v>
      </c>
      <c r="K137" t="s">
        <v>11044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1607</v>
      </c>
      <c r="E138" t="s">
        <v>8</v>
      </c>
      <c r="I138" t="s">
        <v>8409</v>
      </c>
      <c r="J138" t="s">
        <v>10908</v>
      </c>
      <c r="K138" t="s">
        <v>11045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7045</v>
      </c>
      <c r="I139" t="s">
        <v>8468</v>
      </c>
      <c r="J139" t="s">
        <v>10908</v>
      </c>
      <c r="K139" t="s">
        <v>11046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7045</v>
      </c>
      <c r="I140" t="s">
        <v>8470</v>
      </c>
      <c r="J140" t="s">
        <v>10908</v>
      </c>
      <c r="K140" t="s">
        <v>11047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7045</v>
      </c>
      <c r="I141" t="s">
        <v>8606</v>
      </c>
      <c r="J141" t="s">
        <v>10908</v>
      </c>
      <c r="K141" t="s">
        <v>11048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7045</v>
      </c>
      <c r="I142" t="s">
        <v>8608</v>
      </c>
      <c r="J142" t="s">
        <v>10908</v>
      </c>
      <c r="K142" t="s">
        <v>11049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7045</v>
      </c>
      <c r="I143" t="s">
        <v>8724</v>
      </c>
      <c r="J143" t="s">
        <v>10908</v>
      </c>
      <c r="K143" t="s">
        <v>11050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7045</v>
      </c>
      <c r="I144" t="s">
        <v>8726</v>
      </c>
      <c r="J144" t="s">
        <v>10908</v>
      </c>
      <c r="K144" t="s">
        <v>11051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8912</v>
      </c>
      <c r="I145" t="s">
        <v>8854</v>
      </c>
      <c r="J145" t="s">
        <v>10908</v>
      </c>
      <c r="K145" t="s">
        <v>11052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1607</v>
      </c>
      <c r="E146" t="s">
        <v>8</v>
      </c>
      <c r="I146" t="s">
        <v>8856</v>
      </c>
      <c r="J146" t="s">
        <v>10908</v>
      </c>
      <c r="K146" t="s">
        <v>11053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7045</v>
      </c>
      <c r="I147" t="s">
        <v>8952</v>
      </c>
      <c r="J147" t="s">
        <v>10908</v>
      </c>
      <c r="K147" t="s">
        <v>11054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7045</v>
      </c>
      <c r="I148" t="s">
        <v>8954</v>
      </c>
      <c r="J148" t="s">
        <v>10908</v>
      </c>
      <c r="K148" t="s">
        <v>11055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7045</v>
      </c>
      <c r="I149" t="s">
        <v>8956</v>
      </c>
      <c r="J149" t="s">
        <v>10908</v>
      </c>
      <c r="K149" t="s">
        <v>11056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7045</v>
      </c>
      <c r="I150" t="s">
        <v>9254</v>
      </c>
      <c r="J150" t="s">
        <v>10908</v>
      </c>
      <c r="K150" t="s">
        <v>11057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226</v>
      </c>
      <c r="E151" t="s">
        <v>70</v>
      </c>
      <c r="F151" t="s">
        <v>9302</v>
      </c>
      <c r="G151">
        <v>2</v>
      </c>
      <c r="I151" t="s">
        <v>9256</v>
      </c>
      <c r="J151" t="s">
        <v>10908</v>
      </c>
      <c r="K151" t="s">
        <v>11058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587</v>
      </c>
      <c r="E152" t="s">
        <v>70</v>
      </c>
      <c r="F152" t="s">
        <v>9302</v>
      </c>
      <c r="I152" t="s">
        <v>9259</v>
      </c>
      <c r="J152" t="s">
        <v>10908</v>
      </c>
      <c r="K152" t="s">
        <v>11059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1273</v>
      </c>
      <c r="E153" t="s">
        <v>70</v>
      </c>
      <c r="I153" t="s">
        <v>9261</v>
      </c>
      <c r="J153" t="s">
        <v>10908</v>
      </c>
      <c r="K153" t="s">
        <v>11060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227</v>
      </c>
      <c r="E154" t="s">
        <v>70</v>
      </c>
      <c r="F154" t="s">
        <v>9302</v>
      </c>
      <c r="G154">
        <v>2</v>
      </c>
      <c r="I154" t="s">
        <v>9263</v>
      </c>
      <c r="J154" t="s">
        <v>10908</v>
      </c>
      <c r="K154" t="s">
        <v>11061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587</v>
      </c>
      <c r="E155" t="s">
        <v>70</v>
      </c>
      <c r="I155" t="s">
        <v>9265</v>
      </c>
      <c r="J155" t="s">
        <v>10908</v>
      </c>
      <c r="K155" t="s">
        <v>11062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1273</v>
      </c>
      <c r="E156" t="s">
        <v>66</v>
      </c>
      <c r="I156" t="s">
        <v>9267</v>
      </c>
      <c r="J156" t="s">
        <v>10908</v>
      </c>
      <c r="K156" t="s">
        <v>11063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4921</v>
      </c>
      <c r="E157" t="s">
        <v>66</v>
      </c>
      <c r="I157" t="s">
        <v>9269</v>
      </c>
      <c r="J157" t="s">
        <v>10908</v>
      </c>
      <c r="K157" t="s">
        <v>11064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587</v>
      </c>
      <c r="E158" t="s">
        <v>66</v>
      </c>
      <c r="I158" t="s">
        <v>9271</v>
      </c>
      <c r="J158" t="s">
        <v>10908</v>
      </c>
      <c r="K158" t="s">
        <v>11065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7045</v>
      </c>
      <c r="I159" t="s">
        <v>9273</v>
      </c>
      <c r="J159" t="s">
        <v>10908</v>
      </c>
      <c r="K159" t="s">
        <v>11066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4921</v>
      </c>
      <c r="E160" t="s">
        <v>9421</v>
      </c>
      <c r="I160" t="s">
        <v>9328</v>
      </c>
      <c r="J160" t="s">
        <v>10908</v>
      </c>
      <c r="K160" t="s">
        <v>11067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1607</v>
      </c>
      <c r="E161" t="s">
        <v>8</v>
      </c>
      <c r="I161" t="s">
        <v>9330</v>
      </c>
      <c r="J161" t="s">
        <v>10908</v>
      </c>
      <c r="K161" t="s">
        <v>11068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7045</v>
      </c>
      <c r="I162" t="s">
        <v>10600</v>
      </c>
      <c r="J162" t="s">
        <v>10908</v>
      </c>
      <c r="K162" t="s">
        <v>11069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7045</v>
      </c>
      <c r="I163" t="s">
        <v>10602</v>
      </c>
      <c r="J163" t="s">
        <v>10908</v>
      </c>
      <c r="K163" t="s">
        <v>11070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</sheetData>
  <conditionalFormatting sqref="D164:D174 E164:E177 G2:H163 D2:E163">
    <cfRule type="containsText" dxfId="1007" priority="14" operator="containsText" text="Выезд с территории">
      <formula>NOT(ISERROR(SEARCH("Выезд с территории",D2)))</formula>
    </cfRule>
  </conditionalFormatting>
  <conditionalFormatting sqref="F2:F163">
    <cfRule type="notContainsText" dxfId="1006" priority="13" operator="notContains" text="порожний">
      <formula>ISERROR(SEARCH("порожний",F2))</formula>
    </cfRule>
  </conditionalFormatting>
  <conditionalFormatting sqref="E2:E177">
    <cfRule type="containsText" dxfId="1005" priority="11" operator="containsText" text="Газель базы">
      <formula>NOT(ISERROR(SEARCH("Газель базы",E2)))</formula>
    </cfRule>
    <cfRule type="containsText" dxfId="1004" priority="12" operator="containsText" text="Погрузчик базы">
      <formula>NOT(ISERROR(SEARCH("Погрузчик базы",E2)))</formula>
    </cfRule>
  </conditionalFormatting>
  <conditionalFormatting sqref="E2:E177">
    <cfRule type="containsText" dxfId="1003" priority="10" operator="containsText" text="Трактор базы">
      <formula>NOT(ISERROR(SEARCH("Трактор базы",E2)))</formula>
    </cfRule>
  </conditionalFormatting>
  <conditionalFormatting sqref="A2:C163">
    <cfRule type="expression" dxfId="1002" priority="9">
      <formula>$A2="пн"</formula>
    </cfRule>
  </conditionalFormatting>
  <conditionalFormatting sqref="A2:C165">
    <cfRule type="expression" dxfId="1001" priority="3">
      <formula>$A2="вс"</formula>
    </cfRule>
    <cfRule type="expression" dxfId="1000" priority="4">
      <formula>$A2="сб"</formula>
    </cfRule>
    <cfRule type="expression" dxfId="999" priority="5">
      <formula>$A2="пт"</formula>
    </cfRule>
    <cfRule type="expression" dxfId="998" priority="6">
      <formula>$A2="чт"</formula>
    </cfRule>
    <cfRule type="expression" dxfId="997" priority="7">
      <formula>$A2="ср"</formula>
    </cfRule>
    <cfRule type="expression" dxfId="996" priority="8">
      <formula>$A2="вт"</formula>
    </cfRule>
  </conditionalFormatting>
  <conditionalFormatting sqref="D2:D174">
    <cfRule type="containsText" dxfId="99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4">
    <cfRule type="containsText" dxfId="99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261"/>
  <sheetViews>
    <sheetView zoomScale="90" zoomScaleNormal="90" workbookViewId="0">
      <pane ySplit="1" topLeftCell="A244" activePane="bottomLeft" state="frozen"/>
      <selection pane="bottomLeft" activeCell="E233" sqref="E2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228</v>
      </c>
      <c r="J2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232</v>
      </c>
      <c r="J3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235</v>
      </c>
      <c r="J4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238</v>
      </c>
      <c r="J5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268</v>
      </c>
      <c r="I6" t="s">
        <v>241</v>
      </c>
      <c r="J6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268</v>
      </c>
      <c r="I7" t="s">
        <v>244</v>
      </c>
      <c r="J7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269</v>
      </c>
      <c r="I8" t="s">
        <v>247</v>
      </c>
      <c r="J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250</v>
      </c>
      <c r="J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253</v>
      </c>
      <c r="J10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268</v>
      </c>
      <c r="I11" t="s">
        <v>256</v>
      </c>
      <c r="J11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259</v>
      </c>
      <c r="J12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262</v>
      </c>
      <c r="J13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265</v>
      </c>
      <c r="J14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1612</v>
      </c>
      <c r="I15" t="s">
        <v>992</v>
      </c>
      <c r="J15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1273</v>
      </c>
      <c r="E16" t="s">
        <v>56</v>
      </c>
      <c r="F16" t="s">
        <v>1613</v>
      </c>
      <c r="G16">
        <v>1</v>
      </c>
      <c r="I16" t="s">
        <v>995</v>
      </c>
      <c r="J16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887</v>
      </c>
      <c r="E17" t="s">
        <v>70</v>
      </c>
      <c r="F17" t="s">
        <v>1613</v>
      </c>
      <c r="H17" t="s">
        <v>1614</v>
      </c>
      <c r="I17" t="s">
        <v>998</v>
      </c>
      <c r="J17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1615</v>
      </c>
      <c r="E18" t="s">
        <v>70</v>
      </c>
      <c r="F18" t="s">
        <v>1613</v>
      </c>
      <c r="H18" t="s">
        <v>1614</v>
      </c>
      <c r="I18" t="s">
        <v>1001</v>
      </c>
      <c r="J1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587</v>
      </c>
      <c r="E19" t="s">
        <v>70</v>
      </c>
      <c r="F19" t="s">
        <v>1613</v>
      </c>
      <c r="I19" t="s">
        <v>1004</v>
      </c>
      <c r="J1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1273</v>
      </c>
      <c r="E20" t="s">
        <v>1604</v>
      </c>
      <c r="I20" t="s">
        <v>1007</v>
      </c>
      <c r="J20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587</v>
      </c>
      <c r="E21" t="s">
        <v>1604</v>
      </c>
      <c r="I21" t="s">
        <v>1010</v>
      </c>
      <c r="J21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1273</v>
      </c>
      <c r="E22" t="s">
        <v>1605</v>
      </c>
      <c r="I22" t="s">
        <v>1013</v>
      </c>
      <c r="J22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1273</v>
      </c>
      <c r="E23" t="s">
        <v>70</v>
      </c>
      <c r="F23" t="s">
        <v>1613</v>
      </c>
      <c r="I23" t="s">
        <v>1016</v>
      </c>
      <c r="J23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1019</v>
      </c>
      <c r="J24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1616</v>
      </c>
      <c r="E25" t="s">
        <v>56</v>
      </c>
      <c r="I25" t="s">
        <v>1022</v>
      </c>
      <c r="J25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226</v>
      </c>
      <c r="E26" t="s">
        <v>56</v>
      </c>
      <c r="F26" t="s">
        <v>165</v>
      </c>
      <c r="I26" t="s">
        <v>1025</v>
      </c>
      <c r="J26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587</v>
      </c>
      <c r="E27" t="s">
        <v>1605</v>
      </c>
      <c r="I27" t="s">
        <v>1028</v>
      </c>
      <c r="J27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587</v>
      </c>
      <c r="E28" t="s">
        <v>56</v>
      </c>
      <c r="F28" t="s">
        <v>165</v>
      </c>
      <c r="I28" t="s">
        <v>1031</v>
      </c>
      <c r="J2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1034</v>
      </c>
      <c r="J2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1292</v>
      </c>
      <c r="I30" t="s">
        <v>1037</v>
      </c>
      <c r="J30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1612</v>
      </c>
      <c r="I31" t="s">
        <v>1040</v>
      </c>
      <c r="J31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1607</v>
      </c>
      <c r="I32" t="s">
        <v>1043</v>
      </c>
      <c r="J32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1292</v>
      </c>
      <c r="I33" t="s">
        <v>1046</v>
      </c>
      <c r="J33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1607</v>
      </c>
      <c r="I34" t="s">
        <v>1720</v>
      </c>
      <c r="J34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2343</v>
      </c>
      <c r="F35" t="s">
        <v>58</v>
      </c>
      <c r="I35" t="s">
        <v>1723</v>
      </c>
      <c r="J35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2347</v>
      </c>
      <c r="I36" t="s">
        <v>1726</v>
      </c>
      <c r="J36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1607</v>
      </c>
      <c r="I37" t="s">
        <v>1729</v>
      </c>
      <c r="J37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1607</v>
      </c>
      <c r="I38" t="s">
        <v>1732</v>
      </c>
      <c r="J3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1607</v>
      </c>
      <c r="I39" t="s">
        <v>1735</v>
      </c>
      <c r="J3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1607</v>
      </c>
      <c r="I40" t="s">
        <v>1738</v>
      </c>
      <c r="J40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2655</v>
      </c>
      <c r="J41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2658</v>
      </c>
      <c r="J42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2661</v>
      </c>
      <c r="J43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2664</v>
      </c>
      <c r="J44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2667</v>
      </c>
      <c r="J45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2670</v>
      </c>
      <c r="J46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2673</v>
      </c>
      <c r="J47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3359</v>
      </c>
      <c r="F48" t="s">
        <v>3361</v>
      </c>
      <c r="H48" t="s">
        <v>3370</v>
      </c>
      <c r="I48" t="s">
        <v>2676</v>
      </c>
      <c r="J4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587</v>
      </c>
      <c r="E49" t="s">
        <v>55</v>
      </c>
      <c r="F49" t="s">
        <v>51</v>
      </c>
      <c r="I49" t="s">
        <v>3425</v>
      </c>
      <c r="J4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1273</v>
      </c>
      <c r="E50" t="s">
        <v>55</v>
      </c>
      <c r="F50" t="s">
        <v>51</v>
      </c>
      <c r="I50" t="s">
        <v>3428</v>
      </c>
      <c r="J50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227</v>
      </c>
      <c r="E51" t="s">
        <v>3359</v>
      </c>
      <c r="F51" t="s">
        <v>4087</v>
      </c>
      <c r="I51" t="s">
        <v>3557</v>
      </c>
      <c r="J51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227</v>
      </c>
      <c r="E52" t="s">
        <v>3359</v>
      </c>
      <c r="F52" t="s">
        <v>4087</v>
      </c>
      <c r="I52" t="s">
        <v>3560</v>
      </c>
      <c r="J52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587</v>
      </c>
      <c r="E53" t="s">
        <v>3359</v>
      </c>
      <c r="I53" t="s">
        <v>3563</v>
      </c>
      <c r="J53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226</v>
      </c>
      <c r="E54" t="s">
        <v>70</v>
      </c>
      <c r="F54" t="s">
        <v>4087</v>
      </c>
      <c r="H54" t="s">
        <v>4088</v>
      </c>
      <c r="I54" t="s">
        <v>3566</v>
      </c>
      <c r="J54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227</v>
      </c>
      <c r="E55" t="s">
        <v>70</v>
      </c>
      <c r="F55" t="s">
        <v>4087</v>
      </c>
      <c r="H55" t="s">
        <v>4088</v>
      </c>
      <c r="I55" t="s">
        <v>4084</v>
      </c>
      <c r="J55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587</v>
      </c>
      <c r="E56" t="s">
        <v>70</v>
      </c>
      <c r="I56" t="s">
        <v>3569</v>
      </c>
      <c r="J56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1607</v>
      </c>
      <c r="E57" t="s">
        <v>8</v>
      </c>
      <c r="I57" t="s">
        <v>3572</v>
      </c>
      <c r="J57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226</v>
      </c>
      <c r="E58" t="s">
        <v>70</v>
      </c>
      <c r="F58" t="s">
        <v>4087</v>
      </c>
      <c r="H58" t="s">
        <v>4089</v>
      </c>
      <c r="I58" t="s">
        <v>3575</v>
      </c>
      <c r="J5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226</v>
      </c>
      <c r="E59" t="s">
        <v>70</v>
      </c>
      <c r="F59" t="s">
        <v>4087</v>
      </c>
      <c r="H59" t="s">
        <v>2352</v>
      </c>
      <c r="I59" t="s">
        <v>3578</v>
      </c>
      <c r="J5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226</v>
      </c>
      <c r="E60" t="s">
        <v>70</v>
      </c>
      <c r="F60" t="s">
        <v>4087</v>
      </c>
      <c r="H60" t="s">
        <v>2352</v>
      </c>
      <c r="I60" t="s">
        <v>3581</v>
      </c>
      <c r="J60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226</v>
      </c>
      <c r="E61" t="s">
        <v>70</v>
      </c>
      <c r="F61" t="s">
        <v>4087</v>
      </c>
      <c r="H61" t="s">
        <v>4090</v>
      </c>
      <c r="I61" t="s">
        <v>3584</v>
      </c>
      <c r="J61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587</v>
      </c>
      <c r="E62" t="s">
        <v>70</v>
      </c>
      <c r="I62" t="s">
        <v>3587</v>
      </c>
      <c r="J62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3590</v>
      </c>
      <c r="J63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1607</v>
      </c>
      <c r="E64" t="s">
        <v>8</v>
      </c>
      <c r="I64" t="s">
        <v>3593</v>
      </c>
      <c r="J64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4208</v>
      </c>
      <c r="J65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1607</v>
      </c>
      <c r="E66" t="s">
        <v>8</v>
      </c>
      <c r="I66" t="s">
        <v>4262</v>
      </c>
      <c r="J66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227</v>
      </c>
      <c r="E67" t="s">
        <v>4413</v>
      </c>
      <c r="F67" t="s">
        <v>4923</v>
      </c>
      <c r="I67" t="s">
        <v>4556</v>
      </c>
      <c r="J67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227</v>
      </c>
      <c r="E68" t="s">
        <v>4413</v>
      </c>
      <c r="F68" t="s">
        <v>4923</v>
      </c>
      <c r="H68" t="s">
        <v>2352</v>
      </c>
      <c r="I68" t="s">
        <v>4559</v>
      </c>
      <c r="J6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227</v>
      </c>
      <c r="E69" t="s">
        <v>4413</v>
      </c>
      <c r="F69" t="s">
        <v>4923</v>
      </c>
      <c r="H69" t="s">
        <v>2352</v>
      </c>
      <c r="I69" t="s">
        <v>4562</v>
      </c>
      <c r="J6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1607</v>
      </c>
      <c r="E70" t="s">
        <v>8</v>
      </c>
      <c r="I70" t="s">
        <v>4565</v>
      </c>
      <c r="J70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4651</v>
      </c>
      <c r="J71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4654</v>
      </c>
      <c r="J72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4657</v>
      </c>
      <c r="J73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1273</v>
      </c>
      <c r="E74" t="s">
        <v>55</v>
      </c>
      <c r="F74" t="s">
        <v>51</v>
      </c>
      <c r="I74" t="s">
        <v>4660</v>
      </c>
      <c r="J74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4917</v>
      </c>
      <c r="F75" t="s">
        <v>58</v>
      </c>
      <c r="I75" t="s">
        <v>4816</v>
      </c>
      <c r="J75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4917</v>
      </c>
      <c r="F76" t="s">
        <v>58</v>
      </c>
      <c r="H76" t="s">
        <v>3370</v>
      </c>
      <c r="I76" t="s">
        <v>4819</v>
      </c>
      <c r="J76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1273</v>
      </c>
      <c r="E77" t="s">
        <v>4916</v>
      </c>
      <c r="F77" t="s">
        <v>51</v>
      </c>
      <c r="I77" t="s">
        <v>4822</v>
      </c>
      <c r="J77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1273</v>
      </c>
      <c r="E78" t="s">
        <v>4915</v>
      </c>
      <c r="F78" t="s">
        <v>51</v>
      </c>
      <c r="I78" t="s">
        <v>4825</v>
      </c>
      <c r="J7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587</v>
      </c>
      <c r="E79" t="s">
        <v>4916</v>
      </c>
      <c r="F79" t="s">
        <v>51</v>
      </c>
      <c r="I79" t="s">
        <v>4828</v>
      </c>
      <c r="J7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587</v>
      </c>
      <c r="E80" t="s">
        <v>4915</v>
      </c>
      <c r="F80" t="s">
        <v>51</v>
      </c>
      <c r="I80" t="s">
        <v>4831</v>
      </c>
      <c r="J80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1273</v>
      </c>
      <c r="E81" t="s">
        <v>4917</v>
      </c>
      <c r="F81" t="s">
        <v>58</v>
      </c>
      <c r="I81" t="s">
        <v>4834</v>
      </c>
      <c r="J81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1607</v>
      </c>
      <c r="E82" t="s">
        <v>8</v>
      </c>
      <c r="I82" t="s">
        <v>4911</v>
      </c>
      <c r="J82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4924</v>
      </c>
      <c r="E83" t="s">
        <v>4917</v>
      </c>
      <c r="F83" t="s">
        <v>58</v>
      </c>
      <c r="I83" t="s">
        <v>4911</v>
      </c>
      <c r="J83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1607</v>
      </c>
      <c r="E84" t="s">
        <v>8</v>
      </c>
      <c r="I84" t="s">
        <v>4948</v>
      </c>
      <c r="J84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5061</v>
      </c>
      <c r="J85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226</v>
      </c>
      <c r="E86" t="s">
        <v>70</v>
      </c>
      <c r="F86" t="s">
        <v>5058</v>
      </c>
      <c r="I86" t="s">
        <v>5027</v>
      </c>
      <c r="J86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1273</v>
      </c>
      <c r="E87" t="s">
        <v>5310</v>
      </c>
      <c r="F87" t="s">
        <v>51</v>
      </c>
      <c r="I87" t="s">
        <v>5226</v>
      </c>
      <c r="J87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226</v>
      </c>
      <c r="E88" t="s">
        <v>5310</v>
      </c>
      <c r="F88" t="s">
        <v>5311</v>
      </c>
      <c r="I88" t="s">
        <v>5229</v>
      </c>
      <c r="J8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5471</v>
      </c>
      <c r="I89" t="s">
        <v>5342</v>
      </c>
      <c r="J8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587</v>
      </c>
      <c r="E90" t="s">
        <v>4940</v>
      </c>
      <c r="F90" t="s">
        <v>51</v>
      </c>
      <c r="I90" t="s">
        <v>5345</v>
      </c>
      <c r="J90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1273</v>
      </c>
      <c r="E91" t="s">
        <v>4940</v>
      </c>
      <c r="F91" t="s">
        <v>51</v>
      </c>
      <c r="I91" t="s">
        <v>5348</v>
      </c>
      <c r="J91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1607</v>
      </c>
      <c r="E92" t="s">
        <v>8</v>
      </c>
      <c r="I92" t="s">
        <v>5500</v>
      </c>
      <c r="J92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1607</v>
      </c>
      <c r="E93" t="s">
        <v>8</v>
      </c>
      <c r="I93" t="s">
        <v>5503</v>
      </c>
      <c r="J93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1607</v>
      </c>
      <c r="E94" t="s">
        <v>8</v>
      </c>
      <c r="I94" t="s">
        <v>5709</v>
      </c>
      <c r="J94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1607</v>
      </c>
      <c r="E95" t="s">
        <v>8</v>
      </c>
      <c r="I95" t="s">
        <v>5743</v>
      </c>
      <c r="J95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1273</v>
      </c>
      <c r="E96" t="s">
        <v>5903</v>
      </c>
      <c r="F96" t="s">
        <v>60</v>
      </c>
      <c r="I96" t="s">
        <v>5746</v>
      </c>
      <c r="J96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3381</v>
      </c>
      <c r="E97" t="s">
        <v>5903</v>
      </c>
      <c r="F97" t="s">
        <v>60</v>
      </c>
      <c r="I97" t="s">
        <v>5749</v>
      </c>
      <c r="J97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227</v>
      </c>
      <c r="E98" t="s">
        <v>5903</v>
      </c>
      <c r="F98" t="s">
        <v>60</v>
      </c>
      <c r="I98" t="s">
        <v>5752</v>
      </c>
      <c r="J9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587</v>
      </c>
      <c r="E99" t="s">
        <v>5903</v>
      </c>
      <c r="F99" t="s">
        <v>51</v>
      </c>
      <c r="I99" t="s">
        <v>5755</v>
      </c>
      <c r="J9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1607</v>
      </c>
      <c r="E100" t="s">
        <v>8</v>
      </c>
      <c r="I100" t="s">
        <v>6016</v>
      </c>
      <c r="J100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1273</v>
      </c>
      <c r="E101" t="s">
        <v>6154</v>
      </c>
      <c r="F101" t="s">
        <v>60</v>
      </c>
      <c r="I101" t="s">
        <v>6019</v>
      </c>
      <c r="J101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4921</v>
      </c>
      <c r="E102" t="s">
        <v>6154</v>
      </c>
      <c r="F102" t="s">
        <v>60</v>
      </c>
      <c r="I102" t="s">
        <v>6022</v>
      </c>
      <c r="J102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587</v>
      </c>
      <c r="E103" t="s">
        <v>6154</v>
      </c>
      <c r="F103" t="s">
        <v>51</v>
      </c>
      <c r="I103" t="s">
        <v>6025</v>
      </c>
      <c r="J103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1607</v>
      </c>
      <c r="E104" t="s">
        <v>8</v>
      </c>
      <c r="I104" t="s">
        <v>6028</v>
      </c>
      <c r="J104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1607</v>
      </c>
      <c r="E105" t="s">
        <v>8</v>
      </c>
      <c r="I105" t="s">
        <v>6257</v>
      </c>
      <c r="J105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6436</v>
      </c>
      <c r="E106" t="s">
        <v>5310</v>
      </c>
      <c r="F106" t="s">
        <v>4070</v>
      </c>
      <c r="I106" t="s">
        <v>6392</v>
      </c>
      <c r="J106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5310</v>
      </c>
      <c r="F107" t="s">
        <v>4070</v>
      </c>
      <c r="H107" t="s">
        <v>6437</v>
      </c>
      <c r="I107" t="s">
        <v>6395</v>
      </c>
      <c r="J107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4</v>
      </c>
      <c r="E108" t="s">
        <v>3358</v>
      </c>
      <c r="F108" t="s">
        <v>4070</v>
      </c>
      <c r="I108" t="s">
        <v>6398</v>
      </c>
      <c r="J10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1607</v>
      </c>
      <c r="E109" t="s">
        <v>8</v>
      </c>
      <c r="I109" t="s">
        <v>6398</v>
      </c>
      <c r="J10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6438</v>
      </c>
      <c r="I110" t="s">
        <v>6401</v>
      </c>
      <c r="J110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587</v>
      </c>
      <c r="E111" t="s">
        <v>4940</v>
      </c>
      <c r="F111" t="s">
        <v>51</v>
      </c>
      <c r="I111" t="s">
        <v>6404</v>
      </c>
      <c r="J111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1273</v>
      </c>
      <c r="E112" t="s">
        <v>6435</v>
      </c>
      <c r="I112" t="s">
        <v>6407</v>
      </c>
      <c r="J112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587</v>
      </c>
      <c r="E113" t="s">
        <v>6435</v>
      </c>
      <c r="I113" t="s">
        <v>6410</v>
      </c>
      <c r="J113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1273</v>
      </c>
      <c r="E114" t="s">
        <v>4940</v>
      </c>
      <c r="I114" t="s">
        <v>6413</v>
      </c>
      <c r="J114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1274</v>
      </c>
      <c r="F115" t="s">
        <v>6658</v>
      </c>
      <c r="I115" t="s">
        <v>6472</v>
      </c>
      <c r="J115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6475</v>
      </c>
      <c r="J116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1607</v>
      </c>
      <c r="E117" t="s">
        <v>8</v>
      </c>
      <c r="I117" t="s">
        <v>6478</v>
      </c>
      <c r="J117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1607</v>
      </c>
      <c r="E118" t="s">
        <v>8</v>
      </c>
      <c r="I118" t="s">
        <v>6481</v>
      </c>
      <c r="J11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1607</v>
      </c>
      <c r="E119" t="s">
        <v>8</v>
      </c>
      <c r="I119" t="s">
        <v>6484</v>
      </c>
      <c r="J11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1607</v>
      </c>
      <c r="E120" t="s">
        <v>8</v>
      </c>
      <c r="I120" t="s">
        <v>6487</v>
      </c>
      <c r="J120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1607</v>
      </c>
      <c r="E121" t="s">
        <v>8</v>
      </c>
      <c r="I121" t="s">
        <v>6719</v>
      </c>
      <c r="J121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1607</v>
      </c>
      <c r="E122" t="s">
        <v>8</v>
      </c>
      <c r="I122" t="s">
        <v>6722</v>
      </c>
      <c r="J122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1607</v>
      </c>
      <c r="E123" t="s">
        <v>8</v>
      </c>
      <c r="I123" t="s">
        <v>6725</v>
      </c>
      <c r="J123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1607</v>
      </c>
      <c r="E124" t="s">
        <v>8</v>
      </c>
      <c r="I124" t="s">
        <v>6907</v>
      </c>
      <c r="J124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6910</v>
      </c>
      <c r="J125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6913</v>
      </c>
      <c r="J126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6916</v>
      </c>
      <c r="J127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1274</v>
      </c>
      <c r="I128" t="s">
        <v>6919</v>
      </c>
      <c r="J12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7045</v>
      </c>
      <c r="I129" t="s">
        <v>6922</v>
      </c>
      <c r="J12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7045</v>
      </c>
      <c r="I130" t="s">
        <v>6925</v>
      </c>
      <c r="J130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1273</v>
      </c>
      <c r="E131" t="s">
        <v>7043</v>
      </c>
      <c r="I131" t="s">
        <v>6928</v>
      </c>
      <c r="J131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1273</v>
      </c>
      <c r="E132" t="s">
        <v>7044</v>
      </c>
      <c r="I132" t="s">
        <v>6931</v>
      </c>
      <c r="J132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587</v>
      </c>
      <c r="E133" t="s">
        <v>7044</v>
      </c>
      <c r="I133" t="s">
        <v>6934</v>
      </c>
      <c r="J133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587</v>
      </c>
      <c r="E134" t="s">
        <v>7043</v>
      </c>
      <c r="I134" t="s">
        <v>6937</v>
      </c>
      <c r="J134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1607</v>
      </c>
      <c r="E135" t="s">
        <v>8</v>
      </c>
      <c r="I135" t="s">
        <v>6940</v>
      </c>
      <c r="J135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7046</v>
      </c>
      <c r="I136" t="s">
        <v>6943</v>
      </c>
      <c r="J136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7045</v>
      </c>
      <c r="I137" t="s">
        <v>7191</v>
      </c>
      <c r="J137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7045</v>
      </c>
      <c r="I138" t="s">
        <v>7194</v>
      </c>
      <c r="J13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7045</v>
      </c>
      <c r="I139" t="s">
        <v>7395</v>
      </c>
      <c r="J13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7045</v>
      </c>
      <c r="I140" t="s">
        <v>7474</v>
      </c>
      <c r="J140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7489</v>
      </c>
      <c r="I141" t="s">
        <v>7477</v>
      </c>
      <c r="J141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4396</v>
      </c>
      <c r="F142" t="s">
        <v>465</v>
      </c>
      <c r="I142" t="s">
        <v>7480</v>
      </c>
      <c r="J142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4396</v>
      </c>
      <c r="F143" t="s">
        <v>465</v>
      </c>
      <c r="H143" t="s">
        <v>2352</v>
      </c>
      <c r="I143" t="s">
        <v>7483</v>
      </c>
      <c r="J143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7490</v>
      </c>
      <c r="I144" t="s">
        <v>7486</v>
      </c>
      <c r="J144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7045</v>
      </c>
      <c r="I145" t="s">
        <v>7695</v>
      </c>
      <c r="J145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1607</v>
      </c>
      <c r="E146" t="s">
        <v>8</v>
      </c>
      <c r="I146" t="s">
        <v>7698</v>
      </c>
      <c r="J146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7045</v>
      </c>
      <c r="I147" t="s">
        <v>7774</v>
      </c>
      <c r="J147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7045</v>
      </c>
      <c r="I148" t="s">
        <v>7777</v>
      </c>
      <c r="J14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7045</v>
      </c>
      <c r="I149" t="s">
        <v>7780</v>
      </c>
      <c r="J14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7045</v>
      </c>
      <c r="I150" t="s">
        <v>8081</v>
      </c>
      <c r="J150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7045</v>
      </c>
      <c r="I151" t="s">
        <v>7961</v>
      </c>
      <c r="J151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7045</v>
      </c>
      <c r="I152" t="s">
        <v>7964</v>
      </c>
      <c r="J152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7045</v>
      </c>
      <c r="I153" t="s">
        <v>7967</v>
      </c>
      <c r="J153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8116</v>
      </c>
      <c r="I154" t="s">
        <v>8134</v>
      </c>
      <c r="J154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8116</v>
      </c>
      <c r="H155" t="s">
        <v>8228</v>
      </c>
      <c r="I155" t="s">
        <v>8216</v>
      </c>
      <c r="J155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8116</v>
      </c>
      <c r="H156" t="s">
        <v>8228</v>
      </c>
      <c r="I156" t="s">
        <v>8219</v>
      </c>
      <c r="J156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1273</v>
      </c>
      <c r="E157" t="s">
        <v>8117</v>
      </c>
      <c r="F157" t="s">
        <v>60</v>
      </c>
      <c r="I157" t="s">
        <v>8222</v>
      </c>
      <c r="J157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7045</v>
      </c>
      <c r="I158" t="s">
        <v>8225</v>
      </c>
      <c r="J15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1607</v>
      </c>
      <c r="E159" t="s">
        <v>8</v>
      </c>
      <c r="I159" t="s">
        <v>8411</v>
      </c>
      <c r="J15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1607</v>
      </c>
      <c r="E160" t="s">
        <v>8</v>
      </c>
      <c r="I160" t="s">
        <v>8414</v>
      </c>
      <c r="J160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1607</v>
      </c>
      <c r="E161" t="s">
        <v>8</v>
      </c>
      <c r="I161" t="s">
        <v>8450</v>
      </c>
      <c r="J161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1607</v>
      </c>
      <c r="E162" t="s">
        <v>8</v>
      </c>
      <c r="I162" t="s">
        <v>8453</v>
      </c>
      <c r="J162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8716</v>
      </c>
      <c r="I163" t="s">
        <v>8581</v>
      </c>
      <c r="J163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7045</v>
      </c>
      <c r="I164" t="s">
        <v>8584</v>
      </c>
      <c r="J164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4087</v>
      </c>
      <c r="I165" t="s">
        <v>8732</v>
      </c>
      <c r="J165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226</v>
      </c>
      <c r="E166" t="s">
        <v>70</v>
      </c>
      <c r="F166" t="s">
        <v>4087</v>
      </c>
      <c r="I166" t="s">
        <v>8735</v>
      </c>
      <c r="J166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1607</v>
      </c>
      <c r="E167" t="s">
        <v>8</v>
      </c>
      <c r="I167" t="s">
        <v>8826</v>
      </c>
      <c r="J167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1607</v>
      </c>
      <c r="E168" t="s">
        <v>8</v>
      </c>
      <c r="I168" t="s">
        <v>8829</v>
      </c>
      <c r="J16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7045</v>
      </c>
      <c r="I169" t="s">
        <v>8964</v>
      </c>
      <c r="J16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226</v>
      </c>
      <c r="E170" t="s">
        <v>4940</v>
      </c>
      <c r="F170" t="s">
        <v>9130</v>
      </c>
      <c r="I170" t="s">
        <v>8967</v>
      </c>
      <c r="J170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587</v>
      </c>
      <c r="E171" t="s">
        <v>4940</v>
      </c>
      <c r="F171" t="s">
        <v>9130</v>
      </c>
      <c r="I171" t="s">
        <v>8970</v>
      </c>
      <c r="J171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1273</v>
      </c>
      <c r="E172" t="s">
        <v>4940</v>
      </c>
      <c r="I172" t="s">
        <v>8973</v>
      </c>
      <c r="J172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7045</v>
      </c>
      <c r="I173" t="s">
        <v>9174</v>
      </c>
      <c r="J173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7045</v>
      </c>
      <c r="I174" t="s">
        <v>9177</v>
      </c>
      <c r="J174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7045</v>
      </c>
      <c r="I175" t="s">
        <v>9180</v>
      </c>
      <c r="J175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9332</v>
      </c>
      <c r="J176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1607</v>
      </c>
      <c r="E177" t="s">
        <v>8</v>
      </c>
      <c r="I177" t="s">
        <v>9335</v>
      </c>
      <c r="J177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7045</v>
      </c>
      <c r="I178" t="s">
        <v>9515</v>
      </c>
      <c r="J17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9596</v>
      </c>
      <c r="E179" t="s">
        <v>9597</v>
      </c>
      <c r="F179" t="s">
        <v>4070</v>
      </c>
      <c r="I179" t="s">
        <v>9518</v>
      </c>
      <c r="J17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9597</v>
      </c>
      <c r="F180" t="s">
        <v>4070</v>
      </c>
      <c r="I180" t="s">
        <v>9521</v>
      </c>
      <c r="J180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9596</v>
      </c>
      <c r="E181" t="s">
        <v>3358</v>
      </c>
      <c r="F181" t="s">
        <v>4070</v>
      </c>
      <c r="I181" t="s">
        <v>9524</v>
      </c>
      <c r="J181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3358</v>
      </c>
      <c r="F182" t="s">
        <v>4070</v>
      </c>
      <c r="I182" t="s">
        <v>9527</v>
      </c>
      <c r="J182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1273</v>
      </c>
      <c r="E183" t="s">
        <v>70</v>
      </c>
      <c r="F183" t="s">
        <v>4070</v>
      </c>
      <c r="I183" t="s">
        <v>9530</v>
      </c>
      <c r="J183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9596</v>
      </c>
      <c r="E184" t="s">
        <v>70</v>
      </c>
      <c r="I184" t="s">
        <v>9533</v>
      </c>
      <c r="J184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9598</v>
      </c>
      <c r="E185" t="s">
        <v>70</v>
      </c>
      <c r="F185" t="s">
        <v>7464</v>
      </c>
      <c r="I185" t="s">
        <v>9536</v>
      </c>
      <c r="J185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587</v>
      </c>
      <c r="E186" t="s">
        <v>70</v>
      </c>
      <c r="F186" t="s">
        <v>7464</v>
      </c>
      <c r="I186" t="s">
        <v>9539</v>
      </c>
      <c r="J186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227</v>
      </c>
      <c r="E187" t="s">
        <v>9652</v>
      </c>
      <c r="F187" t="s">
        <v>1289</v>
      </c>
      <c r="G187">
        <v>2</v>
      </c>
      <c r="I187" t="s">
        <v>9616</v>
      </c>
      <c r="J187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9656</v>
      </c>
      <c r="E188" t="s">
        <v>9653</v>
      </c>
      <c r="I188" t="s">
        <v>9619</v>
      </c>
      <c r="J18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9654</v>
      </c>
      <c r="E189" t="s">
        <v>9653</v>
      </c>
      <c r="I189" t="s">
        <v>9622</v>
      </c>
      <c r="J18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9655</v>
      </c>
      <c r="I190" t="s">
        <v>9625</v>
      </c>
      <c r="J190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9656</v>
      </c>
      <c r="E191" t="s">
        <v>9653</v>
      </c>
      <c r="I191" t="s">
        <v>9628</v>
      </c>
      <c r="J191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9653</v>
      </c>
      <c r="I192" t="s">
        <v>9631</v>
      </c>
      <c r="J192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1607</v>
      </c>
      <c r="E193" t="s">
        <v>8</v>
      </c>
      <c r="I193" t="s">
        <v>9676</v>
      </c>
      <c r="J193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1607</v>
      </c>
      <c r="E194" t="s">
        <v>8</v>
      </c>
      <c r="I194" t="s">
        <v>9896</v>
      </c>
      <c r="J194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10009</v>
      </c>
      <c r="E195" t="s">
        <v>86</v>
      </c>
      <c r="I195" t="s">
        <v>9899</v>
      </c>
      <c r="J195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10009</v>
      </c>
      <c r="E196" t="s">
        <v>86</v>
      </c>
      <c r="I196" t="s">
        <v>9902</v>
      </c>
      <c r="J196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10009</v>
      </c>
      <c r="E197" t="s">
        <v>86</v>
      </c>
      <c r="I197" t="s">
        <v>9905</v>
      </c>
      <c r="J197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10010</v>
      </c>
      <c r="I198" t="s">
        <v>9908</v>
      </c>
      <c r="J19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10009</v>
      </c>
      <c r="E199" t="s">
        <v>468</v>
      </c>
      <c r="I199" t="s">
        <v>9911</v>
      </c>
      <c r="J19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10010</v>
      </c>
      <c r="I200" t="s">
        <v>9914</v>
      </c>
      <c r="J200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9600</v>
      </c>
      <c r="I201" t="s">
        <v>9917</v>
      </c>
      <c r="J201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9656</v>
      </c>
      <c r="E202" t="s">
        <v>3358</v>
      </c>
      <c r="I202" t="s">
        <v>10012</v>
      </c>
      <c r="J202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588</v>
      </c>
      <c r="E203" t="s">
        <v>86</v>
      </c>
      <c r="I203" t="s">
        <v>9920</v>
      </c>
      <c r="J203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1273</v>
      </c>
      <c r="E204" t="s">
        <v>10011</v>
      </c>
      <c r="I204" t="s">
        <v>9923</v>
      </c>
      <c r="J204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3358</v>
      </c>
      <c r="I205" t="s">
        <v>9926</v>
      </c>
      <c r="J205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9656</v>
      </c>
      <c r="E206" t="s">
        <v>10011</v>
      </c>
      <c r="I206" t="s">
        <v>9929</v>
      </c>
      <c r="J206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10011</v>
      </c>
      <c r="I207" t="s">
        <v>9932</v>
      </c>
      <c r="J207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588</v>
      </c>
      <c r="E208" t="s">
        <v>86</v>
      </c>
      <c r="I208" t="s">
        <v>9935</v>
      </c>
      <c r="J20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588</v>
      </c>
      <c r="E209" t="s">
        <v>86</v>
      </c>
      <c r="I209" t="s">
        <v>10082</v>
      </c>
      <c r="J20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9656</v>
      </c>
      <c r="E210" t="s">
        <v>3358</v>
      </c>
      <c r="I210" t="s">
        <v>10085</v>
      </c>
      <c r="J210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9656</v>
      </c>
      <c r="E211" t="s">
        <v>10130</v>
      </c>
      <c r="H211" t="s">
        <v>10131</v>
      </c>
      <c r="I211" t="s">
        <v>10088</v>
      </c>
      <c r="J211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3358</v>
      </c>
      <c r="I212" t="s">
        <v>10091</v>
      </c>
      <c r="J212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9656</v>
      </c>
      <c r="E213" t="s">
        <v>10132</v>
      </c>
      <c r="I213" t="s">
        <v>10094</v>
      </c>
      <c r="J213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10132</v>
      </c>
      <c r="F214" t="s">
        <v>10236</v>
      </c>
      <c r="I214" t="s">
        <v>10097</v>
      </c>
      <c r="J214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9656</v>
      </c>
      <c r="E215" t="s">
        <v>10132</v>
      </c>
      <c r="I215" t="s">
        <v>10143</v>
      </c>
      <c r="J215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10237</v>
      </c>
      <c r="E216" t="s">
        <v>10132</v>
      </c>
      <c r="I216" t="s">
        <v>10146</v>
      </c>
      <c r="J216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4921</v>
      </c>
      <c r="E217" t="s">
        <v>10132</v>
      </c>
      <c r="I217" t="s">
        <v>10149</v>
      </c>
      <c r="J217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1273</v>
      </c>
      <c r="E218" t="s">
        <v>10415</v>
      </c>
      <c r="I218" t="s">
        <v>10244</v>
      </c>
      <c r="J21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4921</v>
      </c>
      <c r="E219" t="s">
        <v>10415</v>
      </c>
      <c r="I219" t="s">
        <v>10247</v>
      </c>
      <c r="J21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10415</v>
      </c>
      <c r="I220" t="s">
        <v>10250</v>
      </c>
      <c r="J220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1273</v>
      </c>
      <c r="E221" t="s">
        <v>10130</v>
      </c>
      <c r="I221" t="s">
        <v>10253</v>
      </c>
      <c r="J221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10130</v>
      </c>
      <c r="I222" t="s">
        <v>10256</v>
      </c>
      <c r="J222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9596</v>
      </c>
      <c r="E223" t="s">
        <v>10416</v>
      </c>
      <c r="I223" t="s">
        <v>10259</v>
      </c>
      <c r="J223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10416</v>
      </c>
      <c r="I224" t="s">
        <v>10262</v>
      </c>
      <c r="J224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10265</v>
      </c>
      <c r="J225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1607</v>
      </c>
      <c r="E226" t="s">
        <v>8</v>
      </c>
      <c r="I226" t="s">
        <v>10268</v>
      </c>
      <c r="J226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1273</v>
      </c>
      <c r="E227" t="s">
        <v>3356</v>
      </c>
      <c r="I227" t="s">
        <v>10417</v>
      </c>
      <c r="J227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9596</v>
      </c>
      <c r="E228" t="s">
        <v>10565</v>
      </c>
      <c r="F228" t="s">
        <v>51</v>
      </c>
      <c r="I228" t="s">
        <v>10420</v>
      </c>
      <c r="J22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9596</v>
      </c>
      <c r="E229" t="s">
        <v>10566</v>
      </c>
      <c r="F229" t="s">
        <v>51</v>
      </c>
      <c r="I229" t="s">
        <v>10423</v>
      </c>
      <c r="J22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3356</v>
      </c>
      <c r="I230" t="s">
        <v>10426</v>
      </c>
      <c r="J230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10566</v>
      </c>
      <c r="F231" t="s">
        <v>586</v>
      </c>
      <c r="I231" t="s">
        <v>10429</v>
      </c>
      <c r="J231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10565</v>
      </c>
      <c r="F232" t="s">
        <v>586</v>
      </c>
      <c r="I232" t="s">
        <v>10432</v>
      </c>
      <c r="J232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4921</v>
      </c>
      <c r="E233" t="s">
        <v>11072</v>
      </c>
      <c r="I233" t="s">
        <v>10608</v>
      </c>
      <c r="J233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9596</v>
      </c>
      <c r="E234" t="s">
        <v>11072</v>
      </c>
      <c r="I234" t="s">
        <v>10611</v>
      </c>
      <c r="J234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4921</v>
      </c>
      <c r="E235" t="s">
        <v>11073</v>
      </c>
      <c r="F235" t="s">
        <v>60</v>
      </c>
      <c r="I235" t="s">
        <v>10614</v>
      </c>
      <c r="J235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4921</v>
      </c>
      <c r="E236" t="s">
        <v>11073</v>
      </c>
      <c r="F236" t="s">
        <v>60</v>
      </c>
      <c r="H236" t="s">
        <v>2352</v>
      </c>
      <c r="I236" t="s">
        <v>10617</v>
      </c>
      <c r="J236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227</v>
      </c>
      <c r="E237" t="s">
        <v>11073</v>
      </c>
      <c r="F237" t="s">
        <v>60</v>
      </c>
      <c r="H237" t="s">
        <v>2352</v>
      </c>
      <c r="I237" t="s">
        <v>10620</v>
      </c>
      <c r="J237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227</v>
      </c>
      <c r="E238" t="s">
        <v>11073</v>
      </c>
      <c r="F238" t="s">
        <v>60</v>
      </c>
      <c r="H238" t="s">
        <v>2352</v>
      </c>
      <c r="I238" t="s">
        <v>10623</v>
      </c>
      <c r="J23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227</v>
      </c>
      <c r="E239" t="s">
        <v>11073</v>
      </c>
      <c r="F239" t="s">
        <v>60</v>
      </c>
      <c r="H239" t="s">
        <v>2352</v>
      </c>
      <c r="I239" t="s">
        <v>10626</v>
      </c>
      <c r="J23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227</v>
      </c>
      <c r="E240" t="s">
        <v>11073</v>
      </c>
      <c r="F240" t="s">
        <v>60</v>
      </c>
      <c r="H240" t="s">
        <v>2352</v>
      </c>
      <c r="I240" t="s">
        <v>10629</v>
      </c>
      <c r="J240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227</v>
      </c>
      <c r="E241" t="s">
        <v>11073</v>
      </c>
      <c r="F241" t="s">
        <v>60</v>
      </c>
      <c r="H241" t="s">
        <v>2352</v>
      </c>
      <c r="I241" t="s">
        <v>10632</v>
      </c>
      <c r="J241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227</v>
      </c>
      <c r="E242" t="s">
        <v>11073</v>
      </c>
      <c r="F242" t="s">
        <v>60</v>
      </c>
      <c r="H242" t="s">
        <v>2352</v>
      </c>
      <c r="I242" t="s">
        <v>10635</v>
      </c>
      <c r="J242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227</v>
      </c>
      <c r="E243" t="s">
        <v>11073</v>
      </c>
      <c r="F243" t="s">
        <v>60</v>
      </c>
      <c r="H243" t="s">
        <v>2352</v>
      </c>
      <c r="I243" t="s">
        <v>10638</v>
      </c>
      <c r="J243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227</v>
      </c>
      <c r="E244" t="s">
        <v>11073</v>
      </c>
      <c r="F244" t="s">
        <v>60</v>
      </c>
      <c r="H244" t="s">
        <v>2352</v>
      </c>
      <c r="I244" t="s">
        <v>10641</v>
      </c>
      <c r="J244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227</v>
      </c>
      <c r="E245" t="s">
        <v>11073</v>
      </c>
      <c r="F245" t="s">
        <v>60</v>
      </c>
      <c r="H245" t="s">
        <v>2352</v>
      </c>
      <c r="I245" t="s">
        <v>10644</v>
      </c>
      <c r="J245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227</v>
      </c>
      <c r="E246" t="s">
        <v>11073</v>
      </c>
      <c r="F246" t="s">
        <v>60</v>
      </c>
      <c r="H246" t="s">
        <v>2352</v>
      </c>
      <c r="I246" t="s">
        <v>10647</v>
      </c>
      <c r="J246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227</v>
      </c>
      <c r="E247" t="s">
        <v>11073</v>
      </c>
      <c r="F247" t="s">
        <v>60</v>
      </c>
      <c r="H247" t="s">
        <v>2352</v>
      </c>
      <c r="I247" t="s">
        <v>10650</v>
      </c>
      <c r="J247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227</v>
      </c>
      <c r="E248" t="s">
        <v>11073</v>
      </c>
      <c r="F248" t="s">
        <v>60</v>
      </c>
      <c r="H248" t="s">
        <v>2352</v>
      </c>
      <c r="I248" t="s">
        <v>10653</v>
      </c>
      <c r="J24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227</v>
      </c>
      <c r="E249" t="s">
        <v>11073</v>
      </c>
      <c r="F249" t="s">
        <v>60</v>
      </c>
      <c r="H249" t="s">
        <v>2352</v>
      </c>
      <c r="I249" t="s">
        <v>10656</v>
      </c>
      <c r="J24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227</v>
      </c>
      <c r="E250" t="s">
        <v>11073</v>
      </c>
      <c r="F250" t="s">
        <v>60</v>
      </c>
      <c r="H250" t="s">
        <v>2352</v>
      </c>
      <c r="I250" t="s">
        <v>10659</v>
      </c>
      <c r="J250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227</v>
      </c>
      <c r="E251" t="s">
        <v>11073</v>
      </c>
      <c r="F251" t="s">
        <v>60</v>
      </c>
      <c r="H251" t="s">
        <v>2352</v>
      </c>
      <c r="I251" t="s">
        <v>10662</v>
      </c>
      <c r="J251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227</v>
      </c>
      <c r="E252" t="s">
        <v>11073</v>
      </c>
      <c r="F252" t="s">
        <v>60</v>
      </c>
      <c r="H252" t="s">
        <v>2352</v>
      </c>
      <c r="I252" t="s">
        <v>10665</v>
      </c>
      <c r="J252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227</v>
      </c>
      <c r="E253" t="s">
        <v>11073</v>
      </c>
      <c r="F253" t="s">
        <v>60</v>
      </c>
      <c r="H253" t="s">
        <v>2352</v>
      </c>
      <c r="I253" t="s">
        <v>10668</v>
      </c>
      <c r="J253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227</v>
      </c>
      <c r="E254" t="s">
        <v>11073</v>
      </c>
      <c r="F254" t="s">
        <v>60</v>
      </c>
      <c r="H254" t="s">
        <v>2352</v>
      </c>
      <c r="I254" t="s">
        <v>10671</v>
      </c>
      <c r="J254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227</v>
      </c>
      <c r="E255" t="s">
        <v>11073</v>
      </c>
      <c r="F255" t="s">
        <v>60</v>
      </c>
      <c r="H255" t="s">
        <v>2352</v>
      </c>
      <c r="I255" t="s">
        <v>10674</v>
      </c>
      <c r="J255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227</v>
      </c>
      <c r="E256" t="s">
        <v>11073</v>
      </c>
      <c r="F256" t="s">
        <v>60</v>
      </c>
      <c r="H256" t="s">
        <v>2352</v>
      </c>
      <c r="I256" t="s">
        <v>10677</v>
      </c>
      <c r="J256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227</v>
      </c>
      <c r="E257" t="s">
        <v>11073</v>
      </c>
      <c r="F257" t="s">
        <v>60</v>
      </c>
      <c r="H257" t="s">
        <v>2352</v>
      </c>
      <c r="I257" t="s">
        <v>10680</v>
      </c>
      <c r="J257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4921</v>
      </c>
      <c r="E258" t="s">
        <v>11073</v>
      </c>
      <c r="F258" t="s">
        <v>51</v>
      </c>
      <c r="I258" t="s">
        <v>10683</v>
      </c>
      <c r="J25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587</v>
      </c>
      <c r="E259" t="s">
        <v>11073</v>
      </c>
      <c r="F259" t="s">
        <v>51</v>
      </c>
      <c r="I259" t="s">
        <v>10686</v>
      </c>
      <c r="J25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0.48478009259259258</v>
      </c>
      <c r="I260" t="s">
        <v>10689</v>
      </c>
      <c r="J260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офиса\K07156189_21_20260225T113805Z.jpg</v>
      </c>
    </row>
    <row r="261" spans="1:13" x14ac:dyDescent="0.25">
      <c r="A261" s="1" t="s">
        <v>15</v>
      </c>
      <c r="B261" s="3">
        <v>46078</v>
      </c>
      <c r="C261" s="4">
        <v>0.74349537037037039</v>
      </c>
      <c r="D261" t="s">
        <v>4</v>
      </c>
      <c r="E261" t="s">
        <v>8</v>
      </c>
      <c r="I261" t="s">
        <v>10692</v>
      </c>
      <c r="J261" t="s">
        <v>2403</v>
      </c>
      <c r="K261" t="s">
        <v>10693</v>
      </c>
      <c r="L261" t="s">
        <v>10694</v>
      </c>
      <c r="M261" s="2" t="str">
        <f>HYPERLINK(склад2въезд13[[#This Row],[RelativePath]])</f>
        <v>4 Крыльцо офиса\K07156189_21_20260225T175038Z.jpg</v>
      </c>
    </row>
  </sheetData>
  <conditionalFormatting sqref="D262:D272 E262:E275 G2:H261 D2:E261">
    <cfRule type="containsText" dxfId="987" priority="14" operator="containsText" text="Выезд с территории">
      <formula>NOT(ISERROR(SEARCH("Выезд с территории",D2)))</formula>
    </cfRule>
  </conditionalFormatting>
  <conditionalFormatting sqref="F2:F261">
    <cfRule type="notContainsText" dxfId="986" priority="13" operator="notContains" text="порожний">
      <formula>ISERROR(SEARCH("порожний",F2))</formula>
    </cfRule>
  </conditionalFormatting>
  <conditionalFormatting sqref="E2:E275">
    <cfRule type="containsText" dxfId="985" priority="11" operator="containsText" text="Газель базы">
      <formula>NOT(ISERROR(SEARCH("Газель базы",E2)))</formula>
    </cfRule>
    <cfRule type="containsText" dxfId="984" priority="12" operator="containsText" text="Погрузчик базы">
      <formula>NOT(ISERROR(SEARCH("Погрузчик базы",E2)))</formula>
    </cfRule>
  </conditionalFormatting>
  <conditionalFormatting sqref="E2:E275">
    <cfRule type="containsText" dxfId="983" priority="10" operator="containsText" text="Трактор базы">
      <formula>NOT(ISERROR(SEARCH("Трактор базы",E2)))</formula>
    </cfRule>
  </conditionalFormatting>
  <conditionalFormatting sqref="A2:C261">
    <cfRule type="expression" dxfId="982" priority="9">
      <formula>$A2="пн"</formula>
    </cfRule>
  </conditionalFormatting>
  <conditionalFormatting sqref="A2:C263">
    <cfRule type="expression" dxfId="981" priority="3">
      <formula>$A2="вс"</formula>
    </cfRule>
    <cfRule type="expression" dxfId="980" priority="4">
      <formula>$A2="сб"</formula>
    </cfRule>
    <cfRule type="expression" dxfId="979" priority="5">
      <formula>$A2="пт"</formula>
    </cfRule>
    <cfRule type="expression" dxfId="978" priority="6">
      <formula>$A2="чт"</formula>
    </cfRule>
    <cfRule type="expression" dxfId="977" priority="7">
      <formula>$A2="ср"</formula>
    </cfRule>
    <cfRule type="expression" dxfId="976" priority="8">
      <formula>$A2="вт"</formula>
    </cfRule>
  </conditionalFormatting>
  <conditionalFormatting sqref="D2:D272">
    <cfRule type="containsText" dxfId="97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2">
    <cfRule type="containsText" dxfId="97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358"/>
  <sheetViews>
    <sheetView zoomScale="90" zoomScaleNormal="90" workbookViewId="0">
      <pane ySplit="1" topLeftCell="A340" activePane="bottomLeft" state="frozen"/>
      <selection pane="bottomLeft" activeCell="I354" sqref="I354:I35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1406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270</v>
      </c>
      <c r="J2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397</v>
      </c>
      <c r="E3" t="s">
        <v>398</v>
      </c>
      <c r="I3" t="s">
        <v>274</v>
      </c>
      <c r="J3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398</v>
      </c>
      <c r="I4" t="s">
        <v>277</v>
      </c>
      <c r="J4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400</v>
      </c>
      <c r="I5" t="s">
        <v>280</v>
      </c>
      <c r="J5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399</v>
      </c>
      <c r="I6" t="s">
        <v>283</v>
      </c>
      <c r="J6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399</v>
      </c>
      <c r="I7" t="s">
        <v>286</v>
      </c>
      <c r="J7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400</v>
      </c>
      <c r="I8" t="s">
        <v>289</v>
      </c>
      <c r="J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401</v>
      </c>
      <c r="I9" t="s">
        <v>292</v>
      </c>
      <c r="J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295</v>
      </c>
      <c r="J10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402</v>
      </c>
      <c r="I11" t="s">
        <v>298</v>
      </c>
      <c r="J11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1607</v>
      </c>
      <c r="E12" t="s">
        <v>8</v>
      </c>
      <c r="I12" t="s">
        <v>301</v>
      </c>
      <c r="J12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404</v>
      </c>
      <c r="E13" t="s">
        <v>67</v>
      </c>
      <c r="I13" t="s">
        <v>301</v>
      </c>
      <c r="J13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1607</v>
      </c>
      <c r="E14" t="s">
        <v>8</v>
      </c>
      <c r="I14" t="s">
        <v>304</v>
      </c>
      <c r="J14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226</v>
      </c>
      <c r="E15" t="s">
        <v>67</v>
      </c>
      <c r="F15" t="s">
        <v>405</v>
      </c>
      <c r="I15" t="s">
        <v>304</v>
      </c>
      <c r="J15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1607</v>
      </c>
      <c r="E16" t="s">
        <v>8</v>
      </c>
      <c r="I16" t="s">
        <v>307</v>
      </c>
      <c r="J16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226</v>
      </c>
      <c r="E17" t="s">
        <v>67</v>
      </c>
      <c r="F17" t="s">
        <v>405</v>
      </c>
      <c r="I17" t="s">
        <v>307</v>
      </c>
      <c r="J17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226</v>
      </c>
      <c r="E18" t="s">
        <v>67</v>
      </c>
      <c r="F18" t="s">
        <v>405</v>
      </c>
      <c r="I18" t="s">
        <v>310</v>
      </c>
      <c r="J1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1607</v>
      </c>
      <c r="E19" t="s">
        <v>8</v>
      </c>
      <c r="I19" t="s">
        <v>310</v>
      </c>
      <c r="J1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1607</v>
      </c>
      <c r="E20" t="s">
        <v>8</v>
      </c>
      <c r="I20" t="s">
        <v>313</v>
      </c>
      <c r="J20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226</v>
      </c>
      <c r="E21" t="s">
        <v>67</v>
      </c>
      <c r="F21" t="s">
        <v>405</v>
      </c>
      <c r="I21" t="s">
        <v>313</v>
      </c>
      <c r="J21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226</v>
      </c>
      <c r="E22" t="s">
        <v>67</v>
      </c>
      <c r="F22" t="s">
        <v>405</v>
      </c>
      <c r="I22" t="s">
        <v>316</v>
      </c>
      <c r="J22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226</v>
      </c>
      <c r="E23" t="s">
        <v>67</v>
      </c>
      <c r="F23" t="s">
        <v>405</v>
      </c>
      <c r="I23" t="s">
        <v>319</v>
      </c>
      <c r="J23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226</v>
      </c>
      <c r="E24" t="s">
        <v>67</v>
      </c>
      <c r="F24" t="s">
        <v>405</v>
      </c>
      <c r="I24" t="s">
        <v>322</v>
      </c>
      <c r="J24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226</v>
      </c>
      <c r="E25" t="s">
        <v>67</v>
      </c>
      <c r="F25" t="s">
        <v>405</v>
      </c>
      <c r="I25" t="s">
        <v>325</v>
      </c>
      <c r="J25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226</v>
      </c>
      <c r="E26" t="s">
        <v>67</v>
      </c>
      <c r="F26" t="s">
        <v>405</v>
      </c>
      <c r="I26" t="s">
        <v>328</v>
      </c>
      <c r="J26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226</v>
      </c>
      <c r="E27" t="s">
        <v>67</v>
      </c>
      <c r="F27" t="s">
        <v>405</v>
      </c>
      <c r="I27" t="s">
        <v>331</v>
      </c>
      <c r="J27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226</v>
      </c>
      <c r="E28" t="s">
        <v>67</v>
      </c>
      <c r="F28" t="s">
        <v>405</v>
      </c>
      <c r="I28" t="s">
        <v>334</v>
      </c>
      <c r="J2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226</v>
      </c>
      <c r="E29" t="s">
        <v>67</v>
      </c>
      <c r="F29" t="s">
        <v>405</v>
      </c>
      <c r="I29" t="s">
        <v>337</v>
      </c>
      <c r="J2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226</v>
      </c>
      <c r="E30" t="s">
        <v>67</v>
      </c>
      <c r="F30" t="s">
        <v>405</v>
      </c>
      <c r="I30" t="s">
        <v>340</v>
      </c>
      <c r="J30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226</v>
      </c>
      <c r="E31" t="s">
        <v>67</v>
      </c>
      <c r="F31" t="s">
        <v>405</v>
      </c>
      <c r="I31" t="s">
        <v>343</v>
      </c>
      <c r="J31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226</v>
      </c>
      <c r="E32" t="s">
        <v>67</v>
      </c>
      <c r="F32" t="s">
        <v>406</v>
      </c>
      <c r="H32" t="s">
        <v>407</v>
      </c>
      <c r="I32" t="s">
        <v>346</v>
      </c>
      <c r="J32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408</v>
      </c>
      <c r="E33" t="s">
        <v>67</v>
      </c>
      <c r="F33" t="s">
        <v>405</v>
      </c>
      <c r="I33" t="s">
        <v>349</v>
      </c>
      <c r="J33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409</v>
      </c>
      <c r="E34" t="s">
        <v>67</v>
      </c>
      <c r="F34" t="s">
        <v>405</v>
      </c>
      <c r="I34" t="s">
        <v>352</v>
      </c>
      <c r="J34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410</v>
      </c>
      <c r="I35" t="s">
        <v>355</v>
      </c>
      <c r="J35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358</v>
      </c>
      <c r="J36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361</v>
      </c>
      <c r="J37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414</v>
      </c>
      <c r="H38" t="s">
        <v>415</v>
      </c>
      <c r="I38" t="s">
        <v>364</v>
      </c>
      <c r="J3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367</v>
      </c>
      <c r="J3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411</v>
      </c>
      <c r="I40" t="s">
        <v>370</v>
      </c>
      <c r="J40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373</v>
      </c>
      <c r="J41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376</v>
      </c>
      <c r="J42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379</v>
      </c>
      <c r="J43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412</v>
      </c>
      <c r="I44" t="s">
        <v>382</v>
      </c>
      <c r="J44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412</v>
      </c>
      <c r="I45" t="s">
        <v>385</v>
      </c>
      <c r="J45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416</v>
      </c>
      <c r="H46" t="s">
        <v>413</v>
      </c>
      <c r="I46" t="s">
        <v>388</v>
      </c>
      <c r="J46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391</v>
      </c>
      <c r="J47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394</v>
      </c>
      <c r="J4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1292</v>
      </c>
      <c r="I49" t="s">
        <v>1049</v>
      </c>
      <c r="J4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1612</v>
      </c>
      <c r="I50" t="s">
        <v>1052</v>
      </c>
      <c r="J50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1617</v>
      </c>
      <c r="H51" t="s">
        <v>1292</v>
      </c>
      <c r="I51" t="s">
        <v>1055</v>
      </c>
      <c r="J51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1681</v>
      </c>
      <c r="J52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1684</v>
      </c>
      <c r="J53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1687</v>
      </c>
      <c r="J54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1690</v>
      </c>
      <c r="J55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1693</v>
      </c>
      <c r="J56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1696</v>
      </c>
      <c r="J57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1699</v>
      </c>
      <c r="J5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2465</v>
      </c>
      <c r="J5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2468</v>
      </c>
      <c r="J60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2471</v>
      </c>
      <c r="J61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2474</v>
      </c>
      <c r="J62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2477</v>
      </c>
      <c r="J63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2480</v>
      </c>
      <c r="J64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2483</v>
      </c>
      <c r="J65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2486</v>
      </c>
      <c r="J66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1607</v>
      </c>
      <c r="I67" t="s">
        <v>3431</v>
      </c>
      <c r="J67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887</v>
      </c>
      <c r="E68" t="s">
        <v>3412</v>
      </c>
      <c r="F68" t="s">
        <v>58</v>
      </c>
      <c r="H68" t="s">
        <v>4096</v>
      </c>
      <c r="I68" t="s">
        <v>4091</v>
      </c>
      <c r="J6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3596</v>
      </c>
      <c r="J6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1282</v>
      </c>
      <c r="E70" t="s">
        <v>86</v>
      </c>
      <c r="F70" t="s">
        <v>165</v>
      </c>
      <c r="I70" t="s">
        <v>3599</v>
      </c>
      <c r="J70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3602</v>
      </c>
      <c r="J71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1282</v>
      </c>
      <c r="E72" t="s">
        <v>86</v>
      </c>
      <c r="F72" t="s">
        <v>165</v>
      </c>
      <c r="I72" t="s">
        <v>3605</v>
      </c>
      <c r="J72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1282</v>
      </c>
      <c r="E73" t="s">
        <v>86</v>
      </c>
      <c r="F73" t="s">
        <v>4097</v>
      </c>
      <c r="H73" t="s">
        <v>4098</v>
      </c>
      <c r="I73" t="s">
        <v>3608</v>
      </c>
      <c r="J73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1282</v>
      </c>
      <c r="E74" t="s">
        <v>86</v>
      </c>
      <c r="F74" t="s">
        <v>165</v>
      </c>
      <c r="I74" t="s">
        <v>3611</v>
      </c>
      <c r="J74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887</v>
      </c>
      <c r="E75" t="s">
        <v>3412</v>
      </c>
      <c r="F75" t="s">
        <v>60</v>
      </c>
      <c r="H75" t="s">
        <v>4096</v>
      </c>
      <c r="I75" t="s">
        <v>3614</v>
      </c>
      <c r="J75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887</v>
      </c>
      <c r="E76" t="s">
        <v>3412</v>
      </c>
      <c r="F76" t="s">
        <v>60</v>
      </c>
      <c r="H76" t="s">
        <v>2352</v>
      </c>
      <c r="I76" t="s">
        <v>3617</v>
      </c>
      <c r="J76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2352</v>
      </c>
      <c r="I77" t="s">
        <v>3620</v>
      </c>
      <c r="J77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2352</v>
      </c>
      <c r="I78" t="s">
        <v>3623</v>
      </c>
      <c r="J7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2352</v>
      </c>
      <c r="I79" t="s">
        <v>3626</v>
      </c>
      <c r="J7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1273</v>
      </c>
      <c r="E80" t="s">
        <v>70</v>
      </c>
      <c r="I80" t="s">
        <v>3629</v>
      </c>
      <c r="J80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227</v>
      </c>
      <c r="E81" t="s">
        <v>70</v>
      </c>
      <c r="F81" t="s">
        <v>4087</v>
      </c>
      <c r="I81" t="s">
        <v>3632</v>
      </c>
      <c r="J81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403</v>
      </c>
      <c r="E82" t="s">
        <v>86</v>
      </c>
      <c r="F82" t="s">
        <v>4087</v>
      </c>
      <c r="I82" t="s">
        <v>3635</v>
      </c>
      <c r="J82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1282</v>
      </c>
      <c r="E83" t="s">
        <v>86</v>
      </c>
      <c r="F83" t="s">
        <v>4087</v>
      </c>
      <c r="I83" t="s">
        <v>3638</v>
      </c>
      <c r="J83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403</v>
      </c>
      <c r="E84" t="s">
        <v>86</v>
      </c>
      <c r="F84" t="s">
        <v>4087</v>
      </c>
      <c r="I84" t="s">
        <v>4093</v>
      </c>
      <c r="J84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4099</v>
      </c>
      <c r="I85" t="s">
        <v>3641</v>
      </c>
      <c r="J85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1282</v>
      </c>
      <c r="E86" t="s">
        <v>86</v>
      </c>
      <c r="F86" t="s">
        <v>4087</v>
      </c>
      <c r="I86" t="s">
        <v>3644</v>
      </c>
      <c r="J86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3647</v>
      </c>
      <c r="J87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1273</v>
      </c>
      <c r="E88" t="s">
        <v>70</v>
      </c>
      <c r="I88" t="s">
        <v>3650</v>
      </c>
      <c r="J8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1273</v>
      </c>
      <c r="E89" t="s">
        <v>55</v>
      </c>
      <c r="I89" t="s">
        <v>3653</v>
      </c>
      <c r="J8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227</v>
      </c>
      <c r="E90" t="s">
        <v>70</v>
      </c>
      <c r="F90" t="s">
        <v>4087</v>
      </c>
      <c r="I90" t="s">
        <v>3656</v>
      </c>
      <c r="J90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3659</v>
      </c>
      <c r="J91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1607</v>
      </c>
      <c r="I92" t="s">
        <v>3662</v>
      </c>
      <c r="J92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1273</v>
      </c>
      <c r="E93" t="s">
        <v>4236</v>
      </c>
      <c r="F93" t="s">
        <v>3398</v>
      </c>
      <c r="I93" t="s">
        <v>4141</v>
      </c>
      <c r="J93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226</v>
      </c>
      <c r="E94" t="s">
        <v>4236</v>
      </c>
      <c r="F94" t="s">
        <v>4087</v>
      </c>
      <c r="I94" t="s">
        <v>4144</v>
      </c>
      <c r="J94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226</v>
      </c>
      <c r="E95" t="s">
        <v>4236</v>
      </c>
      <c r="F95" t="s">
        <v>4087</v>
      </c>
      <c r="H95" t="s">
        <v>2352</v>
      </c>
      <c r="I95" t="s">
        <v>4147</v>
      </c>
      <c r="J95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226</v>
      </c>
      <c r="E96" t="s">
        <v>4236</v>
      </c>
      <c r="F96" t="s">
        <v>4087</v>
      </c>
      <c r="H96" t="s">
        <v>2352</v>
      </c>
      <c r="I96" t="s">
        <v>4150</v>
      </c>
      <c r="J96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226</v>
      </c>
      <c r="E97" t="s">
        <v>4236</v>
      </c>
      <c r="F97" t="s">
        <v>4087</v>
      </c>
      <c r="H97" t="s">
        <v>2352</v>
      </c>
      <c r="I97" t="s">
        <v>4153</v>
      </c>
      <c r="J97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226</v>
      </c>
      <c r="E98" t="s">
        <v>4236</v>
      </c>
      <c r="F98" t="s">
        <v>4087</v>
      </c>
      <c r="H98" t="s">
        <v>2352</v>
      </c>
      <c r="I98" t="s">
        <v>4156</v>
      </c>
      <c r="J9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226</v>
      </c>
      <c r="E99" t="s">
        <v>4236</v>
      </c>
      <c r="F99" t="s">
        <v>4087</v>
      </c>
      <c r="H99" t="s">
        <v>2352</v>
      </c>
      <c r="I99" t="s">
        <v>4159</v>
      </c>
      <c r="J9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3397</v>
      </c>
      <c r="E100" t="s">
        <v>4236</v>
      </c>
      <c r="F100" t="s">
        <v>1276</v>
      </c>
      <c r="I100" t="s">
        <v>4162</v>
      </c>
      <c r="J100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587</v>
      </c>
      <c r="E101" t="s">
        <v>4236</v>
      </c>
      <c r="F101" t="s">
        <v>1276</v>
      </c>
      <c r="I101" t="s">
        <v>4165</v>
      </c>
      <c r="J101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4265</v>
      </c>
      <c r="J102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1607</v>
      </c>
      <c r="E103" t="s">
        <v>8</v>
      </c>
      <c r="I103" t="s">
        <v>4268</v>
      </c>
      <c r="J103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1607</v>
      </c>
      <c r="E104" t="s">
        <v>8</v>
      </c>
      <c r="I104" t="s">
        <v>4568</v>
      </c>
      <c r="J104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1274</v>
      </c>
      <c r="F105" t="s">
        <v>4925</v>
      </c>
      <c r="I105" t="s">
        <v>4571</v>
      </c>
      <c r="J105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1607</v>
      </c>
      <c r="E106" t="s">
        <v>8</v>
      </c>
      <c r="I106" t="s">
        <v>4574</v>
      </c>
      <c r="J106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1607</v>
      </c>
      <c r="E107" t="s">
        <v>8</v>
      </c>
      <c r="I107" t="s">
        <v>4673</v>
      </c>
      <c r="J107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4676</v>
      </c>
      <c r="J10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587</v>
      </c>
      <c r="E109" t="s">
        <v>55</v>
      </c>
      <c r="F109" t="s">
        <v>51</v>
      </c>
      <c r="H109" t="s">
        <v>4926</v>
      </c>
      <c r="I109" t="s">
        <v>4679</v>
      </c>
      <c r="J10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4682</v>
      </c>
      <c r="J110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1607</v>
      </c>
      <c r="E111" t="s">
        <v>8</v>
      </c>
      <c r="I111" t="s">
        <v>4843</v>
      </c>
      <c r="J111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1607</v>
      </c>
      <c r="E112" t="s">
        <v>8</v>
      </c>
      <c r="I112" t="s">
        <v>4951</v>
      </c>
      <c r="J112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1273</v>
      </c>
      <c r="E113" t="s">
        <v>70</v>
      </c>
      <c r="I113" t="s">
        <v>5030</v>
      </c>
      <c r="J113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5057</v>
      </c>
      <c r="I114" t="s">
        <v>5033</v>
      </c>
      <c r="J114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1607</v>
      </c>
      <c r="E115" t="s">
        <v>8</v>
      </c>
      <c r="I115" t="s">
        <v>5241</v>
      </c>
      <c r="J115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1607</v>
      </c>
      <c r="E116" t="s">
        <v>8</v>
      </c>
      <c r="I116" t="s">
        <v>5351</v>
      </c>
      <c r="J116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5667</v>
      </c>
      <c r="J117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588</v>
      </c>
      <c r="E118" t="s">
        <v>3412</v>
      </c>
      <c r="I118" t="s">
        <v>5670</v>
      </c>
      <c r="J11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1274</v>
      </c>
      <c r="I119" t="s">
        <v>5673</v>
      </c>
      <c r="J11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5676</v>
      </c>
      <c r="J120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1607</v>
      </c>
      <c r="E121" t="s">
        <v>8</v>
      </c>
      <c r="I121" t="s">
        <v>5679</v>
      </c>
      <c r="J121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1607</v>
      </c>
      <c r="E122" t="s">
        <v>8</v>
      </c>
      <c r="I122" t="s">
        <v>5682</v>
      </c>
      <c r="J122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1607</v>
      </c>
      <c r="E123" t="s">
        <v>8</v>
      </c>
      <c r="I123" t="s">
        <v>5700</v>
      </c>
      <c r="J123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1274</v>
      </c>
      <c r="I124" t="s">
        <v>5812</v>
      </c>
      <c r="J124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1607</v>
      </c>
      <c r="E125" t="s">
        <v>8</v>
      </c>
      <c r="I125" t="s">
        <v>5815</v>
      </c>
      <c r="J125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1607</v>
      </c>
      <c r="E126" t="s">
        <v>8</v>
      </c>
      <c r="I126" t="s">
        <v>5818</v>
      </c>
      <c r="J126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3381</v>
      </c>
      <c r="E127" t="s">
        <v>5903</v>
      </c>
      <c r="F127" t="s">
        <v>60</v>
      </c>
      <c r="I127" t="s">
        <v>5821</v>
      </c>
      <c r="J127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3381</v>
      </c>
      <c r="E128" t="s">
        <v>5903</v>
      </c>
      <c r="F128" t="s">
        <v>60</v>
      </c>
      <c r="I128" t="s">
        <v>5824</v>
      </c>
      <c r="J12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227</v>
      </c>
      <c r="E129" t="s">
        <v>86</v>
      </c>
      <c r="F129" t="s">
        <v>60</v>
      </c>
      <c r="G129">
        <v>4</v>
      </c>
      <c r="I129" t="s">
        <v>5827</v>
      </c>
      <c r="J12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887</v>
      </c>
      <c r="E130" t="s">
        <v>86</v>
      </c>
      <c r="F130" t="s">
        <v>60</v>
      </c>
      <c r="H130" t="s">
        <v>413</v>
      </c>
      <c r="I130" t="s">
        <v>5830</v>
      </c>
      <c r="J130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227</v>
      </c>
      <c r="E131" t="s">
        <v>86</v>
      </c>
      <c r="F131" t="s">
        <v>60</v>
      </c>
      <c r="G131">
        <v>1</v>
      </c>
      <c r="I131" t="s">
        <v>5833</v>
      </c>
      <c r="J131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227</v>
      </c>
      <c r="E132" t="s">
        <v>86</v>
      </c>
      <c r="F132" t="s">
        <v>60</v>
      </c>
      <c r="G132">
        <v>4</v>
      </c>
      <c r="I132" t="s">
        <v>5836</v>
      </c>
      <c r="J132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227</v>
      </c>
      <c r="E133" t="s">
        <v>86</v>
      </c>
      <c r="F133" t="s">
        <v>60</v>
      </c>
      <c r="G133">
        <v>2</v>
      </c>
      <c r="I133" t="s">
        <v>5839</v>
      </c>
      <c r="J133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227</v>
      </c>
      <c r="E134" t="s">
        <v>86</v>
      </c>
      <c r="F134" t="s">
        <v>60</v>
      </c>
      <c r="G134">
        <v>3</v>
      </c>
      <c r="I134" t="s">
        <v>5842</v>
      </c>
      <c r="J134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227</v>
      </c>
      <c r="E135" t="s">
        <v>86</v>
      </c>
      <c r="F135" t="s">
        <v>60</v>
      </c>
      <c r="G135">
        <v>3</v>
      </c>
      <c r="I135" t="s">
        <v>5845</v>
      </c>
      <c r="J135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227</v>
      </c>
      <c r="E136" t="s">
        <v>86</v>
      </c>
      <c r="F136" t="s">
        <v>60</v>
      </c>
      <c r="G136">
        <v>2</v>
      </c>
      <c r="I136" t="s">
        <v>5848</v>
      </c>
      <c r="J136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227</v>
      </c>
      <c r="E137" t="s">
        <v>86</v>
      </c>
      <c r="F137" t="s">
        <v>60</v>
      </c>
      <c r="G137">
        <v>2</v>
      </c>
      <c r="I137" t="s">
        <v>5851</v>
      </c>
      <c r="J137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227</v>
      </c>
      <c r="E138" t="s">
        <v>86</v>
      </c>
      <c r="F138" t="s">
        <v>60</v>
      </c>
      <c r="G138">
        <v>2</v>
      </c>
      <c r="I138" t="s">
        <v>5854</v>
      </c>
      <c r="J13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227</v>
      </c>
      <c r="E139" t="s">
        <v>86</v>
      </c>
      <c r="F139" t="s">
        <v>60</v>
      </c>
      <c r="G139">
        <v>1</v>
      </c>
      <c r="I139" t="s">
        <v>5857</v>
      </c>
      <c r="J13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227</v>
      </c>
      <c r="E140" t="s">
        <v>86</v>
      </c>
      <c r="F140" t="s">
        <v>60</v>
      </c>
      <c r="G140">
        <v>2</v>
      </c>
      <c r="I140" t="s">
        <v>5860</v>
      </c>
      <c r="J140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227</v>
      </c>
      <c r="E141" t="s">
        <v>86</v>
      </c>
      <c r="F141" t="s">
        <v>60</v>
      </c>
      <c r="G141">
        <v>4</v>
      </c>
      <c r="I141" t="s">
        <v>5863</v>
      </c>
      <c r="J141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227</v>
      </c>
      <c r="E142" t="s">
        <v>86</v>
      </c>
      <c r="F142" t="s">
        <v>60</v>
      </c>
      <c r="G142">
        <v>2</v>
      </c>
      <c r="I142" t="s">
        <v>5866</v>
      </c>
      <c r="J142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227</v>
      </c>
      <c r="E143" t="s">
        <v>86</v>
      </c>
      <c r="F143" t="s">
        <v>60</v>
      </c>
      <c r="G143">
        <v>2</v>
      </c>
      <c r="I143" t="s">
        <v>5869</v>
      </c>
      <c r="J143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227</v>
      </c>
      <c r="E144" t="s">
        <v>86</v>
      </c>
      <c r="F144" t="s">
        <v>60</v>
      </c>
      <c r="G144">
        <v>3</v>
      </c>
      <c r="I144" t="s">
        <v>5872</v>
      </c>
      <c r="J144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227</v>
      </c>
      <c r="E145" t="s">
        <v>86</v>
      </c>
      <c r="F145" t="s">
        <v>60</v>
      </c>
      <c r="G145">
        <v>3</v>
      </c>
      <c r="I145" t="s">
        <v>5875</v>
      </c>
      <c r="J145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227</v>
      </c>
      <c r="E146" t="s">
        <v>86</v>
      </c>
      <c r="F146" t="s">
        <v>60</v>
      </c>
      <c r="G146">
        <v>2</v>
      </c>
      <c r="I146" t="s">
        <v>5878</v>
      </c>
      <c r="J146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227</v>
      </c>
      <c r="E147" t="s">
        <v>86</v>
      </c>
      <c r="F147" t="s">
        <v>60</v>
      </c>
      <c r="G147">
        <v>4</v>
      </c>
      <c r="I147" t="s">
        <v>5881</v>
      </c>
      <c r="J147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227</v>
      </c>
      <c r="E148" t="s">
        <v>86</v>
      </c>
      <c r="F148" t="s">
        <v>60</v>
      </c>
      <c r="G148">
        <v>3</v>
      </c>
      <c r="I148" t="s">
        <v>5884</v>
      </c>
      <c r="J14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227</v>
      </c>
      <c r="E149" t="s">
        <v>86</v>
      </c>
      <c r="F149" t="s">
        <v>60</v>
      </c>
      <c r="G149">
        <v>2</v>
      </c>
      <c r="I149" t="s">
        <v>5887</v>
      </c>
      <c r="J14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1282</v>
      </c>
      <c r="E150" t="s">
        <v>86</v>
      </c>
      <c r="F150" t="s">
        <v>60</v>
      </c>
      <c r="H150" t="s">
        <v>6155</v>
      </c>
      <c r="I150" t="s">
        <v>6043</v>
      </c>
      <c r="J150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1282</v>
      </c>
      <c r="E151" t="s">
        <v>86</v>
      </c>
      <c r="F151" t="s">
        <v>60</v>
      </c>
      <c r="H151" t="s">
        <v>6156</v>
      </c>
      <c r="I151" t="s">
        <v>6046</v>
      </c>
      <c r="J151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6154</v>
      </c>
      <c r="F152" t="s">
        <v>60</v>
      </c>
      <c r="I152" t="s">
        <v>6049</v>
      </c>
      <c r="J152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227</v>
      </c>
      <c r="E153" t="s">
        <v>86</v>
      </c>
      <c r="F153" t="s">
        <v>60</v>
      </c>
      <c r="G153">
        <v>3</v>
      </c>
      <c r="I153" t="s">
        <v>6052</v>
      </c>
      <c r="J153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227</v>
      </c>
      <c r="E154" t="s">
        <v>86</v>
      </c>
      <c r="F154" t="s">
        <v>60</v>
      </c>
      <c r="G154">
        <v>2</v>
      </c>
      <c r="I154" t="s">
        <v>6055</v>
      </c>
      <c r="J154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227</v>
      </c>
      <c r="E155" t="s">
        <v>86</v>
      </c>
      <c r="F155" t="s">
        <v>60</v>
      </c>
      <c r="G155">
        <v>2</v>
      </c>
      <c r="I155" t="s">
        <v>6058</v>
      </c>
      <c r="J155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227</v>
      </c>
      <c r="E156" t="s">
        <v>86</v>
      </c>
      <c r="F156" t="s">
        <v>60</v>
      </c>
      <c r="G156">
        <v>3</v>
      </c>
      <c r="I156" t="s">
        <v>6061</v>
      </c>
      <c r="J156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227</v>
      </c>
      <c r="E157" t="s">
        <v>86</v>
      </c>
      <c r="F157" t="s">
        <v>60</v>
      </c>
      <c r="G157">
        <v>4</v>
      </c>
      <c r="I157" t="s">
        <v>6064</v>
      </c>
      <c r="J157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227</v>
      </c>
      <c r="E158" t="s">
        <v>86</v>
      </c>
      <c r="F158" t="s">
        <v>60</v>
      </c>
      <c r="G158">
        <v>3</v>
      </c>
      <c r="I158" t="s">
        <v>6067</v>
      </c>
      <c r="J15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227</v>
      </c>
      <c r="E159" t="s">
        <v>86</v>
      </c>
      <c r="F159" t="s">
        <v>60</v>
      </c>
      <c r="G159">
        <v>3</v>
      </c>
      <c r="I159" t="s">
        <v>6070</v>
      </c>
      <c r="J15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227</v>
      </c>
      <c r="E160" t="s">
        <v>86</v>
      </c>
      <c r="F160" t="s">
        <v>60</v>
      </c>
      <c r="G160">
        <v>2</v>
      </c>
      <c r="I160" t="s">
        <v>6073</v>
      </c>
      <c r="J160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227</v>
      </c>
      <c r="E161" t="s">
        <v>86</v>
      </c>
      <c r="F161" t="s">
        <v>60</v>
      </c>
      <c r="G161">
        <v>2</v>
      </c>
      <c r="I161" t="s">
        <v>6076</v>
      </c>
      <c r="J161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227</v>
      </c>
      <c r="E162" t="s">
        <v>86</v>
      </c>
      <c r="F162" t="s">
        <v>60</v>
      </c>
      <c r="G162">
        <v>3</v>
      </c>
      <c r="I162" t="s">
        <v>6079</v>
      </c>
      <c r="J162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227</v>
      </c>
      <c r="E163" t="s">
        <v>86</v>
      </c>
      <c r="F163" t="s">
        <v>60</v>
      </c>
      <c r="G163">
        <v>3</v>
      </c>
      <c r="I163" t="s">
        <v>6082</v>
      </c>
      <c r="J163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227</v>
      </c>
      <c r="E164" t="s">
        <v>86</v>
      </c>
      <c r="F164" t="s">
        <v>60</v>
      </c>
      <c r="G164">
        <v>2</v>
      </c>
      <c r="I164" t="s">
        <v>6085</v>
      </c>
      <c r="J164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227</v>
      </c>
      <c r="E165" t="s">
        <v>86</v>
      </c>
      <c r="F165" t="s">
        <v>60</v>
      </c>
      <c r="G165">
        <v>1</v>
      </c>
      <c r="I165" t="s">
        <v>6088</v>
      </c>
      <c r="J165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227</v>
      </c>
      <c r="E166" t="s">
        <v>86</v>
      </c>
      <c r="F166" t="s">
        <v>60</v>
      </c>
      <c r="G166">
        <v>4</v>
      </c>
      <c r="I166" t="s">
        <v>6091</v>
      </c>
      <c r="J166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227</v>
      </c>
      <c r="E167" t="s">
        <v>86</v>
      </c>
      <c r="F167" t="s">
        <v>60</v>
      </c>
      <c r="G167">
        <v>3</v>
      </c>
      <c r="I167" t="s">
        <v>6094</v>
      </c>
      <c r="J167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227</v>
      </c>
      <c r="E168" t="s">
        <v>86</v>
      </c>
      <c r="F168" t="s">
        <v>60</v>
      </c>
      <c r="G168">
        <v>3</v>
      </c>
      <c r="I168" t="s">
        <v>6097</v>
      </c>
      <c r="J16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227</v>
      </c>
      <c r="E169" t="s">
        <v>86</v>
      </c>
      <c r="F169" t="s">
        <v>60</v>
      </c>
      <c r="G169">
        <v>3</v>
      </c>
      <c r="I169" t="s">
        <v>6100</v>
      </c>
      <c r="J16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227</v>
      </c>
      <c r="E170" t="s">
        <v>86</v>
      </c>
      <c r="F170" t="s">
        <v>60</v>
      </c>
      <c r="G170">
        <v>2</v>
      </c>
      <c r="I170" t="s">
        <v>6103</v>
      </c>
      <c r="J170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227</v>
      </c>
      <c r="E171" t="s">
        <v>86</v>
      </c>
      <c r="F171" t="s">
        <v>60</v>
      </c>
      <c r="G171">
        <v>3</v>
      </c>
      <c r="I171" t="s">
        <v>6106</v>
      </c>
      <c r="J171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227</v>
      </c>
      <c r="E172" t="s">
        <v>86</v>
      </c>
      <c r="F172" t="s">
        <v>60</v>
      </c>
      <c r="G172">
        <v>3</v>
      </c>
      <c r="I172" t="s">
        <v>6109</v>
      </c>
      <c r="J172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227</v>
      </c>
      <c r="E173" t="s">
        <v>86</v>
      </c>
      <c r="F173" t="s">
        <v>60</v>
      </c>
      <c r="G173">
        <v>3</v>
      </c>
      <c r="I173" t="s">
        <v>6112</v>
      </c>
      <c r="J173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227</v>
      </c>
      <c r="E174" t="s">
        <v>86</v>
      </c>
      <c r="F174" t="s">
        <v>60</v>
      </c>
      <c r="G174">
        <v>4</v>
      </c>
      <c r="I174" t="s">
        <v>6115</v>
      </c>
      <c r="J174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227</v>
      </c>
      <c r="E175" t="s">
        <v>86</v>
      </c>
      <c r="F175" t="s">
        <v>60</v>
      </c>
      <c r="G175">
        <v>2</v>
      </c>
      <c r="I175" t="s">
        <v>6118</v>
      </c>
      <c r="J175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3358</v>
      </c>
      <c r="I176" t="s">
        <v>6121</v>
      </c>
      <c r="J176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1607</v>
      </c>
      <c r="E177" t="s">
        <v>8</v>
      </c>
      <c r="I177" t="s">
        <v>6124</v>
      </c>
      <c r="J177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887</v>
      </c>
      <c r="E178" t="s">
        <v>86</v>
      </c>
      <c r="F178" t="s">
        <v>60</v>
      </c>
      <c r="H178" t="s">
        <v>6298</v>
      </c>
      <c r="I178" t="s">
        <v>6260</v>
      </c>
      <c r="J17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887</v>
      </c>
      <c r="E179" t="s">
        <v>86</v>
      </c>
      <c r="F179" t="s">
        <v>60</v>
      </c>
      <c r="H179" t="s">
        <v>6298</v>
      </c>
      <c r="I179" t="s">
        <v>6263</v>
      </c>
      <c r="J17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887</v>
      </c>
      <c r="E180" t="s">
        <v>86</v>
      </c>
      <c r="F180" t="s">
        <v>60</v>
      </c>
      <c r="H180" t="s">
        <v>6298</v>
      </c>
      <c r="I180" t="s">
        <v>6266</v>
      </c>
      <c r="J180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887</v>
      </c>
      <c r="E181" t="s">
        <v>86</v>
      </c>
      <c r="F181" t="s">
        <v>60</v>
      </c>
      <c r="H181" t="s">
        <v>6298</v>
      </c>
      <c r="I181" t="s">
        <v>6269</v>
      </c>
      <c r="J181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887</v>
      </c>
      <c r="E182" t="s">
        <v>86</v>
      </c>
      <c r="F182" t="s">
        <v>60</v>
      </c>
      <c r="H182" t="s">
        <v>6298</v>
      </c>
      <c r="I182" t="s">
        <v>6272</v>
      </c>
      <c r="J182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887</v>
      </c>
      <c r="E183" t="s">
        <v>86</v>
      </c>
      <c r="F183" t="s">
        <v>60</v>
      </c>
      <c r="H183" t="s">
        <v>6298</v>
      </c>
      <c r="I183" t="s">
        <v>6275</v>
      </c>
      <c r="J183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887</v>
      </c>
      <c r="E184" t="s">
        <v>86</v>
      </c>
      <c r="F184" t="s">
        <v>60</v>
      </c>
      <c r="H184" t="s">
        <v>6298</v>
      </c>
      <c r="I184" t="s">
        <v>6278</v>
      </c>
      <c r="J184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1607</v>
      </c>
      <c r="E185" t="s">
        <v>8</v>
      </c>
      <c r="I185" t="s">
        <v>6281</v>
      </c>
      <c r="J185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1607</v>
      </c>
      <c r="E186" t="s">
        <v>8</v>
      </c>
      <c r="I186" t="s">
        <v>6338</v>
      </c>
      <c r="J186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6436</v>
      </c>
      <c r="E187" t="s">
        <v>5310</v>
      </c>
      <c r="I187" t="s">
        <v>6341</v>
      </c>
      <c r="J187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6439</v>
      </c>
      <c r="I188" t="s">
        <v>6344</v>
      </c>
      <c r="J18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6439</v>
      </c>
      <c r="I189" t="s">
        <v>6347</v>
      </c>
      <c r="J18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6439</v>
      </c>
      <c r="I190" t="s">
        <v>6350</v>
      </c>
      <c r="J190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6659</v>
      </c>
      <c r="I191" t="s">
        <v>6613</v>
      </c>
      <c r="J191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6659</v>
      </c>
      <c r="I192" t="s">
        <v>6616</v>
      </c>
      <c r="J192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1607</v>
      </c>
      <c r="E193" t="s">
        <v>8</v>
      </c>
      <c r="I193" t="s">
        <v>6619</v>
      </c>
      <c r="J193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1274</v>
      </c>
      <c r="F194" t="s">
        <v>5697</v>
      </c>
      <c r="I194" t="s">
        <v>6622</v>
      </c>
      <c r="J194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1607</v>
      </c>
      <c r="E195" t="s">
        <v>8</v>
      </c>
      <c r="I195" t="s">
        <v>6625</v>
      </c>
      <c r="J195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1607</v>
      </c>
      <c r="E196" t="s">
        <v>8</v>
      </c>
      <c r="I196" t="s">
        <v>6628</v>
      </c>
      <c r="J196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1607</v>
      </c>
      <c r="E197" t="s">
        <v>8</v>
      </c>
      <c r="I197" t="s">
        <v>6740</v>
      </c>
      <c r="J197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6788</v>
      </c>
      <c r="H198" t="s">
        <v>6436</v>
      </c>
      <c r="I198" t="s">
        <v>6743</v>
      </c>
      <c r="J19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1607</v>
      </c>
      <c r="E199" t="s">
        <v>8</v>
      </c>
      <c r="I199" t="s">
        <v>6746</v>
      </c>
      <c r="J19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1607</v>
      </c>
      <c r="E200" t="s">
        <v>8</v>
      </c>
      <c r="I200" t="s">
        <v>6837</v>
      </c>
      <c r="J200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7047</v>
      </c>
      <c r="I201" t="s">
        <v>6840</v>
      </c>
      <c r="J201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1607</v>
      </c>
      <c r="E202" t="s">
        <v>8</v>
      </c>
      <c r="I202" t="s">
        <v>6843</v>
      </c>
      <c r="J202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1607</v>
      </c>
      <c r="E203" t="s">
        <v>8</v>
      </c>
      <c r="I203" t="s">
        <v>6846</v>
      </c>
      <c r="J203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1607</v>
      </c>
      <c r="E204" t="s">
        <v>8</v>
      </c>
      <c r="I204" t="s">
        <v>6849</v>
      </c>
      <c r="J204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1607</v>
      </c>
      <c r="E205" t="s">
        <v>8</v>
      </c>
      <c r="I205" t="s">
        <v>6852</v>
      </c>
      <c r="J205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1607</v>
      </c>
      <c r="E206" t="s">
        <v>8</v>
      </c>
      <c r="I206" t="s">
        <v>6855</v>
      </c>
      <c r="J206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4941</v>
      </c>
      <c r="E207" t="s">
        <v>4396</v>
      </c>
      <c r="F207" t="s">
        <v>7344</v>
      </c>
      <c r="I207" t="s">
        <v>7092</v>
      </c>
      <c r="J207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4941</v>
      </c>
      <c r="E208" t="s">
        <v>4396</v>
      </c>
      <c r="F208" t="s">
        <v>7344</v>
      </c>
      <c r="H208" t="s">
        <v>2352</v>
      </c>
      <c r="I208" t="s">
        <v>7095</v>
      </c>
      <c r="J20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887</v>
      </c>
      <c r="E209" t="s">
        <v>86</v>
      </c>
      <c r="F209" t="s">
        <v>60</v>
      </c>
      <c r="I209" t="s">
        <v>7098</v>
      </c>
      <c r="J20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887</v>
      </c>
      <c r="E210" t="s">
        <v>86</v>
      </c>
      <c r="F210" t="s">
        <v>60</v>
      </c>
      <c r="H210" t="s">
        <v>2352</v>
      </c>
      <c r="I210" t="s">
        <v>7101</v>
      </c>
      <c r="J210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887</v>
      </c>
      <c r="E211" t="s">
        <v>86</v>
      </c>
      <c r="F211" t="s">
        <v>60</v>
      </c>
      <c r="H211" t="s">
        <v>2352</v>
      </c>
      <c r="I211" t="s">
        <v>7104</v>
      </c>
      <c r="J211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887</v>
      </c>
      <c r="E212" t="s">
        <v>3412</v>
      </c>
      <c r="F212" t="s">
        <v>60</v>
      </c>
      <c r="I212" t="s">
        <v>7107</v>
      </c>
      <c r="J212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887</v>
      </c>
      <c r="E213" t="s">
        <v>3412</v>
      </c>
      <c r="F213" t="s">
        <v>60</v>
      </c>
      <c r="H213" t="s">
        <v>2352</v>
      </c>
      <c r="I213" t="s">
        <v>7110</v>
      </c>
      <c r="J213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887</v>
      </c>
      <c r="E214" t="s">
        <v>3412</v>
      </c>
      <c r="F214" t="s">
        <v>60</v>
      </c>
      <c r="H214" t="s">
        <v>2352</v>
      </c>
      <c r="I214" t="s">
        <v>7113</v>
      </c>
      <c r="J214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7116</v>
      </c>
      <c r="J215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6439</v>
      </c>
      <c r="I216" t="s">
        <v>7119</v>
      </c>
      <c r="J216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6439</v>
      </c>
      <c r="I217" t="s">
        <v>7122</v>
      </c>
      <c r="J217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7125</v>
      </c>
      <c r="J21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6439</v>
      </c>
      <c r="I219" t="s">
        <v>7398</v>
      </c>
      <c r="J21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6439</v>
      </c>
      <c r="H220" t="s">
        <v>2352</v>
      </c>
      <c r="I220" t="s">
        <v>7401</v>
      </c>
      <c r="J220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6439</v>
      </c>
      <c r="H221" t="s">
        <v>2352</v>
      </c>
      <c r="I221" t="s">
        <v>7404</v>
      </c>
      <c r="J221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887</v>
      </c>
      <c r="E222" t="s">
        <v>3412</v>
      </c>
      <c r="F222" t="s">
        <v>60</v>
      </c>
      <c r="I222" t="s">
        <v>7491</v>
      </c>
      <c r="J222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6439</v>
      </c>
      <c r="I223" t="s">
        <v>7494</v>
      </c>
      <c r="J223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6439</v>
      </c>
      <c r="I224" t="s">
        <v>7497</v>
      </c>
      <c r="J224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6439</v>
      </c>
      <c r="I225" t="s">
        <v>7500</v>
      </c>
      <c r="J225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6439</v>
      </c>
      <c r="I226" t="s">
        <v>7503</v>
      </c>
      <c r="J226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7506</v>
      </c>
      <c r="J227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6439</v>
      </c>
      <c r="I228" t="s">
        <v>7701</v>
      </c>
      <c r="J22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6439</v>
      </c>
      <c r="I229" t="s">
        <v>7704</v>
      </c>
      <c r="J22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6439</v>
      </c>
      <c r="I230" t="s">
        <v>7707</v>
      </c>
      <c r="J230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7887</v>
      </c>
      <c r="I231" t="s">
        <v>7747</v>
      </c>
      <c r="J231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7887</v>
      </c>
      <c r="I232" t="s">
        <v>7750</v>
      </c>
      <c r="J232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7887</v>
      </c>
      <c r="I233" t="s">
        <v>7753</v>
      </c>
      <c r="J233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7887</v>
      </c>
      <c r="I234" t="s">
        <v>7756</v>
      </c>
      <c r="J234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7887</v>
      </c>
      <c r="I235" t="s">
        <v>7759</v>
      </c>
      <c r="J235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7887</v>
      </c>
      <c r="I236" t="s">
        <v>7940</v>
      </c>
      <c r="J236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7887</v>
      </c>
      <c r="I237" t="s">
        <v>7943</v>
      </c>
      <c r="J237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7887</v>
      </c>
      <c r="I238" t="s">
        <v>7946</v>
      </c>
      <c r="J23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7887</v>
      </c>
      <c r="I239" t="s">
        <v>7949</v>
      </c>
      <c r="J23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7952</v>
      </c>
      <c r="J240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227</v>
      </c>
      <c r="E241" t="s">
        <v>86</v>
      </c>
      <c r="F241" t="s">
        <v>60</v>
      </c>
      <c r="G241">
        <v>2</v>
      </c>
      <c r="H241" t="s">
        <v>8158</v>
      </c>
      <c r="I241" t="s">
        <v>8128</v>
      </c>
      <c r="J241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227</v>
      </c>
      <c r="E242" t="s">
        <v>86</v>
      </c>
      <c r="F242" t="s">
        <v>60</v>
      </c>
      <c r="G242">
        <v>4</v>
      </c>
      <c r="I242" t="s">
        <v>8131</v>
      </c>
      <c r="J242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227</v>
      </c>
      <c r="E243" t="s">
        <v>86</v>
      </c>
      <c r="F243" t="s">
        <v>60</v>
      </c>
      <c r="G243">
        <v>3</v>
      </c>
      <c r="I243" t="s">
        <v>8137</v>
      </c>
      <c r="J243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227</v>
      </c>
      <c r="E244" t="s">
        <v>86</v>
      </c>
      <c r="F244" t="s">
        <v>60</v>
      </c>
      <c r="G244">
        <v>4</v>
      </c>
      <c r="I244" t="s">
        <v>8140</v>
      </c>
      <c r="J244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227</v>
      </c>
      <c r="E245" t="s">
        <v>86</v>
      </c>
      <c r="F245" t="s">
        <v>60</v>
      </c>
      <c r="G245">
        <v>3</v>
      </c>
      <c r="I245" t="s">
        <v>8143</v>
      </c>
      <c r="J245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227</v>
      </c>
      <c r="E246" t="s">
        <v>86</v>
      </c>
      <c r="F246" t="s">
        <v>60</v>
      </c>
      <c r="H246" t="s">
        <v>2352</v>
      </c>
      <c r="I246" t="s">
        <v>8146</v>
      </c>
      <c r="J246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227</v>
      </c>
      <c r="E247" t="s">
        <v>86</v>
      </c>
      <c r="F247" t="s">
        <v>60</v>
      </c>
      <c r="G247">
        <v>1</v>
      </c>
      <c r="I247" t="s">
        <v>8149</v>
      </c>
      <c r="J247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227</v>
      </c>
      <c r="E248" t="s">
        <v>86</v>
      </c>
      <c r="F248" t="s">
        <v>60</v>
      </c>
      <c r="G248">
        <v>3</v>
      </c>
      <c r="I248" t="s">
        <v>8152</v>
      </c>
      <c r="J24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227</v>
      </c>
      <c r="E249" t="s">
        <v>86</v>
      </c>
      <c r="F249" t="s">
        <v>60</v>
      </c>
      <c r="G249">
        <v>3</v>
      </c>
      <c r="I249" t="s">
        <v>8155</v>
      </c>
      <c r="J24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227</v>
      </c>
      <c r="E250" t="s">
        <v>86</v>
      </c>
      <c r="F250" t="s">
        <v>60</v>
      </c>
      <c r="G250">
        <v>2</v>
      </c>
      <c r="I250" t="s">
        <v>8159</v>
      </c>
      <c r="J250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227</v>
      </c>
      <c r="E251" t="s">
        <v>86</v>
      </c>
      <c r="F251" t="s">
        <v>60</v>
      </c>
      <c r="G251">
        <v>3</v>
      </c>
      <c r="I251" t="s">
        <v>8162</v>
      </c>
      <c r="J251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227</v>
      </c>
      <c r="E252" t="s">
        <v>86</v>
      </c>
      <c r="F252" t="s">
        <v>60</v>
      </c>
      <c r="H252" t="s">
        <v>2352</v>
      </c>
      <c r="I252" t="s">
        <v>8165</v>
      </c>
      <c r="J252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227</v>
      </c>
      <c r="E253" t="s">
        <v>86</v>
      </c>
      <c r="F253" t="s">
        <v>60</v>
      </c>
      <c r="G253">
        <v>2</v>
      </c>
      <c r="I253" t="s">
        <v>8168</v>
      </c>
      <c r="J253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227</v>
      </c>
      <c r="E254" t="s">
        <v>86</v>
      </c>
      <c r="F254" t="s">
        <v>60</v>
      </c>
      <c r="G254">
        <v>4</v>
      </c>
      <c r="I254" t="s">
        <v>8171</v>
      </c>
      <c r="J254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227</v>
      </c>
      <c r="E255" t="s">
        <v>86</v>
      </c>
      <c r="F255" t="s">
        <v>60</v>
      </c>
      <c r="G255">
        <v>1</v>
      </c>
      <c r="I255" t="s">
        <v>8174</v>
      </c>
      <c r="J255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227</v>
      </c>
      <c r="E256" t="s">
        <v>86</v>
      </c>
      <c r="F256" t="s">
        <v>60</v>
      </c>
      <c r="G256">
        <v>3</v>
      </c>
      <c r="I256" t="s">
        <v>8177</v>
      </c>
      <c r="J256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227</v>
      </c>
      <c r="E257" t="s">
        <v>86</v>
      </c>
      <c r="F257" t="s">
        <v>60</v>
      </c>
      <c r="G257">
        <v>3</v>
      </c>
      <c r="I257" t="s">
        <v>8180</v>
      </c>
      <c r="J257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227</v>
      </c>
      <c r="E258" t="s">
        <v>86</v>
      </c>
      <c r="F258" t="s">
        <v>60</v>
      </c>
      <c r="G258">
        <v>2</v>
      </c>
      <c r="I258" t="s">
        <v>8183</v>
      </c>
      <c r="J25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227</v>
      </c>
      <c r="E259" t="s">
        <v>86</v>
      </c>
      <c r="F259" t="s">
        <v>60</v>
      </c>
      <c r="G259">
        <v>2</v>
      </c>
      <c r="I259" t="s">
        <v>8186</v>
      </c>
      <c r="J25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227</v>
      </c>
      <c r="E260" t="s">
        <v>86</v>
      </c>
      <c r="F260" t="s">
        <v>60</v>
      </c>
      <c r="G260">
        <v>3</v>
      </c>
      <c r="I260" t="s">
        <v>8189</v>
      </c>
      <c r="J260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227</v>
      </c>
      <c r="E261" t="s">
        <v>86</v>
      </c>
      <c r="F261" t="s">
        <v>60</v>
      </c>
      <c r="G261">
        <v>2</v>
      </c>
      <c r="I261" t="s">
        <v>8192</v>
      </c>
      <c r="J261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227</v>
      </c>
      <c r="E262" t="s">
        <v>86</v>
      </c>
      <c r="F262" t="s">
        <v>60</v>
      </c>
      <c r="G262">
        <v>2</v>
      </c>
      <c r="I262" t="s">
        <v>8195</v>
      </c>
      <c r="J262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227</v>
      </c>
      <c r="E263" t="s">
        <v>86</v>
      </c>
      <c r="F263" t="s">
        <v>60</v>
      </c>
      <c r="G263">
        <v>3</v>
      </c>
      <c r="I263" t="s">
        <v>8198</v>
      </c>
      <c r="J263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227</v>
      </c>
      <c r="E264" t="s">
        <v>86</v>
      </c>
      <c r="F264" t="s">
        <v>60</v>
      </c>
      <c r="H264" t="s">
        <v>2352</v>
      </c>
      <c r="I264" t="s">
        <v>8201</v>
      </c>
      <c r="J264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227</v>
      </c>
      <c r="E265" t="s">
        <v>86</v>
      </c>
      <c r="F265" t="s">
        <v>60</v>
      </c>
      <c r="G265">
        <v>4</v>
      </c>
      <c r="I265" t="s">
        <v>8204</v>
      </c>
      <c r="J265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227</v>
      </c>
      <c r="E266" t="s">
        <v>86</v>
      </c>
      <c r="F266" t="s">
        <v>60</v>
      </c>
      <c r="G266">
        <v>3</v>
      </c>
      <c r="I266" t="s">
        <v>8207</v>
      </c>
      <c r="J266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227</v>
      </c>
      <c r="E267" t="s">
        <v>86</v>
      </c>
      <c r="F267" t="s">
        <v>60</v>
      </c>
      <c r="G267">
        <v>3</v>
      </c>
      <c r="I267" t="s">
        <v>8210</v>
      </c>
      <c r="J267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227</v>
      </c>
      <c r="E268" t="s">
        <v>86</v>
      </c>
      <c r="F268" t="s">
        <v>60</v>
      </c>
      <c r="G268">
        <v>2</v>
      </c>
      <c r="I268" t="s">
        <v>8213</v>
      </c>
      <c r="J26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227</v>
      </c>
      <c r="E269" t="s">
        <v>86</v>
      </c>
      <c r="F269" t="s">
        <v>60</v>
      </c>
      <c r="G269">
        <v>2</v>
      </c>
      <c r="H269" t="s">
        <v>8295</v>
      </c>
      <c r="I269" t="s">
        <v>8229</v>
      </c>
      <c r="J26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227</v>
      </c>
      <c r="E270" t="s">
        <v>86</v>
      </c>
      <c r="F270" t="s">
        <v>60</v>
      </c>
      <c r="G270">
        <v>3</v>
      </c>
      <c r="H270" t="s">
        <v>8295</v>
      </c>
      <c r="I270" t="s">
        <v>8232</v>
      </c>
      <c r="J270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227</v>
      </c>
      <c r="E271" t="s">
        <v>86</v>
      </c>
      <c r="F271" t="s">
        <v>60</v>
      </c>
      <c r="G271">
        <v>3</v>
      </c>
      <c r="H271" t="s">
        <v>8295</v>
      </c>
      <c r="I271" t="s">
        <v>8235</v>
      </c>
      <c r="J271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227</v>
      </c>
      <c r="E272" t="s">
        <v>86</v>
      </c>
      <c r="F272" t="s">
        <v>60</v>
      </c>
      <c r="G272">
        <v>4</v>
      </c>
      <c r="H272" t="s">
        <v>8295</v>
      </c>
      <c r="I272" t="s">
        <v>8238</v>
      </c>
      <c r="J272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227</v>
      </c>
      <c r="E273" t="s">
        <v>86</v>
      </c>
      <c r="F273" t="s">
        <v>60</v>
      </c>
      <c r="G273">
        <v>4</v>
      </c>
      <c r="H273" t="s">
        <v>8295</v>
      </c>
      <c r="I273" t="s">
        <v>8241</v>
      </c>
      <c r="J273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227</v>
      </c>
      <c r="E274" t="s">
        <v>86</v>
      </c>
      <c r="F274" t="s">
        <v>60</v>
      </c>
      <c r="G274">
        <v>4</v>
      </c>
      <c r="H274" t="s">
        <v>8295</v>
      </c>
      <c r="I274" t="s">
        <v>8244</v>
      </c>
      <c r="J274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227</v>
      </c>
      <c r="E275" t="s">
        <v>86</v>
      </c>
      <c r="F275" t="s">
        <v>60</v>
      </c>
      <c r="G275">
        <v>5</v>
      </c>
      <c r="H275" t="s">
        <v>8295</v>
      </c>
      <c r="I275" t="s">
        <v>8247</v>
      </c>
      <c r="J275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227</v>
      </c>
      <c r="E276" t="s">
        <v>86</v>
      </c>
      <c r="F276" t="s">
        <v>60</v>
      </c>
      <c r="G276">
        <v>2</v>
      </c>
      <c r="H276" t="s">
        <v>8295</v>
      </c>
      <c r="I276" t="s">
        <v>8250</v>
      </c>
      <c r="J276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227</v>
      </c>
      <c r="E277" t="s">
        <v>86</v>
      </c>
      <c r="F277" t="s">
        <v>60</v>
      </c>
      <c r="G277">
        <v>3</v>
      </c>
      <c r="H277" t="s">
        <v>8295</v>
      </c>
      <c r="I277" t="s">
        <v>8253</v>
      </c>
      <c r="J277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227</v>
      </c>
      <c r="E278" t="s">
        <v>86</v>
      </c>
      <c r="F278" t="s">
        <v>60</v>
      </c>
      <c r="G278">
        <v>3</v>
      </c>
      <c r="H278" t="s">
        <v>8295</v>
      </c>
      <c r="I278" t="s">
        <v>8256</v>
      </c>
      <c r="J27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227</v>
      </c>
      <c r="E279" t="s">
        <v>86</v>
      </c>
      <c r="F279" t="s">
        <v>60</v>
      </c>
      <c r="G279">
        <v>3</v>
      </c>
      <c r="H279" t="s">
        <v>8295</v>
      </c>
      <c r="I279" t="s">
        <v>8259</v>
      </c>
      <c r="J27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227</v>
      </c>
      <c r="E280" t="s">
        <v>86</v>
      </c>
      <c r="F280" t="s">
        <v>60</v>
      </c>
      <c r="G280">
        <v>2</v>
      </c>
      <c r="H280" t="s">
        <v>8295</v>
      </c>
      <c r="I280" t="s">
        <v>8262</v>
      </c>
      <c r="J280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227</v>
      </c>
      <c r="E281" t="s">
        <v>86</v>
      </c>
      <c r="F281" t="s">
        <v>60</v>
      </c>
      <c r="G281">
        <v>2</v>
      </c>
      <c r="H281" t="s">
        <v>8295</v>
      </c>
      <c r="I281" t="s">
        <v>8265</v>
      </c>
      <c r="J281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227</v>
      </c>
      <c r="E282" t="s">
        <v>86</v>
      </c>
      <c r="F282" t="s">
        <v>60</v>
      </c>
      <c r="G282">
        <v>3</v>
      </c>
      <c r="H282" t="s">
        <v>8295</v>
      </c>
      <c r="I282" t="s">
        <v>8268</v>
      </c>
      <c r="J282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227</v>
      </c>
      <c r="E283" t="s">
        <v>86</v>
      </c>
      <c r="F283" t="s">
        <v>60</v>
      </c>
      <c r="G283">
        <v>3</v>
      </c>
      <c r="H283" t="s">
        <v>8295</v>
      </c>
      <c r="I283" t="s">
        <v>8271</v>
      </c>
      <c r="J283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227</v>
      </c>
      <c r="E284" t="s">
        <v>86</v>
      </c>
      <c r="F284" t="s">
        <v>60</v>
      </c>
      <c r="G284">
        <v>3</v>
      </c>
      <c r="H284" t="s">
        <v>8295</v>
      </c>
      <c r="I284" t="s">
        <v>8274</v>
      </c>
      <c r="J284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227</v>
      </c>
      <c r="E285" t="s">
        <v>86</v>
      </c>
      <c r="F285" t="s">
        <v>60</v>
      </c>
      <c r="G285">
        <v>2</v>
      </c>
      <c r="H285" t="s">
        <v>8295</v>
      </c>
      <c r="I285" t="s">
        <v>8277</v>
      </c>
      <c r="J285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227</v>
      </c>
      <c r="E286" t="s">
        <v>86</v>
      </c>
      <c r="F286" t="s">
        <v>60</v>
      </c>
      <c r="G286">
        <v>2</v>
      </c>
      <c r="H286" t="s">
        <v>8295</v>
      </c>
      <c r="I286" t="s">
        <v>8280</v>
      </c>
      <c r="J286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227</v>
      </c>
      <c r="E287" t="s">
        <v>86</v>
      </c>
      <c r="F287" t="s">
        <v>60</v>
      </c>
      <c r="G287">
        <v>2</v>
      </c>
      <c r="H287" t="s">
        <v>8295</v>
      </c>
      <c r="I287" t="s">
        <v>8283</v>
      </c>
      <c r="J287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8296</v>
      </c>
      <c r="E288" t="s">
        <v>86</v>
      </c>
      <c r="F288" t="s">
        <v>8119</v>
      </c>
      <c r="G288">
        <v>1</v>
      </c>
      <c r="H288" t="s">
        <v>8297</v>
      </c>
      <c r="I288" t="s">
        <v>8286</v>
      </c>
      <c r="J28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7887</v>
      </c>
      <c r="I289" t="s">
        <v>8289</v>
      </c>
      <c r="J28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2348</v>
      </c>
      <c r="I290" t="s">
        <v>8292</v>
      </c>
      <c r="J290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1607</v>
      </c>
      <c r="E291" t="s">
        <v>8</v>
      </c>
      <c r="I291" t="s">
        <v>8417</v>
      </c>
      <c r="J291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1607</v>
      </c>
      <c r="E292" t="s">
        <v>8</v>
      </c>
      <c r="I292" t="s">
        <v>8420</v>
      </c>
      <c r="J292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2348</v>
      </c>
      <c r="I293" t="s">
        <v>8456</v>
      </c>
      <c r="J293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8520</v>
      </c>
      <c r="I294" t="s">
        <v>8459</v>
      </c>
      <c r="J294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7887</v>
      </c>
      <c r="I295" t="s">
        <v>8591</v>
      </c>
      <c r="J295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8717</v>
      </c>
      <c r="I296" t="s">
        <v>8594</v>
      </c>
      <c r="J296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2348</v>
      </c>
      <c r="I297" t="s">
        <v>8597</v>
      </c>
      <c r="J297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7887</v>
      </c>
      <c r="I298" t="s">
        <v>8600</v>
      </c>
      <c r="J29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7887</v>
      </c>
      <c r="I299" t="s">
        <v>8603</v>
      </c>
      <c r="J29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6439</v>
      </c>
      <c r="I300" t="s">
        <v>8738</v>
      </c>
      <c r="J300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6439</v>
      </c>
      <c r="I301" t="s">
        <v>8741</v>
      </c>
      <c r="J301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8858</v>
      </c>
      <c r="J302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587</v>
      </c>
      <c r="E303" t="s">
        <v>8913</v>
      </c>
      <c r="H303" t="s">
        <v>8914</v>
      </c>
      <c r="I303" t="s">
        <v>8861</v>
      </c>
      <c r="J303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7887</v>
      </c>
      <c r="I304" t="s">
        <v>8864</v>
      </c>
      <c r="J304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7887</v>
      </c>
      <c r="I305" t="s">
        <v>8940</v>
      </c>
      <c r="J305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7887</v>
      </c>
      <c r="I306" t="s">
        <v>8943</v>
      </c>
      <c r="J306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7887</v>
      </c>
      <c r="I307" t="s">
        <v>8946</v>
      </c>
      <c r="J307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7887</v>
      </c>
      <c r="I308" t="s">
        <v>8949</v>
      </c>
      <c r="J30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9275</v>
      </c>
      <c r="J30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9303</v>
      </c>
      <c r="I310" t="s">
        <v>9278</v>
      </c>
      <c r="J310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9281</v>
      </c>
      <c r="J311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1607</v>
      </c>
      <c r="E312" t="s">
        <v>8</v>
      </c>
      <c r="I312" t="s">
        <v>9338</v>
      </c>
      <c r="J312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2348</v>
      </c>
      <c r="I313" t="s">
        <v>9341</v>
      </c>
      <c r="J313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2348</v>
      </c>
      <c r="I314" t="s">
        <v>9542</v>
      </c>
      <c r="J314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4921</v>
      </c>
      <c r="E315" t="s">
        <v>9597</v>
      </c>
      <c r="I315" t="s">
        <v>9545</v>
      </c>
      <c r="J315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9597</v>
      </c>
      <c r="I316" t="s">
        <v>9548</v>
      </c>
      <c r="J316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9597</v>
      </c>
      <c r="I317" t="s">
        <v>9551</v>
      </c>
      <c r="J317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9554</v>
      </c>
      <c r="J31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3358</v>
      </c>
      <c r="I319" t="s">
        <v>9557</v>
      </c>
      <c r="J31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3358</v>
      </c>
      <c r="I320" t="s">
        <v>9560</v>
      </c>
      <c r="J320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9563</v>
      </c>
      <c r="J321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9566</v>
      </c>
      <c r="J322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9569</v>
      </c>
      <c r="J323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588</v>
      </c>
      <c r="E324" t="s">
        <v>86</v>
      </c>
      <c r="I324" t="s">
        <v>9634</v>
      </c>
      <c r="J324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9596</v>
      </c>
      <c r="E325" t="s">
        <v>9653</v>
      </c>
      <c r="I325" t="s">
        <v>9637</v>
      </c>
      <c r="J325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9653</v>
      </c>
      <c r="I326" t="s">
        <v>9640</v>
      </c>
      <c r="J326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1607</v>
      </c>
      <c r="E327" t="s">
        <v>8</v>
      </c>
      <c r="I327" t="s">
        <v>9667</v>
      </c>
      <c r="J327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8528</v>
      </c>
      <c r="I328" t="s">
        <v>9679</v>
      </c>
      <c r="J32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588</v>
      </c>
      <c r="E329" t="s">
        <v>86</v>
      </c>
      <c r="I329" t="s">
        <v>9829</v>
      </c>
      <c r="J32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10015</v>
      </c>
      <c r="E330" t="s">
        <v>86</v>
      </c>
      <c r="I330" t="s">
        <v>9832</v>
      </c>
      <c r="J330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9600</v>
      </c>
      <c r="I331" t="s">
        <v>9835</v>
      </c>
      <c r="J331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9596</v>
      </c>
      <c r="E332" t="s">
        <v>10016</v>
      </c>
      <c r="I332" t="s">
        <v>9838</v>
      </c>
      <c r="J332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10016</v>
      </c>
      <c r="F333" t="s">
        <v>10017</v>
      </c>
      <c r="H333" t="s">
        <v>10018</v>
      </c>
      <c r="I333" t="s">
        <v>9841</v>
      </c>
      <c r="J333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3358</v>
      </c>
      <c r="I334" t="s">
        <v>9844</v>
      </c>
      <c r="J334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10019</v>
      </c>
      <c r="E335" t="s">
        <v>86</v>
      </c>
      <c r="I335" t="s">
        <v>9847</v>
      </c>
      <c r="J335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588</v>
      </c>
      <c r="E336" t="s">
        <v>86</v>
      </c>
      <c r="I336" t="s">
        <v>10067</v>
      </c>
      <c r="J336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3358</v>
      </c>
      <c r="I337" t="s">
        <v>10070</v>
      </c>
      <c r="J337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4921</v>
      </c>
      <c r="E338" t="s">
        <v>3358</v>
      </c>
      <c r="I338" t="s">
        <v>10073</v>
      </c>
      <c r="J33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10132</v>
      </c>
      <c r="I339" t="s">
        <v>10076</v>
      </c>
      <c r="J33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10130</v>
      </c>
      <c r="H340" t="s">
        <v>10131</v>
      </c>
      <c r="I340" t="s">
        <v>10079</v>
      </c>
      <c r="J340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10238</v>
      </c>
      <c r="E341" t="s">
        <v>10132</v>
      </c>
      <c r="I341" t="s">
        <v>10164</v>
      </c>
      <c r="J341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10167</v>
      </c>
      <c r="J342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4921</v>
      </c>
      <c r="E343" t="s">
        <v>10416</v>
      </c>
      <c r="I343" t="s">
        <v>10355</v>
      </c>
      <c r="J343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10358</v>
      </c>
      <c r="J344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1607</v>
      </c>
      <c r="E345" t="s">
        <v>8</v>
      </c>
      <c r="I345" t="s">
        <v>10361</v>
      </c>
      <c r="J345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226</v>
      </c>
      <c r="E346" t="s">
        <v>10565</v>
      </c>
      <c r="F346" t="s">
        <v>586</v>
      </c>
      <c r="I346" t="s">
        <v>10436</v>
      </c>
      <c r="J346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226</v>
      </c>
      <c r="E347" t="s">
        <v>10565</v>
      </c>
      <c r="F347" t="s">
        <v>586</v>
      </c>
      <c r="H347" t="s">
        <v>2352</v>
      </c>
      <c r="I347" t="s">
        <v>10439</v>
      </c>
      <c r="J347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226</v>
      </c>
      <c r="E348" t="s">
        <v>10565</v>
      </c>
      <c r="F348" t="s">
        <v>586</v>
      </c>
      <c r="H348" t="s">
        <v>2352</v>
      </c>
      <c r="I348" t="s">
        <v>10442</v>
      </c>
      <c r="J34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10567</v>
      </c>
      <c r="E349" t="s">
        <v>10565</v>
      </c>
      <c r="F349" t="s">
        <v>586</v>
      </c>
      <c r="I349" t="s">
        <v>10445</v>
      </c>
      <c r="J34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10568</v>
      </c>
      <c r="E350" t="s">
        <v>10566</v>
      </c>
      <c r="F350" t="s">
        <v>51</v>
      </c>
      <c r="I350" t="s">
        <v>10448</v>
      </c>
      <c r="J350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10569</v>
      </c>
      <c r="I351" t="s">
        <v>10451</v>
      </c>
      <c r="J351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10570</v>
      </c>
      <c r="E352" t="s">
        <v>10566</v>
      </c>
      <c r="F352" t="s">
        <v>586</v>
      </c>
      <c r="I352" t="s">
        <v>10454</v>
      </c>
      <c r="J352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10570</v>
      </c>
      <c r="E353" t="s">
        <v>10565</v>
      </c>
      <c r="F353" t="s">
        <v>586</v>
      </c>
      <c r="I353" t="s">
        <v>10457</v>
      </c>
      <c r="J353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11077</v>
      </c>
      <c r="I354" t="s">
        <v>10695</v>
      </c>
      <c r="J354" t="s">
        <v>2394</v>
      </c>
      <c r="K354" t="s">
        <v>10696</v>
      </c>
      <c r="L354" t="s">
        <v>10697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587</v>
      </c>
      <c r="E355" t="s">
        <v>11077</v>
      </c>
      <c r="I355" t="s">
        <v>10698</v>
      </c>
      <c r="J355" t="s">
        <v>2394</v>
      </c>
      <c r="K355" t="s">
        <v>10699</v>
      </c>
      <c r="L355" t="s">
        <v>10700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11078</v>
      </c>
      <c r="I356" t="s">
        <v>10701</v>
      </c>
      <c r="J356" t="s">
        <v>2394</v>
      </c>
      <c r="K356" t="s">
        <v>10702</v>
      </c>
      <c r="L356" t="s">
        <v>10703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11078</v>
      </c>
      <c r="I357" t="s">
        <v>10704</v>
      </c>
      <c r="J357" t="s">
        <v>2394</v>
      </c>
      <c r="K357" t="s">
        <v>10705</v>
      </c>
      <c r="L357" t="s">
        <v>10706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10707</v>
      </c>
      <c r="J358" t="s">
        <v>2394</v>
      </c>
      <c r="K358" t="s">
        <v>10708</v>
      </c>
      <c r="L358" t="s">
        <v>10709</v>
      </c>
      <c r="M358" s="2" t="str">
        <f>HYPERLINK(склад2въезд1319[[#This Row],[RelativePath]])</f>
        <v>5 Крыльцо общага\K07156189_22_20260225T172728Z.jpg</v>
      </c>
    </row>
  </sheetData>
  <conditionalFormatting sqref="E359:E372 D359:D369 G2:H358 D2:E358">
    <cfRule type="containsText" dxfId="967" priority="17" operator="containsText" text="Выезд с территории">
      <formula>NOT(ISERROR(SEARCH("Выезд с территории",D2)))</formula>
    </cfRule>
  </conditionalFormatting>
  <conditionalFormatting sqref="F2:F358">
    <cfRule type="notContainsText" dxfId="966" priority="16" operator="notContains" text="порожний">
      <formula>ISERROR(SEARCH("порожний",F2))</formula>
    </cfRule>
  </conditionalFormatting>
  <conditionalFormatting sqref="E2:E372">
    <cfRule type="containsText" dxfId="965" priority="14" operator="containsText" text="Газель базы">
      <formula>NOT(ISERROR(SEARCH("Газель базы",E2)))</formula>
    </cfRule>
    <cfRule type="containsText" dxfId="964" priority="15" operator="containsText" text="Погрузчик базы">
      <formula>NOT(ISERROR(SEARCH("Погрузчик базы",E2)))</formula>
    </cfRule>
  </conditionalFormatting>
  <conditionalFormatting sqref="E2:E372">
    <cfRule type="containsText" dxfId="963" priority="13" operator="containsText" text="Трактор базы">
      <formula>NOT(ISERROR(SEARCH("Трактор базы",E2)))</formula>
    </cfRule>
  </conditionalFormatting>
  <conditionalFormatting sqref="A2:C358">
    <cfRule type="expression" dxfId="962" priority="12">
      <formula>$A2="пн"</formula>
    </cfRule>
  </conditionalFormatting>
  <conditionalFormatting sqref="A2:C360">
    <cfRule type="expression" dxfId="961" priority="6">
      <formula>$A2="вс"</formula>
    </cfRule>
    <cfRule type="expression" dxfId="960" priority="7">
      <formula>$A2="сб"</formula>
    </cfRule>
    <cfRule type="expression" dxfId="959" priority="8">
      <formula>$A2="пт"</formula>
    </cfRule>
    <cfRule type="expression" dxfId="958" priority="9">
      <formula>$A2="чт"</formula>
    </cfRule>
    <cfRule type="expression" dxfId="957" priority="10">
      <formula>$A2="ср"</formula>
    </cfRule>
    <cfRule type="expression" dxfId="956" priority="11">
      <formula>$A2="вт"</formula>
    </cfRule>
  </conditionalFormatting>
  <conditionalFormatting sqref="D2:D369">
    <cfRule type="containsText" dxfId="95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9">
    <cfRule type="containsText" dxfId="954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204"/>
  <sheetViews>
    <sheetView zoomScale="90" zoomScaleNormal="90" workbookViewId="0">
      <pane ySplit="1" topLeftCell="A192" activePane="bottomLeft" state="frozen"/>
      <selection pane="bottomLeft" activeCell="I199" sqref="I199:I20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2.140625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417</v>
      </c>
      <c r="J2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420</v>
      </c>
      <c r="J3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423</v>
      </c>
      <c r="J4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226</v>
      </c>
      <c r="E5" t="s">
        <v>86</v>
      </c>
      <c r="F5" t="s">
        <v>465</v>
      </c>
      <c r="I5" t="s">
        <v>426</v>
      </c>
      <c r="J5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465</v>
      </c>
      <c r="I6" t="s">
        <v>429</v>
      </c>
      <c r="J6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432</v>
      </c>
      <c r="J7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435</v>
      </c>
      <c r="J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466</v>
      </c>
      <c r="I9" t="s">
        <v>438</v>
      </c>
      <c r="J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441</v>
      </c>
      <c r="J10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444</v>
      </c>
      <c r="J11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226</v>
      </c>
      <c r="E12" t="s">
        <v>86</v>
      </c>
      <c r="F12" t="s">
        <v>467</v>
      </c>
      <c r="I12" t="s">
        <v>447</v>
      </c>
      <c r="J12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226</v>
      </c>
      <c r="E13" t="s">
        <v>86</v>
      </c>
      <c r="F13" t="s">
        <v>467</v>
      </c>
      <c r="I13" t="s">
        <v>450</v>
      </c>
      <c r="J13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470</v>
      </c>
      <c r="E14" t="s">
        <v>468</v>
      </c>
      <c r="F14" t="s">
        <v>471</v>
      </c>
      <c r="I14" t="s">
        <v>453</v>
      </c>
      <c r="J14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226</v>
      </c>
      <c r="E15" t="s">
        <v>86</v>
      </c>
      <c r="F15" t="s">
        <v>469</v>
      </c>
      <c r="I15" t="s">
        <v>456</v>
      </c>
      <c r="J15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226</v>
      </c>
      <c r="E16" t="s">
        <v>86</v>
      </c>
      <c r="F16" t="s">
        <v>469</v>
      </c>
      <c r="I16" t="s">
        <v>459</v>
      </c>
      <c r="J16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462</v>
      </c>
      <c r="J17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1612</v>
      </c>
      <c r="I18" t="s">
        <v>1618</v>
      </c>
      <c r="J1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1607</v>
      </c>
      <c r="I19" t="s">
        <v>1621</v>
      </c>
      <c r="J1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1607</v>
      </c>
      <c r="I20" t="s">
        <v>1624</v>
      </c>
      <c r="J20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1607</v>
      </c>
      <c r="I21" t="s">
        <v>1702</v>
      </c>
      <c r="J21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2348</v>
      </c>
      <c r="I22" t="s">
        <v>2350</v>
      </c>
      <c r="J22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1607</v>
      </c>
      <c r="I23" t="s">
        <v>1705</v>
      </c>
      <c r="J23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1607</v>
      </c>
      <c r="I24" t="s">
        <v>1708</v>
      </c>
      <c r="J24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1607</v>
      </c>
      <c r="I25" t="s">
        <v>1711</v>
      </c>
      <c r="J25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1607</v>
      </c>
      <c r="I26" t="s">
        <v>1714</v>
      </c>
      <c r="J26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1607</v>
      </c>
      <c r="I27" t="s">
        <v>1717</v>
      </c>
      <c r="J27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2679</v>
      </c>
      <c r="J2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3371</v>
      </c>
      <c r="J2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2682</v>
      </c>
      <c r="J30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3374</v>
      </c>
      <c r="E31" t="s">
        <v>3375</v>
      </c>
      <c r="I31" t="s">
        <v>2685</v>
      </c>
      <c r="J31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3374</v>
      </c>
      <c r="E32" t="s">
        <v>3375</v>
      </c>
      <c r="H32" t="s">
        <v>2352</v>
      </c>
      <c r="I32" t="s">
        <v>2688</v>
      </c>
      <c r="J32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3374</v>
      </c>
      <c r="E33" t="s">
        <v>3375</v>
      </c>
      <c r="H33" t="s">
        <v>2352</v>
      </c>
      <c r="I33" t="s">
        <v>2691</v>
      </c>
      <c r="J33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3374</v>
      </c>
      <c r="E34" t="s">
        <v>3375</v>
      </c>
      <c r="H34" t="s">
        <v>2352</v>
      </c>
      <c r="I34" t="s">
        <v>2694</v>
      </c>
      <c r="J34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3374</v>
      </c>
      <c r="E35" t="s">
        <v>3375</v>
      </c>
      <c r="H35" t="s">
        <v>2352</v>
      </c>
      <c r="I35" t="s">
        <v>2697</v>
      </c>
      <c r="J35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3374</v>
      </c>
      <c r="E36" t="s">
        <v>3375</v>
      </c>
      <c r="H36" t="s">
        <v>2352</v>
      </c>
      <c r="I36" t="s">
        <v>2700</v>
      </c>
      <c r="J36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3374</v>
      </c>
      <c r="E37" t="s">
        <v>3375</v>
      </c>
      <c r="H37" t="s">
        <v>2352</v>
      </c>
      <c r="I37" t="s">
        <v>2703</v>
      </c>
      <c r="J37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3374</v>
      </c>
      <c r="E38" t="s">
        <v>3375</v>
      </c>
      <c r="H38" t="s">
        <v>2352</v>
      </c>
      <c r="I38" t="s">
        <v>2706</v>
      </c>
      <c r="J3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3374</v>
      </c>
      <c r="E39" t="s">
        <v>3375</v>
      </c>
      <c r="H39" t="s">
        <v>2352</v>
      </c>
      <c r="I39" t="s">
        <v>2709</v>
      </c>
      <c r="J3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3374</v>
      </c>
      <c r="E40" t="s">
        <v>3375</v>
      </c>
      <c r="H40" t="s">
        <v>2352</v>
      </c>
      <c r="I40" t="s">
        <v>2712</v>
      </c>
      <c r="J40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3374</v>
      </c>
      <c r="E41" t="s">
        <v>3375</v>
      </c>
      <c r="H41" t="s">
        <v>2352</v>
      </c>
      <c r="I41" t="s">
        <v>2715</v>
      </c>
      <c r="J41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3374</v>
      </c>
      <c r="E42" t="s">
        <v>3375</v>
      </c>
      <c r="H42" t="s">
        <v>2352</v>
      </c>
      <c r="I42" t="s">
        <v>2718</v>
      </c>
      <c r="J42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2721</v>
      </c>
      <c r="J43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226</v>
      </c>
      <c r="E44" t="s">
        <v>3376</v>
      </c>
      <c r="I44" t="s">
        <v>2724</v>
      </c>
      <c r="J44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226</v>
      </c>
      <c r="E45" t="s">
        <v>3376</v>
      </c>
      <c r="H45" t="s">
        <v>2352</v>
      </c>
      <c r="I45" t="s">
        <v>2727</v>
      </c>
      <c r="J45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226</v>
      </c>
      <c r="E46" t="s">
        <v>3376</v>
      </c>
      <c r="H46" t="s">
        <v>2352</v>
      </c>
      <c r="I46" t="s">
        <v>2730</v>
      </c>
      <c r="J46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226</v>
      </c>
      <c r="E47" t="s">
        <v>3376</v>
      </c>
      <c r="H47" t="s">
        <v>2352</v>
      </c>
      <c r="I47" t="s">
        <v>2733</v>
      </c>
      <c r="J47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226</v>
      </c>
      <c r="E48" t="s">
        <v>3376</v>
      </c>
      <c r="H48" t="s">
        <v>2352</v>
      </c>
      <c r="I48" t="s">
        <v>2736</v>
      </c>
      <c r="J4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2739</v>
      </c>
      <c r="J4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1607</v>
      </c>
      <c r="I50" t="s">
        <v>3434</v>
      </c>
      <c r="J50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1282</v>
      </c>
      <c r="E51" t="s">
        <v>86</v>
      </c>
      <c r="F51" t="s">
        <v>165</v>
      </c>
      <c r="I51" t="s">
        <v>4104</v>
      </c>
      <c r="J51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887</v>
      </c>
      <c r="E52" t="s">
        <v>3412</v>
      </c>
      <c r="F52" t="s">
        <v>60</v>
      </c>
      <c r="I52" t="s">
        <v>4106</v>
      </c>
      <c r="J52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470</v>
      </c>
      <c r="E53" t="s">
        <v>1274</v>
      </c>
      <c r="F53" t="s">
        <v>58</v>
      </c>
      <c r="I53" t="s">
        <v>4108</v>
      </c>
      <c r="J53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1282</v>
      </c>
      <c r="E54" t="s">
        <v>86</v>
      </c>
      <c r="F54" t="s">
        <v>165</v>
      </c>
      <c r="I54" t="s">
        <v>3677</v>
      </c>
      <c r="J54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887</v>
      </c>
      <c r="E55" t="s">
        <v>3412</v>
      </c>
      <c r="F55" t="s">
        <v>165</v>
      </c>
      <c r="I55" t="s">
        <v>3680</v>
      </c>
      <c r="J55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887</v>
      </c>
      <c r="E56" t="s">
        <v>3412</v>
      </c>
      <c r="F56" t="s">
        <v>165</v>
      </c>
      <c r="I56" t="s">
        <v>3683</v>
      </c>
      <c r="J56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4103</v>
      </c>
      <c r="E57" t="s">
        <v>86</v>
      </c>
      <c r="I57" t="s">
        <v>3686</v>
      </c>
      <c r="J57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3689</v>
      </c>
      <c r="J5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4103</v>
      </c>
      <c r="E59" t="s">
        <v>86</v>
      </c>
      <c r="I59" t="s">
        <v>3692</v>
      </c>
      <c r="J5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4103</v>
      </c>
      <c r="E60" t="s">
        <v>86</v>
      </c>
      <c r="I60" t="s">
        <v>3695</v>
      </c>
      <c r="J60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1607</v>
      </c>
      <c r="E61" t="s">
        <v>8</v>
      </c>
      <c r="I61" t="s">
        <v>3698</v>
      </c>
      <c r="J61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1607</v>
      </c>
      <c r="E62" t="s">
        <v>8</v>
      </c>
      <c r="I62" t="s">
        <v>4168</v>
      </c>
      <c r="J62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4271</v>
      </c>
      <c r="J63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1607</v>
      </c>
      <c r="E64" t="s">
        <v>8</v>
      </c>
      <c r="I64" t="s">
        <v>4274</v>
      </c>
      <c r="J64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1607</v>
      </c>
      <c r="E65" t="s">
        <v>8</v>
      </c>
      <c r="I65" t="s">
        <v>4436</v>
      </c>
      <c r="J65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1607</v>
      </c>
      <c r="E66" t="s">
        <v>8</v>
      </c>
      <c r="I66" t="s">
        <v>4439</v>
      </c>
      <c r="J66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1607</v>
      </c>
      <c r="E67" t="s">
        <v>8</v>
      </c>
      <c r="I67" t="s">
        <v>4442</v>
      </c>
      <c r="J67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1282</v>
      </c>
      <c r="E68" t="s">
        <v>86</v>
      </c>
      <c r="F68" t="s">
        <v>165</v>
      </c>
      <c r="I68" t="s">
        <v>4685</v>
      </c>
      <c r="J6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1282</v>
      </c>
      <c r="E69" t="s">
        <v>86</v>
      </c>
      <c r="F69" t="s">
        <v>165</v>
      </c>
      <c r="I69" t="s">
        <v>4688</v>
      </c>
      <c r="J6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1282</v>
      </c>
      <c r="E70" t="s">
        <v>86</v>
      </c>
      <c r="F70" t="s">
        <v>165</v>
      </c>
      <c r="I70" t="s">
        <v>4691</v>
      </c>
      <c r="J70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1607</v>
      </c>
      <c r="E71" t="s">
        <v>8</v>
      </c>
      <c r="I71" t="s">
        <v>4846</v>
      </c>
      <c r="J71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1607</v>
      </c>
      <c r="E72" t="s">
        <v>8</v>
      </c>
      <c r="I72" t="s">
        <v>4954</v>
      </c>
      <c r="J72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1607</v>
      </c>
      <c r="E73" t="s">
        <v>8</v>
      </c>
      <c r="I73" t="s">
        <v>5042</v>
      </c>
      <c r="J73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1607</v>
      </c>
      <c r="E74" t="s">
        <v>8</v>
      </c>
      <c r="I74" t="s">
        <v>5244</v>
      </c>
      <c r="J74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1607</v>
      </c>
      <c r="E75" t="s">
        <v>8</v>
      </c>
      <c r="I75" t="s">
        <v>5354</v>
      </c>
      <c r="J75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1607</v>
      </c>
      <c r="E76" t="s">
        <v>8</v>
      </c>
      <c r="I76" t="s">
        <v>5510</v>
      </c>
      <c r="J76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1607</v>
      </c>
      <c r="E77" t="s">
        <v>8</v>
      </c>
      <c r="I77" t="s">
        <v>5513</v>
      </c>
      <c r="J77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1607</v>
      </c>
      <c r="E78" t="s">
        <v>8</v>
      </c>
      <c r="I78" t="s">
        <v>5516</v>
      </c>
      <c r="J7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1607</v>
      </c>
      <c r="E79" t="s">
        <v>8</v>
      </c>
      <c r="I79" t="s">
        <v>5712</v>
      </c>
      <c r="J7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1607</v>
      </c>
      <c r="E80" t="s">
        <v>8</v>
      </c>
      <c r="I80" t="s">
        <v>5766</v>
      </c>
      <c r="J80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1607</v>
      </c>
      <c r="E81" t="s">
        <v>8</v>
      </c>
      <c r="I81" t="s">
        <v>5769</v>
      </c>
      <c r="J81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1607</v>
      </c>
      <c r="E82" t="s">
        <v>8</v>
      </c>
      <c r="I82" t="s">
        <v>6142</v>
      </c>
      <c r="J82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1607</v>
      </c>
      <c r="E83" t="s">
        <v>8</v>
      </c>
      <c r="I83" t="s">
        <v>6145</v>
      </c>
      <c r="J83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227</v>
      </c>
      <c r="E84" t="s">
        <v>86</v>
      </c>
      <c r="F84" t="s">
        <v>60</v>
      </c>
      <c r="H84" t="s">
        <v>4098</v>
      </c>
      <c r="I84" t="s">
        <v>6284</v>
      </c>
      <c r="J84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227</v>
      </c>
      <c r="E85" t="s">
        <v>86</v>
      </c>
      <c r="F85" t="s">
        <v>60</v>
      </c>
      <c r="H85" t="s">
        <v>2352</v>
      </c>
      <c r="I85" t="s">
        <v>6287</v>
      </c>
      <c r="J85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227</v>
      </c>
      <c r="E86" t="s">
        <v>86</v>
      </c>
      <c r="F86" t="s">
        <v>60</v>
      </c>
      <c r="H86" t="s">
        <v>2352</v>
      </c>
      <c r="I86" t="s">
        <v>6290</v>
      </c>
      <c r="J86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1607</v>
      </c>
      <c r="E87" t="s">
        <v>8</v>
      </c>
      <c r="I87" t="s">
        <v>6416</v>
      </c>
      <c r="J87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1607</v>
      </c>
      <c r="E88" t="s">
        <v>8</v>
      </c>
      <c r="I88" t="s">
        <v>6419</v>
      </c>
      <c r="J8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1607</v>
      </c>
      <c r="E89" t="s">
        <v>8</v>
      </c>
      <c r="I89" t="s">
        <v>6631</v>
      </c>
      <c r="J8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1607</v>
      </c>
      <c r="E90" t="s">
        <v>8</v>
      </c>
      <c r="I90" t="s">
        <v>6634</v>
      </c>
      <c r="J90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1607</v>
      </c>
      <c r="E91" t="s">
        <v>8</v>
      </c>
      <c r="I91" t="s">
        <v>6637</v>
      </c>
      <c r="J91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1607</v>
      </c>
      <c r="E92" t="s">
        <v>8</v>
      </c>
      <c r="I92" t="s">
        <v>6640</v>
      </c>
      <c r="J92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1607</v>
      </c>
      <c r="E93" t="s">
        <v>8</v>
      </c>
      <c r="I93" t="s">
        <v>6710</v>
      </c>
      <c r="J93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1607</v>
      </c>
      <c r="E94" t="s">
        <v>8</v>
      </c>
      <c r="I94" t="s">
        <v>6713</v>
      </c>
      <c r="J94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1607</v>
      </c>
      <c r="E95" t="s">
        <v>8</v>
      </c>
      <c r="I95" t="s">
        <v>6716</v>
      </c>
      <c r="J95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1607</v>
      </c>
      <c r="E96" t="s">
        <v>8</v>
      </c>
      <c r="I96" t="s">
        <v>6858</v>
      </c>
      <c r="J96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1607</v>
      </c>
      <c r="E97" t="s">
        <v>8</v>
      </c>
      <c r="I97" t="s">
        <v>6861</v>
      </c>
      <c r="J97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1607</v>
      </c>
      <c r="E98" t="s">
        <v>8</v>
      </c>
      <c r="I98" t="s">
        <v>6864</v>
      </c>
      <c r="J9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1607</v>
      </c>
      <c r="E99" t="s">
        <v>8</v>
      </c>
      <c r="I99" t="s">
        <v>6867</v>
      </c>
      <c r="J9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1607</v>
      </c>
      <c r="E100" t="s">
        <v>8</v>
      </c>
      <c r="I100" t="s">
        <v>6870</v>
      </c>
      <c r="J100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1607</v>
      </c>
      <c r="E101" t="s">
        <v>8</v>
      </c>
      <c r="I101" t="s">
        <v>6873</v>
      </c>
      <c r="J101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1607</v>
      </c>
      <c r="E102" t="s">
        <v>8</v>
      </c>
      <c r="I102" t="s">
        <v>6876</v>
      </c>
      <c r="J102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1607</v>
      </c>
      <c r="E103" t="s">
        <v>8</v>
      </c>
      <c r="I103" t="s">
        <v>7679</v>
      </c>
      <c r="J103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7345</v>
      </c>
      <c r="E104" t="s">
        <v>4396</v>
      </c>
      <c r="F104" t="s">
        <v>7344</v>
      </c>
      <c r="I104" t="s">
        <v>7197</v>
      </c>
      <c r="J104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1607</v>
      </c>
      <c r="E105" t="s">
        <v>8</v>
      </c>
      <c r="I105" t="s">
        <v>7200</v>
      </c>
      <c r="J105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1607</v>
      </c>
      <c r="E106" t="s">
        <v>8</v>
      </c>
      <c r="I106" t="s">
        <v>7407</v>
      </c>
      <c r="J106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1607</v>
      </c>
      <c r="E107" t="s">
        <v>8</v>
      </c>
      <c r="I107" t="s">
        <v>7509</v>
      </c>
      <c r="J107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7521</v>
      </c>
      <c r="E108" t="s">
        <v>60</v>
      </c>
      <c r="I108" t="s">
        <v>7512</v>
      </c>
      <c r="J10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887</v>
      </c>
      <c r="E109" t="s">
        <v>3412</v>
      </c>
      <c r="F109" t="s">
        <v>60</v>
      </c>
      <c r="I109" t="s">
        <v>7515</v>
      </c>
      <c r="J10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7518</v>
      </c>
      <c r="J110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1607</v>
      </c>
      <c r="E111" t="s">
        <v>8</v>
      </c>
      <c r="I111" t="s">
        <v>7682</v>
      </c>
      <c r="J111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1607</v>
      </c>
      <c r="E112" t="s">
        <v>8</v>
      </c>
      <c r="I112" t="s">
        <v>7783</v>
      </c>
      <c r="J112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1607</v>
      </c>
      <c r="E113" t="s">
        <v>8</v>
      </c>
      <c r="I113" t="s">
        <v>7786</v>
      </c>
      <c r="J113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1607</v>
      </c>
      <c r="E114" t="s">
        <v>8</v>
      </c>
      <c r="I114" t="s">
        <v>7970</v>
      </c>
      <c r="J114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7973</v>
      </c>
      <c r="J115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2352</v>
      </c>
      <c r="I116" t="s">
        <v>7976</v>
      </c>
      <c r="J116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1607</v>
      </c>
      <c r="E117" t="s">
        <v>8</v>
      </c>
      <c r="I117" t="s">
        <v>8298</v>
      </c>
      <c r="J117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1607</v>
      </c>
      <c r="E118" t="s">
        <v>8</v>
      </c>
      <c r="I118" t="s">
        <v>8423</v>
      </c>
      <c r="J11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1607</v>
      </c>
      <c r="E119" t="s">
        <v>8</v>
      </c>
      <c r="I119" t="s">
        <v>8426</v>
      </c>
      <c r="J11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1607</v>
      </c>
      <c r="E120" t="s">
        <v>8</v>
      </c>
      <c r="I120" t="s">
        <v>8462</v>
      </c>
      <c r="J120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1607</v>
      </c>
      <c r="E121" t="s">
        <v>8</v>
      </c>
      <c r="I121" t="s">
        <v>8465</v>
      </c>
      <c r="J121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1607</v>
      </c>
      <c r="E122" t="s">
        <v>8</v>
      </c>
      <c r="I122" t="s">
        <v>8636</v>
      </c>
      <c r="J122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1607</v>
      </c>
      <c r="E123" t="s">
        <v>8</v>
      </c>
      <c r="I123" t="s">
        <v>8639</v>
      </c>
      <c r="J123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1607</v>
      </c>
      <c r="E124" t="s">
        <v>8</v>
      </c>
      <c r="I124" t="s">
        <v>8744</v>
      </c>
      <c r="J124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6439</v>
      </c>
      <c r="I125" t="s">
        <v>8832</v>
      </c>
      <c r="J125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1607</v>
      </c>
      <c r="E126" t="s">
        <v>8</v>
      </c>
      <c r="I126" t="s">
        <v>8835</v>
      </c>
      <c r="J126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1607</v>
      </c>
      <c r="E127" t="s">
        <v>8</v>
      </c>
      <c r="I127" t="s">
        <v>8958</v>
      </c>
      <c r="J127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6439</v>
      </c>
      <c r="I128" t="s">
        <v>8961</v>
      </c>
      <c r="J12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7047</v>
      </c>
      <c r="I129" t="s">
        <v>9304</v>
      </c>
      <c r="J12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1607</v>
      </c>
      <c r="E130" t="s">
        <v>8</v>
      </c>
      <c r="I130" t="s">
        <v>9284</v>
      </c>
      <c r="J130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1607</v>
      </c>
      <c r="E131" t="s">
        <v>8</v>
      </c>
      <c r="I131" t="s">
        <v>9287</v>
      </c>
      <c r="J131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1607</v>
      </c>
      <c r="E132" t="s">
        <v>8</v>
      </c>
      <c r="I132" t="s">
        <v>9350</v>
      </c>
      <c r="J132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1607</v>
      </c>
      <c r="E133" t="s">
        <v>8</v>
      </c>
      <c r="I133" t="s">
        <v>9353</v>
      </c>
      <c r="J133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1607</v>
      </c>
      <c r="E134" t="s">
        <v>8</v>
      </c>
      <c r="I134" t="s">
        <v>9572</v>
      </c>
      <c r="J134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9599</v>
      </c>
      <c r="I135" t="s">
        <v>9575</v>
      </c>
      <c r="J135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9600</v>
      </c>
      <c r="I136" t="s">
        <v>9578</v>
      </c>
      <c r="J136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1607</v>
      </c>
      <c r="E137" t="s">
        <v>8</v>
      </c>
      <c r="I137" t="s">
        <v>9581</v>
      </c>
      <c r="J137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6439</v>
      </c>
      <c r="I138" t="s">
        <v>9584</v>
      </c>
      <c r="J13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9587</v>
      </c>
      <c r="J13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6439</v>
      </c>
      <c r="I140" t="s">
        <v>9590</v>
      </c>
      <c r="J140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6439</v>
      </c>
      <c r="I141" t="s">
        <v>9593</v>
      </c>
      <c r="J141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6439</v>
      </c>
      <c r="I142" t="s">
        <v>9643</v>
      </c>
      <c r="J142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9646</v>
      </c>
      <c r="J143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6439</v>
      </c>
      <c r="I144" t="s">
        <v>9649</v>
      </c>
      <c r="J144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6439</v>
      </c>
      <c r="I145" t="s">
        <v>9670</v>
      </c>
      <c r="J145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2352</v>
      </c>
      <c r="I146" t="s">
        <v>9673</v>
      </c>
      <c r="J146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10020</v>
      </c>
      <c r="I147" t="s">
        <v>9971</v>
      </c>
      <c r="J147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10020</v>
      </c>
      <c r="I148" t="s">
        <v>9974</v>
      </c>
      <c r="J14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10020</v>
      </c>
      <c r="I149" t="s">
        <v>9977</v>
      </c>
      <c r="J14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10020</v>
      </c>
      <c r="I150" t="s">
        <v>9980</v>
      </c>
      <c r="J150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10020</v>
      </c>
      <c r="I151" t="s">
        <v>9983</v>
      </c>
      <c r="J151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10020</v>
      </c>
      <c r="I152" t="s">
        <v>9986</v>
      </c>
      <c r="J152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9989</v>
      </c>
      <c r="J153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1607</v>
      </c>
      <c r="E154" t="s">
        <v>8</v>
      </c>
      <c r="I154" t="s">
        <v>9992</v>
      </c>
      <c r="J154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1607</v>
      </c>
      <c r="E155" t="s">
        <v>8</v>
      </c>
      <c r="I155" t="s">
        <v>9995</v>
      </c>
      <c r="J155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10100</v>
      </c>
      <c r="J156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7365</v>
      </c>
      <c r="E157" t="s">
        <v>86</v>
      </c>
      <c r="H157" t="s">
        <v>10133</v>
      </c>
      <c r="I157" t="s">
        <v>10103</v>
      </c>
      <c r="J157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7365</v>
      </c>
      <c r="E158" t="s">
        <v>86</v>
      </c>
      <c r="H158" t="s">
        <v>2352</v>
      </c>
      <c r="I158" t="s">
        <v>10106</v>
      </c>
      <c r="J15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9600</v>
      </c>
      <c r="I159" t="s">
        <v>10109</v>
      </c>
      <c r="J15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588</v>
      </c>
      <c r="E160" t="s">
        <v>86</v>
      </c>
      <c r="I160" t="s">
        <v>10170</v>
      </c>
      <c r="J160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7365</v>
      </c>
      <c r="E161" t="s">
        <v>86</v>
      </c>
      <c r="I161" t="s">
        <v>10173</v>
      </c>
      <c r="J161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10176</v>
      </c>
      <c r="J162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10179</v>
      </c>
      <c r="J163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10020</v>
      </c>
      <c r="I164" t="s">
        <v>10364</v>
      </c>
      <c r="J164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10020</v>
      </c>
      <c r="I165" t="s">
        <v>10367</v>
      </c>
      <c r="J165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10020</v>
      </c>
      <c r="I166" t="s">
        <v>10370</v>
      </c>
      <c r="J166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10020</v>
      </c>
      <c r="I167" t="s">
        <v>10373</v>
      </c>
      <c r="J167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10376</v>
      </c>
      <c r="J16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10020</v>
      </c>
      <c r="I169" t="s">
        <v>10379</v>
      </c>
      <c r="J16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10020</v>
      </c>
      <c r="I170" t="s">
        <v>10382</v>
      </c>
      <c r="J170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10020</v>
      </c>
      <c r="I171" t="s">
        <v>10385</v>
      </c>
      <c r="J171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10388</v>
      </c>
      <c r="J172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10571</v>
      </c>
      <c r="I173" t="s">
        <v>10460</v>
      </c>
      <c r="J173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1273</v>
      </c>
      <c r="E174" t="s">
        <v>10565</v>
      </c>
      <c r="F174" t="s">
        <v>586</v>
      </c>
      <c r="I174" t="s">
        <v>10463</v>
      </c>
      <c r="J174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226</v>
      </c>
      <c r="E175" t="s">
        <v>10565</v>
      </c>
      <c r="F175" t="s">
        <v>586</v>
      </c>
      <c r="I175" t="s">
        <v>10466</v>
      </c>
      <c r="J175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226</v>
      </c>
      <c r="E176" t="s">
        <v>10565</v>
      </c>
      <c r="F176" t="s">
        <v>586</v>
      </c>
      <c r="H176" t="s">
        <v>2352</v>
      </c>
      <c r="I176" t="s">
        <v>10469</v>
      </c>
      <c r="J176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10572</v>
      </c>
      <c r="E177" t="s">
        <v>10565</v>
      </c>
      <c r="I177" t="s">
        <v>10472</v>
      </c>
      <c r="J177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226</v>
      </c>
      <c r="E178" t="s">
        <v>10566</v>
      </c>
      <c r="F178" t="s">
        <v>586</v>
      </c>
      <c r="I178" t="s">
        <v>10475</v>
      </c>
      <c r="J17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226</v>
      </c>
      <c r="E179" t="s">
        <v>10566</v>
      </c>
      <c r="F179" t="s">
        <v>586</v>
      </c>
      <c r="H179" t="s">
        <v>2352</v>
      </c>
      <c r="I179" t="s">
        <v>10478</v>
      </c>
      <c r="J17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226</v>
      </c>
      <c r="E180" t="s">
        <v>10566</v>
      </c>
      <c r="F180" t="s">
        <v>586</v>
      </c>
      <c r="H180" t="s">
        <v>2352</v>
      </c>
      <c r="I180" t="s">
        <v>10481</v>
      </c>
      <c r="J180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226</v>
      </c>
      <c r="E181" t="s">
        <v>10565</v>
      </c>
      <c r="F181" t="s">
        <v>586</v>
      </c>
      <c r="H181" t="s">
        <v>2352</v>
      </c>
      <c r="I181" t="s">
        <v>10484</v>
      </c>
      <c r="J181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226</v>
      </c>
      <c r="E182" t="s">
        <v>10565</v>
      </c>
      <c r="F182" t="s">
        <v>586</v>
      </c>
      <c r="H182" t="s">
        <v>2352</v>
      </c>
      <c r="I182" t="s">
        <v>10487</v>
      </c>
      <c r="J182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226</v>
      </c>
      <c r="E183" t="s">
        <v>10565</v>
      </c>
      <c r="F183" t="s">
        <v>586</v>
      </c>
      <c r="H183" t="s">
        <v>2352</v>
      </c>
      <c r="I183" t="s">
        <v>10490</v>
      </c>
      <c r="J183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226</v>
      </c>
      <c r="E184" t="s">
        <v>10565</v>
      </c>
      <c r="F184" t="s">
        <v>586</v>
      </c>
      <c r="H184" t="s">
        <v>2352</v>
      </c>
      <c r="I184" t="s">
        <v>10493</v>
      </c>
      <c r="J184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226</v>
      </c>
      <c r="E185" t="s">
        <v>10565</v>
      </c>
      <c r="F185" t="s">
        <v>586</v>
      </c>
      <c r="H185" t="s">
        <v>2352</v>
      </c>
      <c r="I185" t="s">
        <v>10496</v>
      </c>
      <c r="J185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226</v>
      </c>
      <c r="E186" t="s">
        <v>10566</v>
      </c>
      <c r="F186" t="s">
        <v>586</v>
      </c>
      <c r="H186" t="s">
        <v>2352</v>
      </c>
      <c r="I186" t="s">
        <v>10499</v>
      </c>
      <c r="J186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226</v>
      </c>
      <c r="E187" t="s">
        <v>10566</v>
      </c>
      <c r="F187" t="s">
        <v>586</v>
      </c>
      <c r="H187" t="s">
        <v>2352</v>
      </c>
      <c r="I187" t="s">
        <v>10502</v>
      </c>
      <c r="J187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226</v>
      </c>
      <c r="E188" t="s">
        <v>10566</v>
      </c>
      <c r="F188" t="s">
        <v>586</v>
      </c>
      <c r="H188" t="s">
        <v>2352</v>
      </c>
      <c r="I188" t="s">
        <v>10505</v>
      </c>
      <c r="J18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226</v>
      </c>
      <c r="E189" t="s">
        <v>10566</v>
      </c>
      <c r="F189" t="s">
        <v>586</v>
      </c>
      <c r="H189" t="s">
        <v>2352</v>
      </c>
      <c r="I189" t="s">
        <v>10508</v>
      </c>
      <c r="J18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226</v>
      </c>
      <c r="E190" t="s">
        <v>10566</v>
      </c>
      <c r="F190" t="s">
        <v>586</v>
      </c>
      <c r="H190" t="s">
        <v>2352</v>
      </c>
      <c r="I190" t="s">
        <v>10511</v>
      </c>
      <c r="J190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226</v>
      </c>
      <c r="E191" t="s">
        <v>10566</v>
      </c>
      <c r="F191" t="s">
        <v>586</v>
      </c>
      <c r="H191" t="s">
        <v>2352</v>
      </c>
      <c r="I191" t="s">
        <v>10514</v>
      </c>
      <c r="J191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226</v>
      </c>
      <c r="E192" t="s">
        <v>10566</v>
      </c>
      <c r="F192" t="s">
        <v>586</v>
      </c>
      <c r="H192" t="s">
        <v>2352</v>
      </c>
      <c r="I192" t="s">
        <v>10517</v>
      </c>
      <c r="J192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3397</v>
      </c>
      <c r="I193" t="s">
        <v>10520</v>
      </c>
      <c r="J193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587</v>
      </c>
      <c r="E194" t="s">
        <v>10566</v>
      </c>
      <c r="F194" t="s">
        <v>586</v>
      </c>
      <c r="I194" t="s">
        <v>10523</v>
      </c>
      <c r="J194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587</v>
      </c>
      <c r="E195" t="s">
        <v>10565</v>
      </c>
      <c r="F195" t="s">
        <v>586</v>
      </c>
      <c r="I195" t="s">
        <v>10526</v>
      </c>
      <c r="J195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10529</v>
      </c>
      <c r="J196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1539</v>
      </c>
      <c r="I197" t="s">
        <v>10532</v>
      </c>
      <c r="J197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10535</v>
      </c>
      <c r="J19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1539</v>
      </c>
      <c r="I199" t="s">
        <v>10710</v>
      </c>
      <c r="J199" t="s">
        <v>2395</v>
      </c>
      <c r="K199" t="s">
        <v>10711</v>
      </c>
      <c r="L199" t="s">
        <v>10712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1539</v>
      </c>
      <c r="I200" t="s">
        <v>10713</v>
      </c>
      <c r="J200" t="s">
        <v>2395</v>
      </c>
      <c r="K200" t="s">
        <v>10714</v>
      </c>
      <c r="L200" t="s">
        <v>10715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1539</v>
      </c>
      <c r="I201" t="s">
        <v>10716</v>
      </c>
      <c r="J201" t="s">
        <v>2395</v>
      </c>
      <c r="K201" t="s">
        <v>10717</v>
      </c>
      <c r="L201" t="s">
        <v>10718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10719</v>
      </c>
      <c r="J202" t="s">
        <v>2395</v>
      </c>
      <c r="K202" t="s">
        <v>10720</v>
      </c>
      <c r="L202" t="s">
        <v>10721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10722</v>
      </c>
      <c r="J203" t="s">
        <v>2395</v>
      </c>
      <c r="K203" t="s">
        <v>10723</v>
      </c>
      <c r="L203" t="s">
        <v>10724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10725</v>
      </c>
      <c r="J204" t="s">
        <v>2395</v>
      </c>
      <c r="K204" t="s">
        <v>10726</v>
      </c>
      <c r="L204" t="s">
        <v>10727</v>
      </c>
      <c r="M204" s="2" t="str">
        <f>HYPERLINK(склад2въезд131920[[#This Row],[RelativePath]])</f>
        <v>6 Площадка 1 общага\826398429_1_20260225T172954Z.jpg</v>
      </c>
    </row>
  </sheetData>
  <conditionalFormatting sqref="D205:D215 E205:E218 G2:H204 D2:E204">
    <cfRule type="containsText" dxfId="947" priority="14" operator="containsText" text="Выезд с территории">
      <formula>NOT(ISERROR(SEARCH("Выезд с территории",D2)))</formula>
    </cfRule>
  </conditionalFormatting>
  <conditionalFormatting sqref="F2:F204">
    <cfRule type="notContainsText" dxfId="946" priority="13" operator="notContains" text="порожний">
      <formula>ISERROR(SEARCH("порожний",F2))</formula>
    </cfRule>
  </conditionalFormatting>
  <conditionalFormatting sqref="E2:E218">
    <cfRule type="containsText" dxfId="945" priority="11" operator="containsText" text="Газель базы">
      <formula>NOT(ISERROR(SEARCH("Газель базы",E2)))</formula>
    </cfRule>
    <cfRule type="containsText" dxfId="944" priority="12" operator="containsText" text="Погрузчик базы">
      <formula>NOT(ISERROR(SEARCH("Погрузчик базы",E2)))</formula>
    </cfRule>
  </conditionalFormatting>
  <conditionalFormatting sqref="E2:E218">
    <cfRule type="containsText" dxfId="943" priority="10" operator="containsText" text="Трактор базы">
      <formula>NOT(ISERROR(SEARCH("Трактор базы",E2)))</formula>
    </cfRule>
  </conditionalFormatting>
  <conditionalFormatting sqref="A2:C204">
    <cfRule type="expression" dxfId="942" priority="9">
      <formula>$A2="пн"</formula>
    </cfRule>
  </conditionalFormatting>
  <conditionalFormatting sqref="A2:C206">
    <cfRule type="expression" dxfId="941" priority="3">
      <formula>$A2="вс"</formula>
    </cfRule>
    <cfRule type="expression" dxfId="940" priority="4">
      <formula>$A2="сб"</formula>
    </cfRule>
    <cfRule type="expression" dxfId="939" priority="5">
      <formula>$A2="пт"</formula>
    </cfRule>
    <cfRule type="expression" dxfId="938" priority="6">
      <formula>$A2="чт"</formula>
    </cfRule>
    <cfRule type="expression" dxfId="937" priority="7">
      <formula>$A2="ср"</formula>
    </cfRule>
    <cfRule type="expression" dxfId="936" priority="8">
      <formula>$A2="вт"</formula>
    </cfRule>
  </conditionalFormatting>
  <conditionalFormatting sqref="D2:D215">
    <cfRule type="containsText" dxfId="9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5">
    <cfRule type="containsText" dxfId="9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23"/>
  <sheetViews>
    <sheetView zoomScale="90" zoomScaleNormal="90" workbookViewId="0">
      <pane ySplit="1" topLeftCell="A308" activePane="bottomLeft" state="frozen"/>
      <selection pane="bottomLeft" activeCell="I316" sqref="I316:I32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472</v>
      </c>
      <c r="J2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475</v>
      </c>
      <c r="J3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478</v>
      </c>
      <c r="J4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481</v>
      </c>
      <c r="J5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484</v>
      </c>
      <c r="J6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487</v>
      </c>
      <c r="J7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490</v>
      </c>
      <c r="J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493</v>
      </c>
      <c r="J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585</v>
      </c>
      <c r="E10" t="s">
        <v>86</v>
      </c>
      <c r="F10" t="s">
        <v>465</v>
      </c>
      <c r="I10" t="s">
        <v>496</v>
      </c>
      <c r="J10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499</v>
      </c>
      <c r="J11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586</v>
      </c>
      <c r="I12" t="s">
        <v>502</v>
      </c>
      <c r="J12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227</v>
      </c>
      <c r="E13" t="s">
        <v>86</v>
      </c>
      <c r="F13" t="s">
        <v>586</v>
      </c>
      <c r="I13" t="s">
        <v>505</v>
      </c>
      <c r="J13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226</v>
      </c>
      <c r="E14" t="s">
        <v>86</v>
      </c>
      <c r="F14" t="s">
        <v>60</v>
      </c>
      <c r="G14">
        <v>2</v>
      </c>
      <c r="I14" t="s">
        <v>508</v>
      </c>
      <c r="J14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587</v>
      </c>
      <c r="E15" t="s">
        <v>86</v>
      </c>
      <c r="F15" t="s">
        <v>60</v>
      </c>
      <c r="I15" t="s">
        <v>511</v>
      </c>
      <c r="J15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514</v>
      </c>
      <c r="J16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588</v>
      </c>
      <c r="I17" t="s">
        <v>517</v>
      </c>
      <c r="J17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520</v>
      </c>
      <c r="J1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589</v>
      </c>
      <c r="I19" t="s">
        <v>523</v>
      </c>
      <c r="J1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589</v>
      </c>
      <c r="I20" t="s">
        <v>526</v>
      </c>
      <c r="J20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529</v>
      </c>
      <c r="J21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589</v>
      </c>
      <c r="I22" t="s">
        <v>532</v>
      </c>
      <c r="J22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535</v>
      </c>
      <c r="J23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589</v>
      </c>
      <c r="I24" t="s">
        <v>538</v>
      </c>
      <c r="J24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540</v>
      </c>
      <c r="J25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543</v>
      </c>
      <c r="J26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589</v>
      </c>
      <c r="I27" t="s">
        <v>546</v>
      </c>
      <c r="J27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589</v>
      </c>
      <c r="I28" t="s">
        <v>549</v>
      </c>
      <c r="J2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552</v>
      </c>
      <c r="J2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555</v>
      </c>
      <c r="J30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558</v>
      </c>
      <c r="J31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561</v>
      </c>
      <c r="J32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226</v>
      </c>
      <c r="E33" t="s">
        <v>86</v>
      </c>
      <c r="F33" t="s">
        <v>60</v>
      </c>
      <c r="G33">
        <v>1</v>
      </c>
      <c r="I33" t="s">
        <v>564</v>
      </c>
      <c r="J33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590</v>
      </c>
      <c r="E34" t="s">
        <v>86</v>
      </c>
      <c r="F34" t="s">
        <v>165</v>
      </c>
      <c r="I34" t="s">
        <v>567</v>
      </c>
      <c r="J34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587</v>
      </c>
      <c r="E35" t="s">
        <v>86</v>
      </c>
      <c r="F35" t="s">
        <v>165</v>
      </c>
      <c r="I35" t="s">
        <v>570</v>
      </c>
      <c r="J35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226</v>
      </c>
      <c r="E36" t="s">
        <v>86</v>
      </c>
      <c r="F36" t="s">
        <v>165</v>
      </c>
      <c r="I36" t="s">
        <v>573</v>
      </c>
      <c r="J36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587</v>
      </c>
      <c r="E37" t="s">
        <v>86</v>
      </c>
      <c r="F37" t="s">
        <v>165</v>
      </c>
      <c r="I37" t="s">
        <v>576</v>
      </c>
      <c r="J37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579</v>
      </c>
      <c r="J3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582</v>
      </c>
      <c r="J3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905</v>
      </c>
      <c r="J40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1607</v>
      </c>
      <c r="I41" t="s">
        <v>908</v>
      </c>
      <c r="J41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911</v>
      </c>
      <c r="J42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1607</v>
      </c>
      <c r="I43" t="s">
        <v>914</v>
      </c>
      <c r="J43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917</v>
      </c>
      <c r="J44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1741</v>
      </c>
      <c r="J45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1744</v>
      </c>
      <c r="J46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1747</v>
      </c>
      <c r="J47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1750</v>
      </c>
      <c r="J4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1753</v>
      </c>
      <c r="J4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1756</v>
      </c>
      <c r="J50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1759</v>
      </c>
      <c r="J51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1762</v>
      </c>
      <c r="J52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1765</v>
      </c>
      <c r="J53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1292</v>
      </c>
      <c r="I54" t="s">
        <v>1768</v>
      </c>
      <c r="J54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1771</v>
      </c>
      <c r="J55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1774</v>
      </c>
      <c r="J56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1777</v>
      </c>
      <c r="J57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1780</v>
      </c>
      <c r="J5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1783</v>
      </c>
      <c r="J5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1786</v>
      </c>
      <c r="J60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1789</v>
      </c>
      <c r="J61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1792</v>
      </c>
      <c r="J62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1795</v>
      </c>
      <c r="J63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1798</v>
      </c>
      <c r="J64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1801</v>
      </c>
      <c r="J65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1804</v>
      </c>
      <c r="J66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1807</v>
      </c>
      <c r="J67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1292</v>
      </c>
      <c r="I68" t="s">
        <v>1810</v>
      </c>
      <c r="J6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1607</v>
      </c>
      <c r="I69" t="s">
        <v>1813</v>
      </c>
      <c r="J6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1607</v>
      </c>
      <c r="I70" t="s">
        <v>1816</v>
      </c>
      <c r="J70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2742</v>
      </c>
      <c r="J71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2745</v>
      </c>
      <c r="J72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2748</v>
      </c>
      <c r="J73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3377</v>
      </c>
      <c r="I74" t="s">
        <v>3378</v>
      </c>
      <c r="J74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2751</v>
      </c>
      <c r="J75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3374</v>
      </c>
      <c r="E76" t="s">
        <v>3375</v>
      </c>
      <c r="I76" t="s">
        <v>2754</v>
      </c>
      <c r="J76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3374</v>
      </c>
      <c r="E77" t="s">
        <v>3375</v>
      </c>
      <c r="H77" t="s">
        <v>2352</v>
      </c>
      <c r="I77" t="s">
        <v>2757</v>
      </c>
      <c r="J77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3374</v>
      </c>
      <c r="E78" t="s">
        <v>3375</v>
      </c>
      <c r="H78" t="s">
        <v>2352</v>
      </c>
      <c r="I78" t="s">
        <v>2760</v>
      </c>
      <c r="J7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3374</v>
      </c>
      <c r="E79" t="s">
        <v>3375</v>
      </c>
      <c r="H79" t="s">
        <v>2352</v>
      </c>
      <c r="I79" t="s">
        <v>2763</v>
      </c>
      <c r="J7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3374</v>
      </c>
      <c r="E80" t="s">
        <v>3375</v>
      </c>
      <c r="H80" t="s">
        <v>2352</v>
      </c>
      <c r="I80" t="s">
        <v>2766</v>
      </c>
      <c r="J80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3374</v>
      </c>
      <c r="E81" t="s">
        <v>3375</v>
      </c>
      <c r="H81" t="s">
        <v>2352</v>
      </c>
      <c r="I81" t="s">
        <v>2769</v>
      </c>
      <c r="J81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3374</v>
      </c>
      <c r="E82" t="s">
        <v>3375</v>
      </c>
      <c r="H82" t="s">
        <v>2352</v>
      </c>
      <c r="I82" t="s">
        <v>2772</v>
      </c>
      <c r="J82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3374</v>
      </c>
      <c r="E83" t="s">
        <v>3375</v>
      </c>
      <c r="H83" t="s">
        <v>2352</v>
      </c>
      <c r="I83" t="s">
        <v>2775</v>
      </c>
      <c r="J83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3374</v>
      </c>
      <c r="E84" t="s">
        <v>3375</v>
      </c>
      <c r="H84" t="s">
        <v>2352</v>
      </c>
      <c r="I84" t="s">
        <v>2778</v>
      </c>
      <c r="J84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3374</v>
      </c>
      <c r="E85" t="s">
        <v>3375</v>
      </c>
      <c r="H85" t="s">
        <v>2352</v>
      </c>
      <c r="I85" t="s">
        <v>2781</v>
      </c>
      <c r="J85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3374</v>
      </c>
      <c r="E86" t="s">
        <v>3375</v>
      </c>
      <c r="H86" t="s">
        <v>2352</v>
      </c>
      <c r="I86" t="s">
        <v>2784</v>
      </c>
      <c r="J86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3374</v>
      </c>
      <c r="E87" t="s">
        <v>3375</v>
      </c>
      <c r="H87" t="s">
        <v>2352</v>
      </c>
      <c r="I87" t="s">
        <v>2787</v>
      </c>
      <c r="J87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3374</v>
      </c>
      <c r="E88" t="s">
        <v>3375</v>
      </c>
      <c r="H88" t="s">
        <v>2352</v>
      </c>
      <c r="I88" t="s">
        <v>2790</v>
      </c>
      <c r="J8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3374</v>
      </c>
      <c r="E89" t="s">
        <v>3375</v>
      </c>
      <c r="H89" t="s">
        <v>2352</v>
      </c>
      <c r="I89" t="s">
        <v>2793</v>
      </c>
      <c r="J8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3374</v>
      </c>
      <c r="E90" t="s">
        <v>3375</v>
      </c>
      <c r="H90" t="s">
        <v>2352</v>
      </c>
      <c r="I90" t="s">
        <v>2796</v>
      </c>
      <c r="J90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3374</v>
      </c>
      <c r="E91" t="s">
        <v>3375</v>
      </c>
      <c r="H91" t="s">
        <v>2352</v>
      </c>
      <c r="I91" t="s">
        <v>2799</v>
      </c>
      <c r="J91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3374</v>
      </c>
      <c r="E92" t="s">
        <v>3375</v>
      </c>
      <c r="H92" t="s">
        <v>2352</v>
      </c>
      <c r="I92" t="s">
        <v>2802</v>
      </c>
      <c r="J92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3374</v>
      </c>
      <c r="E93" t="s">
        <v>3375</v>
      </c>
      <c r="H93" t="s">
        <v>2352</v>
      </c>
      <c r="I93" t="s">
        <v>2805</v>
      </c>
      <c r="J93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3374</v>
      </c>
      <c r="E94" t="s">
        <v>3375</v>
      </c>
      <c r="H94" t="s">
        <v>2352</v>
      </c>
      <c r="I94" t="s">
        <v>2808</v>
      </c>
      <c r="J94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3374</v>
      </c>
      <c r="E95" t="s">
        <v>3375</v>
      </c>
      <c r="H95" t="s">
        <v>2352</v>
      </c>
      <c r="I95" t="s">
        <v>2811</v>
      </c>
      <c r="J95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3381</v>
      </c>
      <c r="E96" t="s">
        <v>3376</v>
      </c>
      <c r="I96" t="s">
        <v>2814</v>
      </c>
      <c r="J96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3381</v>
      </c>
      <c r="E97" t="s">
        <v>3376</v>
      </c>
      <c r="H97" t="s">
        <v>2352</v>
      </c>
      <c r="I97" t="s">
        <v>2817</v>
      </c>
      <c r="J97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3381</v>
      </c>
      <c r="E98" t="s">
        <v>3376</v>
      </c>
      <c r="H98" t="s">
        <v>2352</v>
      </c>
      <c r="I98" t="s">
        <v>2820</v>
      </c>
      <c r="J9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3381</v>
      </c>
      <c r="E99" t="s">
        <v>3376</v>
      </c>
      <c r="H99" t="s">
        <v>2352</v>
      </c>
      <c r="I99" t="s">
        <v>2823</v>
      </c>
      <c r="J9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3381</v>
      </c>
      <c r="E100" t="s">
        <v>3376</v>
      </c>
      <c r="H100" t="s">
        <v>2352</v>
      </c>
      <c r="I100" t="s">
        <v>2826</v>
      </c>
      <c r="J100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3381</v>
      </c>
      <c r="E101" t="s">
        <v>3376</v>
      </c>
      <c r="H101" t="s">
        <v>2352</v>
      </c>
      <c r="I101" t="s">
        <v>2829</v>
      </c>
      <c r="J101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2832</v>
      </c>
      <c r="J102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1273</v>
      </c>
      <c r="E103" t="s">
        <v>3359</v>
      </c>
      <c r="I103" t="s">
        <v>2835</v>
      </c>
      <c r="J103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1273</v>
      </c>
      <c r="E104" t="s">
        <v>3382</v>
      </c>
      <c r="I104" t="s">
        <v>2838</v>
      </c>
      <c r="J104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226</v>
      </c>
      <c r="E105" t="s">
        <v>3382</v>
      </c>
      <c r="F105" t="s">
        <v>3376</v>
      </c>
      <c r="I105" t="s">
        <v>2841</v>
      </c>
      <c r="J105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226</v>
      </c>
      <c r="E106" t="s">
        <v>3382</v>
      </c>
      <c r="F106" t="s">
        <v>3376</v>
      </c>
      <c r="H106" t="s">
        <v>2352</v>
      </c>
      <c r="I106" t="s">
        <v>2844</v>
      </c>
      <c r="J106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226</v>
      </c>
      <c r="E107" t="s">
        <v>3382</v>
      </c>
      <c r="F107" t="s">
        <v>3376</v>
      </c>
      <c r="H107" t="s">
        <v>2352</v>
      </c>
      <c r="I107" t="s">
        <v>2847</v>
      </c>
      <c r="J107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226</v>
      </c>
      <c r="E108" t="s">
        <v>3382</v>
      </c>
      <c r="F108" t="s">
        <v>3376</v>
      </c>
      <c r="H108" t="s">
        <v>2352</v>
      </c>
      <c r="I108" t="s">
        <v>2850</v>
      </c>
      <c r="J10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226</v>
      </c>
      <c r="E109" t="s">
        <v>3382</v>
      </c>
      <c r="F109" t="s">
        <v>3376</v>
      </c>
      <c r="H109" t="s">
        <v>2352</v>
      </c>
      <c r="I109" t="s">
        <v>2853</v>
      </c>
      <c r="J10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226</v>
      </c>
      <c r="E110" t="s">
        <v>3382</v>
      </c>
      <c r="F110" t="s">
        <v>3376</v>
      </c>
      <c r="H110" t="s">
        <v>2352</v>
      </c>
      <c r="I110" t="s">
        <v>2856</v>
      </c>
      <c r="J110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226</v>
      </c>
      <c r="E111" t="s">
        <v>3382</v>
      </c>
      <c r="F111" t="s">
        <v>3376</v>
      </c>
      <c r="H111" t="s">
        <v>2352</v>
      </c>
      <c r="I111" t="s">
        <v>2859</v>
      </c>
      <c r="J111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226</v>
      </c>
      <c r="E112" t="s">
        <v>3382</v>
      </c>
      <c r="F112" t="s">
        <v>3376</v>
      </c>
      <c r="H112" t="s">
        <v>2352</v>
      </c>
      <c r="I112" t="s">
        <v>2862</v>
      </c>
      <c r="J112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226</v>
      </c>
      <c r="E113" t="s">
        <v>3382</v>
      </c>
      <c r="F113" t="s">
        <v>3376</v>
      </c>
      <c r="H113" t="s">
        <v>2352</v>
      </c>
      <c r="I113" t="s">
        <v>2865</v>
      </c>
      <c r="J113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226</v>
      </c>
      <c r="E114" t="s">
        <v>3382</v>
      </c>
      <c r="F114" t="s">
        <v>3376</v>
      </c>
      <c r="H114" t="s">
        <v>2352</v>
      </c>
      <c r="I114" t="s">
        <v>2868</v>
      </c>
      <c r="J114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226</v>
      </c>
      <c r="E115" t="s">
        <v>3382</v>
      </c>
      <c r="F115" t="s">
        <v>3376</v>
      </c>
      <c r="H115" t="s">
        <v>2352</v>
      </c>
      <c r="I115" t="s">
        <v>2871</v>
      </c>
      <c r="J115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226</v>
      </c>
      <c r="E116" t="s">
        <v>3382</v>
      </c>
      <c r="F116" t="s">
        <v>3376</v>
      </c>
      <c r="H116" t="s">
        <v>2352</v>
      </c>
      <c r="I116" t="s">
        <v>2874</v>
      </c>
      <c r="J116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226</v>
      </c>
      <c r="E117" t="s">
        <v>3382</v>
      </c>
      <c r="F117" t="s">
        <v>3376</v>
      </c>
      <c r="H117" t="s">
        <v>2352</v>
      </c>
      <c r="I117" t="s">
        <v>2877</v>
      </c>
      <c r="J117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226</v>
      </c>
      <c r="E118" t="s">
        <v>3382</v>
      </c>
      <c r="F118" t="s">
        <v>3376</v>
      </c>
      <c r="H118" t="s">
        <v>2352</v>
      </c>
      <c r="I118" t="s">
        <v>2880</v>
      </c>
      <c r="J11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587</v>
      </c>
      <c r="E119" t="s">
        <v>3382</v>
      </c>
      <c r="F119" t="s">
        <v>3376</v>
      </c>
      <c r="H119" t="s">
        <v>3383</v>
      </c>
      <c r="I119" t="s">
        <v>2883</v>
      </c>
      <c r="J11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226</v>
      </c>
      <c r="E120" t="s">
        <v>3359</v>
      </c>
      <c r="F120" t="s">
        <v>3376</v>
      </c>
      <c r="I120" t="s">
        <v>2886</v>
      </c>
      <c r="J120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226</v>
      </c>
      <c r="E121" t="s">
        <v>3359</v>
      </c>
      <c r="F121" t="s">
        <v>3376</v>
      </c>
      <c r="H121" t="s">
        <v>2352</v>
      </c>
      <c r="I121" t="s">
        <v>2889</v>
      </c>
      <c r="J121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226</v>
      </c>
      <c r="E122" t="s">
        <v>3359</v>
      </c>
      <c r="F122" t="s">
        <v>3376</v>
      </c>
      <c r="H122" t="s">
        <v>2352</v>
      </c>
      <c r="I122" t="s">
        <v>2892</v>
      </c>
      <c r="J122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226</v>
      </c>
      <c r="E123" t="s">
        <v>3359</v>
      </c>
      <c r="F123" t="s">
        <v>3376</v>
      </c>
      <c r="H123" t="s">
        <v>2352</v>
      </c>
      <c r="I123" t="s">
        <v>2895</v>
      </c>
      <c r="J123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226</v>
      </c>
      <c r="E124" t="s">
        <v>3359</v>
      </c>
      <c r="F124" t="s">
        <v>3376</v>
      </c>
      <c r="H124" t="s">
        <v>2352</v>
      </c>
      <c r="I124" t="s">
        <v>2898</v>
      </c>
      <c r="J124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226</v>
      </c>
      <c r="E125" t="s">
        <v>3359</v>
      </c>
      <c r="F125" t="s">
        <v>3376</v>
      </c>
      <c r="H125" t="s">
        <v>2352</v>
      </c>
      <c r="I125" t="s">
        <v>2901</v>
      </c>
      <c r="J125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226</v>
      </c>
      <c r="E126" t="s">
        <v>3359</v>
      </c>
      <c r="F126" t="s">
        <v>3376</v>
      </c>
      <c r="H126" t="s">
        <v>2352</v>
      </c>
      <c r="I126" t="s">
        <v>2904</v>
      </c>
      <c r="J126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226</v>
      </c>
      <c r="E128" t="s">
        <v>3359</v>
      </c>
      <c r="F128" t="s">
        <v>3376</v>
      </c>
      <c r="H128" t="s">
        <v>2352</v>
      </c>
      <c r="I128" t="s">
        <v>2910</v>
      </c>
      <c r="J12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226</v>
      </c>
      <c r="E129" t="s">
        <v>3359</v>
      </c>
      <c r="F129" t="s">
        <v>3376</v>
      </c>
      <c r="H129" t="s">
        <v>2352</v>
      </c>
      <c r="I129" t="s">
        <v>2913</v>
      </c>
      <c r="J12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226</v>
      </c>
      <c r="E130" t="s">
        <v>3359</v>
      </c>
      <c r="F130" t="s">
        <v>3376</v>
      </c>
      <c r="H130" t="s">
        <v>2352</v>
      </c>
      <c r="I130" t="s">
        <v>2916</v>
      </c>
      <c r="J130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226</v>
      </c>
      <c r="E131" t="s">
        <v>3359</v>
      </c>
      <c r="F131" t="s">
        <v>87</v>
      </c>
      <c r="I131" t="s">
        <v>2919</v>
      </c>
      <c r="J131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1273</v>
      </c>
      <c r="E132" t="s">
        <v>3360</v>
      </c>
      <c r="I132" t="s">
        <v>2922</v>
      </c>
      <c r="J132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1273</v>
      </c>
      <c r="E133" t="s">
        <v>3360</v>
      </c>
      <c r="H133" t="s">
        <v>2352</v>
      </c>
      <c r="I133" t="s">
        <v>2924</v>
      </c>
      <c r="J133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226</v>
      </c>
      <c r="E134" t="s">
        <v>3360</v>
      </c>
      <c r="F134" t="s">
        <v>3376</v>
      </c>
      <c r="I134" t="s">
        <v>2927</v>
      </c>
      <c r="J134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226</v>
      </c>
      <c r="E135" t="s">
        <v>3360</v>
      </c>
      <c r="F135" t="s">
        <v>3376</v>
      </c>
      <c r="H135" t="s">
        <v>2352</v>
      </c>
      <c r="I135" t="s">
        <v>2930</v>
      </c>
      <c r="J135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226</v>
      </c>
      <c r="E136" t="s">
        <v>3360</v>
      </c>
      <c r="F136" t="s">
        <v>3376</v>
      </c>
      <c r="H136" t="s">
        <v>2352</v>
      </c>
      <c r="I136" t="s">
        <v>2933</v>
      </c>
      <c r="J136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226</v>
      </c>
      <c r="E137" t="s">
        <v>3360</v>
      </c>
      <c r="F137" t="s">
        <v>3376</v>
      </c>
      <c r="H137" t="s">
        <v>2352</v>
      </c>
      <c r="I137" t="s">
        <v>2936</v>
      </c>
      <c r="J137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226</v>
      </c>
      <c r="E138" t="s">
        <v>3360</v>
      </c>
      <c r="F138" t="s">
        <v>3376</v>
      </c>
      <c r="H138" t="s">
        <v>2352</v>
      </c>
      <c r="I138" t="s">
        <v>2939</v>
      </c>
      <c r="J13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226</v>
      </c>
      <c r="E139" t="s">
        <v>3360</v>
      </c>
      <c r="F139" t="s">
        <v>3376</v>
      </c>
      <c r="H139" t="s">
        <v>2352</v>
      </c>
      <c r="I139" t="s">
        <v>2942</v>
      </c>
      <c r="J13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226</v>
      </c>
      <c r="E140" t="s">
        <v>3360</v>
      </c>
      <c r="F140" t="s">
        <v>3376</v>
      </c>
      <c r="H140" t="s">
        <v>2352</v>
      </c>
      <c r="I140" t="s">
        <v>2945</v>
      </c>
      <c r="J140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226</v>
      </c>
      <c r="E141" t="s">
        <v>3360</v>
      </c>
      <c r="F141" t="s">
        <v>3376</v>
      </c>
      <c r="H141" t="s">
        <v>2352</v>
      </c>
      <c r="I141" t="s">
        <v>2948</v>
      </c>
      <c r="J141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226</v>
      </c>
      <c r="E142" t="s">
        <v>3360</v>
      </c>
      <c r="F142" t="s">
        <v>3376</v>
      </c>
      <c r="H142" t="s">
        <v>2352</v>
      </c>
      <c r="I142" t="s">
        <v>2951</v>
      </c>
      <c r="J142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226</v>
      </c>
      <c r="E143" t="s">
        <v>3360</v>
      </c>
      <c r="F143" t="s">
        <v>3376</v>
      </c>
      <c r="H143" t="s">
        <v>2352</v>
      </c>
      <c r="I143" t="s">
        <v>2954</v>
      </c>
      <c r="J143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226</v>
      </c>
      <c r="E144" t="s">
        <v>3360</v>
      </c>
      <c r="F144" t="s">
        <v>3376</v>
      </c>
      <c r="H144" t="s">
        <v>2352</v>
      </c>
      <c r="I144" t="s">
        <v>2957</v>
      </c>
      <c r="J144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226</v>
      </c>
      <c r="E145" t="s">
        <v>3360</v>
      </c>
      <c r="F145" t="s">
        <v>3376</v>
      </c>
      <c r="H145" t="s">
        <v>2352</v>
      </c>
      <c r="I145" t="s">
        <v>2960</v>
      </c>
      <c r="J145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226</v>
      </c>
      <c r="E146" t="s">
        <v>3360</v>
      </c>
      <c r="F146" t="s">
        <v>3376</v>
      </c>
      <c r="H146" t="s">
        <v>2352</v>
      </c>
      <c r="I146" t="s">
        <v>2963</v>
      </c>
      <c r="J146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226</v>
      </c>
      <c r="E147" t="s">
        <v>3360</v>
      </c>
      <c r="F147" t="s">
        <v>3376</v>
      </c>
      <c r="H147" t="s">
        <v>2352</v>
      </c>
      <c r="I147" t="s">
        <v>2966</v>
      </c>
      <c r="J147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226</v>
      </c>
      <c r="E148" t="s">
        <v>3360</v>
      </c>
      <c r="F148" t="s">
        <v>3376</v>
      </c>
      <c r="H148" t="s">
        <v>2352</v>
      </c>
      <c r="I148" t="s">
        <v>2969</v>
      </c>
      <c r="J14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226</v>
      </c>
      <c r="E149" t="s">
        <v>3360</v>
      </c>
      <c r="F149" t="s">
        <v>3376</v>
      </c>
      <c r="H149" t="s">
        <v>2352</v>
      </c>
      <c r="I149" t="s">
        <v>2972</v>
      </c>
      <c r="J14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226</v>
      </c>
      <c r="E150" t="s">
        <v>3360</v>
      </c>
      <c r="F150" t="s">
        <v>3376</v>
      </c>
      <c r="H150" t="s">
        <v>2352</v>
      </c>
      <c r="I150" t="s">
        <v>2975</v>
      </c>
      <c r="J150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226</v>
      </c>
      <c r="E151" t="s">
        <v>3360</v>
      </c>
      <c r="F151" t="s">
        <v>3376</v>
      </c>
      <c r="H151" t="s">
        <v>2352</v>
      </c>
      <c r="I151" t="s">
        <v>2978</v>
      </c>
      <c r="J151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226</v>
      </c>
      <c r="E152" t="s">
        <v>3360</v>
      </c>
      <c r="F152" t="s">
        <v>3376</v>
      </c>
      <c r="H152" t="s">
        <v>2352</v>
      </c>
      <c r="I152" t="s">
        <v>2981</v>
      </c>
      <c r="J152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226</v>
      </c>
      <c r="E153" t="s">
        <v>3360</v>
      </c>
      <c r="F153" t="s">
        <v>3376</v>
      </c>
      <c r="H153" t="s">
        <v>2352</v>
      </c>
      <c r="I153" t="s">
        <v>2984</v>
      </c>
      <c r="J153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408</v>
      </c>
      <c r="E154" t="s">
        <v>3360</v>
      </c>
      <c r="I154" t="s">
        <v>2987</v>
      </c>
      <c r="J154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587</v>
      </c>
      <c r="E155" t="s">
        <v>3360</v>
      </c>
      <c r="F155" t="s">
        <v>3376</v>
      </c>
      <c r="H155" t="s">
        <v>3384</v>
      </c>
      <c r="I155" t="s">
        <v>2990</v>
      </c>
      <c r="J155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3454</v>
      </c>
      <c r="E156" t="s">
        <v>55</v>
      </c>
      <c r="I156" t="s">
        <v>3437</v>
      </c>
      <c r="J156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226</v>
      </c>
      <c r="E157" t="s">
        <v>86</v>
      </c>
      <c r="F157" t="s">
        <v>165</v>
      </c>
      <c r="I157" t="s">
        <v>3993</v>
      </c>
      <c r="J157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226</v>
      </c>
      <c r="E158" t="s">
        <v>86</v>
      </c>
      <c r="F158" t="s">
        <v>165</v>
      </c>
      <c r="I158" t="s">
        <v>3996</v>
      </c>
      <c r="J15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226</v>
      </c>
      <c r="E159" t="s">
        <v>86</v>
      </c>
      <c r="F159" t="s">
        <v>165</v>
      </c>
      <c r="I159" t="s">
        <v>3999</v>
      </c>
      <c r="J15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887</v>
      </c>
      <c r="E160" t="s">
        <v>3412</v>
      </c>
      <c r="F160" t="s">
        <v>58</v>
      </c>
      <c r="I160" t="s">
        <v>4002</v>
      </c>
      <c r="J160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226</v>
      </c>
      <c r="E161" t="s">
        <v>86</v>
      </c>
      <c r="F161" t="s">
        <v>165</v>
      </c>
      <c r="I161" t="s">
        <v>4005</v>
      </c>
      <c r="J161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887</v>
      </c>
      <c r="E162" t="s">
        <v>3412</v>
      </c>
      <c r="F162" t="s">
        <v>58</v>
      </c>
      <c r="I162" t="s">
        <v>4008</v>
      </c>
      <c r="J162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887</v>
      </c>
      <c r="E163" t="s">
        <v>468</v>
      </c>
      <c r="F163" t="s">
        <v>58</v>
      </c>
      <c r="I163" t="s">
        <v>4011</v>
      </c>
      <c r="J163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4014</v>
      </c>
      <c r="J164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226</v>
      </c>
      <c r="E165" t="s">
        <v>86</v>
      </c>
      <c r="F165" t="s">
        <v>60</v>
      </c>
      <c r="I165" t="s">
        <v>4017</v>
      </c>
      <c r="J165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226</v>
      </c>
      <c r="E166" t="s">
        <v>86</v>
      </c>
      <c r="F166" t="s">
        <v>60</v>
      </c>
      <c r="I166" t="s">
        <v>4020</v>
      </c>
      <c r="J166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226</v>
      </c>
      <c r="E167" t="s">
        <v>86</v>
      </c>
      <c r="F167" t="s">
        <v>165</v>
      </c>
      <c r="I167" t="s">
        <v>4023</v>
      </c>
      <c r="J167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4026</v>
      </c>
      <c r="J16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226</v>
      </c>
      <c r="E169" t="s">
        <v>86</v>
      </c>
      <c r="F169" t="s">
        <v>60</v>
      </c>
      <c r="I169" t="s">
        <v>4029</v>
      </c>
      <c r="J16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226</v>
      </c>
      <c r="E170" t="s">
        <v>86</v>
      </c>
      <c r="F170" t="s">
        <v>60</v>
      </c>
      <c r="I170" t="s">
        <v>4032</v>
      </c>
      <c r="J170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4035</v>
      </c>
      <c r="J171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887</v>
      </c>
      <c r="E172" t="s">
        <v>3412</v>
      </c>
      <c r="F172" t="s">
        <v>60</v>
      </c>
      <c r="I172" t="s">
        <v>4110</v>
      </c>
      <c r="J172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887</v>
      </c>
      <c r="E173" t="s">
        <v>3412</v>
      </c>
      <c r="F173" t="s">
        <v>165</v>
      </c>
      <c r="I173" t="s">
        <v>4113</v>
      </c>
      <c r="J173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887</v>
      </c>
      <c r="E174" t="s">
        <v>3412</v>
      </c>
      <c r="F174" t="s">
        <v>165</v>
      </c>
      <c r="I174" t="s">
        <v>4116</v>
      </c>
      <c r="J174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2352</v>
      </c>
      <c r="I175" t="s">
        <v>4119</v>
      </c>
      <c r="J175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2352</v>
      </c>
      <c r="I176" t="s">
        <v>4122</v>
      </c>
      <c r="J176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2352</v>
      </c>
      <c r="I177" t="s">
        <v>4125</v>
      </c>
      <c r="J177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2352</v>
      </c>
      <c r="I178" t="s">
        <v>4038</v>
      </c>
      <c r="J17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2352</v>
      </c>
      <c r="I179" t="s">
        <v>4041</v>
      </c>
      <c r="J17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2352</v>
      </c>
      <c r="I180" t="s">
        <v>4044</v>
      </c>
      <c r="J180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226</v>
      </c>
      <c r="E181" t="s">
        <v>86</v>
      </c>
      <c r="F181" t="s">
        <v>165</v>
      </c>
      <c r="I181" t="s">
        <v>4047</v>
      </c>
      <c r="J181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226</v>
      </c>
      <c r="E182" t="s">
        <v>86</v>
      </c>
      <c r="F182" t="s">
        <v>165</v>
      </c>
      <c r="I182" t="s">
        <v>4050</v>
      </c>
      <c r="J182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226</v>
      </c>
      <c r="E183" t="s">
        <v>86</v>
      </c>
      <c r="F183" t="s">
        <v>165</v>
      </c>
      <c r="I183" t="s">
        <v>4053</v>
      </c>
      <c r="J183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226</v>
      </c>
      <c r="E184" t="s">
        <v>86</v>
      </c>
      <c r="F184" t="s">
        <v>165</v>
      </c>
      <c r="I184" t="s">
        <v>4056</v>
      </c>
      <c r="J184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226</v>
      </c>
      <c r="E185" t="s">
        <v>86</v>
      </c>
      <c r="F185" t="s">
        <v>165</v>
      </c>
      <c r="I185" t="s">
        <v>4059</v>
      </c>
      <c r="J185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4128</v>
      </c>
      <c r="I186" t="s">
        <v>4062</v>
      </c>
      <c r="J186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1607</v>
      </c>
      <c r="I187" t="s">
        <v>4065</v>
      </c>
      <c r="J187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1607</v>
      </c>
      <c r="I188" t="s">
        <v>4211</v>
      </c>
      <c r="J18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4277</v>
      </c>
      <c r="J18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226</v>
      </c>
      <c r="E190" t="s">
        <v>86</v>
      </c>
      <c r="F190" t="s">
        <v>165</v>
      </c>
      <c r="I190" t="s">
        <v>4280</v>
      </c>
      <c r="J190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226</v>
      </c>
      <c r="E191" t="s">
        <v>86</v>
      </c>
      <c r="F191" t="s">
        <v>165</v>
      </c>
      <c r="I191" t="s">
        <v>4283</v>
      </c>
      <c r="J191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1607</v>
      </c>
      <c r="E192" t="s">
        <v>8</v>
      </c>
      <c r="I192" t="s">
        <v>4445</v>
      </c>
      <c r="J192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1607</v>
      </c>
      <c r="E193" t="s">
        <v>8</v>
      </c>
      <c r="I193" t="s">
        <v>4448</v>
      </c>
      <c r="J193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1607</v>
      </c>
      <c r="E194" t="s">
        <v>8</v>
      </c>
      <c r="I194" t="s">
        <v>4451</v>
      </c>
      <c r="J194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3377</v>
      </c>
      <c r="I195" t="s">
        <v>5046</v>
      </c>
      <c r="J195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3377</v>
      </c>
      <c r="I196" t="s">
        <v>5049</v>
      </c>
      <c r="J196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3377</v>
      </c>
      <c r="I197" t="s">
        <v>5052</v>
      </c>
      <c r="J197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1607</v>
      </c>
      <c r="E198" t="s">
        <v>8</v>
      </c>
      <c r="I198" t="s">
        <v>5037</v>
      </c>
      <c r="J19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1607</v>
      </c>
      <c r="E199" t="s">
        <v>8</v>
      </c>
      <c r="I199" t="s">
        <v>5238</v>
      </c>
      <c r="J19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5472</v>
      </c>
      <c r="I200" t="s">
        <v>5479</v>
      </c>
      <c r="J200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1607</v>
      </c>
      <c r="E201" t="s">
        <v>8</v>
      </c>
      <c r="I201" t="s">
        <v>5519</v>
      </c>
      <c r="J201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3377</v>
      </c>
      <c r="I202" t="s">
        <v>5688</v>
      </c>
      <c r="J202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1607</v>
      </c>
      <c r="E203" t="s">
        <v>8</v>
      </c>
      <c r="I203" t="s">
        <v>5522</v>
      </c>
      <c r="J203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1607</v>
      </c>
      <c r="E204" t="s">
        <v>8</v>
      </c>
      <c r="I204" t="s">
        <v>5733</v>
      </c>
      <c r="J204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1607</v>
      </c>
      <c r="E205" t="s">
        <v>8</v>
      </c>
      <c r="I205" t="s">
        <v>5904</v>
      </c>
      <c r="J205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1607</v>
      </c>
      <c r="E206" t="s">
        <v>8</v>
      </c>
      <c r="I206" t="s">
        <v>5907</v>
      </c>
      <c r="J206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1607</v>
      </c>
      <c r="E207" t="s">
        <v>8</v>
      </c>
      <c r="I207" t="s">
        <v>6148</v>
      </c>
      <c r="J207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1607</v>
      </c>
      <c r="E208" t="s">
        <v>8</v>
      </c>
      <c r="I208" t="s">
        <v>6151</v>
      </c>
      <c r="J20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1607</v>
      </c>
      <c r="E209" t="s">
        <v>8</v>
      </c>
      <c r="I209" t="s">
        <v>6295</v>
      </c>
      <c r="J20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1607</v>
      </c>
      <c r="E210" t="s">
        <v>8</v>
      </c>
      <c r="I210" t="s">
        <v>6440</v>
      </c>
      <c r="J210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1607</v>
      </c>
      <c r="E211" t="s">
        <v>8</v>
      </c>
      <c r="I211" t="s">
        <v>6443</v>
      </c>
      <c r="J211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1607</v>
      </c>
      <c r="E212" t="s">
        <v>8</v>
      </c>
      <c r="I212" t="s">
        <v>6663</v>
      </c>
      <c r="J212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1607</v>
      </c>
      <c r="E213" t="s">
        <v>8</v>
      </c>
      <c r="I213" t="s">
        <v>6666</v>
      </c>
      <c r="J213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1607</v>
      </c>
      <c r="E214" t="s">
        <v>8</v>
      </c>
      <c r="I214" t="s">
        <v>6669</v>
      </c>
      <c r="J214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1607</v>
      </c>
      <c r="E215" t="s">
        <v>8</v>
      </c>
      <c r="I215" t="s">
        <v>6675</v>
      </c>
      <c r="J215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1607</v>
      </c>
      <c r="E216" t="s">
        <v>8</v>
      </c>
      <c r="I216" t="s">
        <v>6673</v>
      </c>
      <c r="J216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1607</v>
      </c>
      <c r="E217" t="s">
        <v>8</v>
      </c>
      <c r="I217" t="s">
        <v>6779</v>
      </c>
      <c r="J217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1607</v>
      </c>
      <c r="E218" t="s">
        <v>8</v>
      </c>
      <c r="I218" t="s">
        <v>6782</v>
      </c>
      <c r="J21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1607</v>
      </c>
      <c r="E219" t="s">
        <v>8</v>
      </c>
      <c r="I219" t="s">
        <v>6785</v>
      </c>
      <c r="J21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1607</v>
      </c>
      <c r="E220" t="s">
        <v>8</v>
      </c>
      <c r="I220" t="s">
        <v>6946</v>
      </c>
      <c r="J220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1607</v>
      </c>
      <c r="E221" t="s">
        <v>8</v>
      </c>
      <c r="I221" t="s">
        <v>7048</v>
      </c>
      <c r="J221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1607</v>
      </c>
      <c r="E222" t="s">
        <v>8</v>
      </c>
      <c r="I222" t="s">
        <v>7051</v>
      </c>
      <c r="J222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1607</v>
      </c>
      <c r="E223" t="s">
        <v>8</v>
      </c>
      <c r="I223" t="s">
        <v>7054</v>
      </c>
      <c r="J223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1607</v>
      </c>
      <c r="E224" t="s">
        <v>8</v>
      </c>
      <c r="I224" t="s">
        <v>7057</v>
      </c>
      <c r="J224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1607</v>
      </c>
      <c r="E225" t="s">
        <v>8</v>
      </c>
      <c r="I225" t="s">
        <v>7060</v>
      </c>
      <c r="J225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1607</v>
      </c>
      <c r="E226" t="s">
        <v>8</v>
      </c>
      <c r="I226" t="s">
        <v>7063</v>
      </c>
      <c r="J226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1607</v>
      </c>
      <c r="E227" t="s">
        <v>8</v>
      </c>
      <c r="I227" t="s">
        <v>7346</v>
      </c>
      <c r="J227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1607</v>
      </c>
      <c r="E228" t="s">
        <v>8</v>
      </c>
      <c r="I228" t="s">
        <v>7349</v>
      </c>
      <c r="J22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1607</v>
      </c>
      <c r="E229" t="s">
        <v>8</v>
      </c>
      <c r="I229" t="s">
        <v>7522</v>
      </c>
      <c r="J22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1607</v>
      </c>
      <c r="E230" t="s">
        <v>8</v>
      </c>
      <c r="I230" t="s">
        <v>7525</v>
      </c>
      <c r="J230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1607</v>
      </c>
      <c r="E231" t="s">
        <v>8</v>
      </c>
      <c r="I231" t="s">
        <v>7528</v>
      </c>
      <c r="J231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1607</v>
      </c>
      <c r="E232" t="s">
        <v>8</v>
      </c>
      <c r="I232" t="s">
        <v>7740</v>
      </c>
      <c r="J232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1607</v>
      </c>
      <c r="E233" t="s">
        <v>8</v>
      </c>
      <c r="I233" t="s">
        <v>7742</v>
      </c>
      <c r="J233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7924</v>
      </c>
      <c r="I234" t="s">
        <v>7888</v>
      </c>
      <c r="J234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7924</v>
      </c>
      <c r="H235" t="s">
        <v>2352</v>
      </c>
      <c r="I235" t="s">
        <v>7891</v>
      </c>
      <c r="J235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7924</v>
      </c>
      <c r="H236" t="s">
        <v>2352</v>
      </c>
      <c r="I236" t="s">
        <v>7894</v>
      </c>
      <c r="J236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7924</v>
      </c>
      <c r="H237" t="s">
        <v>2352</v>
      </c>
      <c r="I237" t="s">
        <v>7897</v>
      </c>
      <c r="J237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7924</v>
      </c>
      <c r="H238" t="s">
        <v>2352</v>
      </c>
      <c r="I238" t="s">
        <v>7900</v>
      </c>
      <c r="J23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7924</v>
      </c>
      <c r="H239" t="s">
        <v>2352</v>
      </c>
      <c r="I239" t="s">
        <v>7903</v>
      </c>
      <c r="J23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7924</v>
      </c>
      <c r="H240" t="s">
        <v>2352</v>
      </c>
      <c r="I240" t="s">
        <v>7906</v>
      </c>
      <c r="J240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7924</v>
      </c>
      <c r="H241" t="s">
        <v>2352</v>
      </c>
      <c r="I241" t="s">
        <v>7909</v>
      </c>
      <c r="J241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7924</v>
      </c>
      <c r="H242" t="s">
        <v>2352</v>
      </c>
      <c r="I242" t="s">
        <v>7912</v>
      </c>
      <c r="J242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7924</v>
      </c>
      <c r="H243" t="s">
        <v>2352</v>
      </c>
      <c r="I243" t="s">
        <v>7915</v>
      </c>
      <c r="J243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7924</v>
      </c>
      <c r="H244" t="s">
        <v>2352</v>
      </c>
      <c r="I244" t="s">
        <v>7918</v>
      </c>
      <c r="J244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7924</v>
      </c>
      <c r="H245" t="s">
        <v>2352</v>
      </c>
      <c r="I245" t="s">
        <v>7921</v>
      </c>
      <c r="J245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7924</v>
      </c>
      <c r="H246" t="s">
        <v>2352</v>
      </c>
      <c r="I246" t="s">
        <v>8084</v>
      </c>
      <c r="J246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7924</v>
      </c>
      <c r="H247" t="s">
        <v>2352</v>
      </c>
      <c r="I247" t="s">
        <v>8087</v>
      </c>
      <c r="J247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7924</v>
      </c>
      <c r="H248" t="s">
        <v>2352</v>
      </c>
      <c r="I248" t="s">
        <v>8090</v>
      </c>
      <c r="J24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7924</v>
      </c>
      <c r="H249" t="s">
        <v>2352</v>
      </c>
      <c r="I249" t="s">
        <v>8093</v>
      </c>
      <c r="J24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1607</v>
      </c>
      <c r="E250" t="s">
        <v>8</v>
      </c>
      <c r="I250" t="s">
        <v>8096</v>
      </c>
      <c r="J250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8330</v>
      </c>
      <c r="I251" t="s">
        <v>8327</v>
      </c>
      <c r="J251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1607</v>
      </c>
      <c r="E252" t="s">
        <v>8</v>
      </c>
      <c r="I252" t="s">
        <v>8429</v>
      </c>
      <c r="J252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1607</v>
      </c>
      <c r="E253" t="s">
        <v>8</v>
      </c>
      <c r="I253" t="s">
        <v>8432</v>
      </c>
      <c r="J253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1607</v>
      </c>
      <c r="E254" t="s">
        <v>8</v>
      </c>
      <c r="I254" t="s">
        <v>8521</v>
      </c>
      <c r="J254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1607</v>
      </c>
      <c r="E255" t="s">
        <v>8</v>
      </c>
      <c r="I255" t="s">
        <v>8524</v>
      </c>
      <c r="J255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1607</v>
      </c>
      <c r="E256" t="s">
        <v>8</v>
      </c>
      <c r="I256" t="s">
        <v>8708</v>
      </c>
      <c r="J256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1607</v>
      </c>
      <c r="E257" t="s">
        <v>8</v>
      </c>
      <c r="I257" t="s">
        <v>8711</v>
      </c>
      <c r="J257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1607</v>
      </c>
      <c r="E258" t="s">
        <v>8</v>
      </c>
      <c r="I258" t="s">
        <v>8808</v>
      </c>
      <c r="J25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1607</v>
      </c>
      <c r="E259" t="s">
        <v>8</v>
      </c>
      <c r="I259" t="s">
        <v>8915</v>
      </c>
      <c r="J25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1607</v>
      </c>
      <c r="E260" t="s">
        <v>8</v>
      </c>
      <c r="I260" t="s">
        <v>8918</v>
      </c>
      <c r="J260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1607</v>
      </c>
      <c r="E261" t="s">
        <v>8</v>
      </c>
      <c r="I261" t="s">
        <v>9131</v>
      </c>
      <c r="J261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1607</v>
      </c>
      <c r="E262" t="s">
        <v>8</v>
      </c>
      <c r="I262" t="s">
        <v>9134</v>
      </c>
      <c r="J262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1607</v>
      </c>
      <c r="E263" t="s">
        <v>8</v>
      </c>
      <c r="I263" t="s">
        <v>9307</v>
      </c>
      <c r="J263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1607</v>
      </c>
      <c r="E264" t="s">
        <v>8</v>
      </c>
      <c r="I264" t="s">
        <v>9310</v>
      </c>
      <c r="J264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1607</v>
      </c>
      <c r="E265" t="s">
        <v>8</v>
      </c>
      <c r="I265" t="s">
        <v>9313</v>
      </c>
      <c r="J265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1607</v>
      </c>
      <c r="E266" t="s">
        <v>8</v>
      </c>
      <c r="I266" t="s">
        <v>9415</v>
      </c>
      <c r="J266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1607</v>
      </c>
      <c r="E267" t="s">
        <v>8</v>
      </c>
      <c r="I267" t="s">
        <v>9418</v>
      </c>
      <c r="J267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7924</v>
      </c>
      <c r="I268" t="s">
        <v>9423</v>
      </c>
      <c r="J26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9426</v>
      </c>
      <c r="J26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7924</v>
      </c>
      <c r="I270" t="s">
        <v>9429</v>
      </c>
      <c r="J270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7924</v>
      </c>
      <c r="I271" t="s">
        <v>9432</v>
      </c>
      <c r="J271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9600</v>
      </c>
      <c r="I272" t="s">
        <v>9435</v>
      </c>
      <c r="J272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9438</v>
      </c>
      <c r="J273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9441</v>
      </c>
      <c r="J274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9444</v>
      </c>
      <c r="J275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9447</v>
      </c>
      <c r="J276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9601</v>
      </c>
      <c r="E277" t="s">
        <v>2348</v>
      </c>
      <c r="I277" t="s">
        <v>9450</v>
      </c>
      <c r="J277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7924</v>
      </c>
      <c r="I278" t="s">
        <v>9453</v>
      </c>
      <c r="J27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9456</v>
      </c>
      <c r="J27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3413</v>
      </c>
      <c r="I280" t="s">
        <v>9657</v>
      </c>
      <c r="J280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3413</v>
      </c>
      <c r="H281" t="s">
        <v>2352</v>
      </c>
      <c r="I281" t="s">
        <v>9660</v>
      </c>
      <c r="J281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1607</v>
      </c>
      <c r="E282" t="s">
        <v>8</v>
      </c>
      <c r="I282" t="s">
        <v>9663</v>
      </c>
      <c r="J282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1607</v>
      </c>
      <c r="E283" t="s">
        <v>8</v>
      </c>
      <c r="I283" t="s">
        <v>9697</v>
      </c>
      <c r="J283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10021</v>
      </c>
      <c r="I284" t="s">
        <v>9850</v>
      </c>
      <c r="J284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7887</v>
      </c>
      <c r="I285" t="s">
        <v>9852</v>
      </c>
      <c r="J285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7887</v>
      </c>
      <c r="I286" t="s">
        <v>9854</v>
      </c>
      <c r="J286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7887</v>
      </c>
      <c r="I287" t="s">
        <v>9856</v>
      </c>
      <c r="J287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7887</v>
      </c>
      <c r="I288" t="s">
        <v>9858</v>
      </c>
      <c r="J28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7887</v>
      </c>
      <c r="I289" t="s">
        <v>9860</v>
      </c>
      <c r="J28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7887</v>
      </c>
      <c r="I290" t="s">
        <v>9862</v>
      </c>
      <c r="J290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7887</v>
      </c>
      <c r="I291" t="s">
        <v>9864</v>
      </c>
      <c r="J291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7887</v>
      </c>
      <c r="I292" t="s">
        <v>9866</v>
      </c>
      <c r="J292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10011</v>
      </c>
      <c r="I293" t="s">
        <v>9868</v>
      </c>
      <c r="J293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9870</v>
      </c>
      <c r="J294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2352</v>
      </c>
      <c r="I295" t="s">
        <v>10112</v>
      </c>
      <c r="J295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2352</v>
      </c>
      <c r="I296" t="s">
        <v>10115</v>
      </c>
      <c r="J296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10118</v>
      </c>
      <c r="J297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9600</v>
      </c>
      <c r="I298" t="s">
        <v>10121</v>
      </c>
      <c r="J29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10020</v>
      </c>
      <c r="I299" t="s">
        <v>10124</v>
      </c>
      <c r="J29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10020</v>
      </c>
      <c r="I300" t="s">
        <v>10127</v>
      </c>
      <c r="J300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10152</v>
      </c>
      <c r="J301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7887</v>
      </c>
      <c r="I302" t="s">
        <v>10155</v>
      </c>
      <c r="J302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10239</v>
      </c>
      <c r="E303" t="s">
        <v>10132</v>
      </c>
      <c r="H303" t="s">
        <v>10240</v>
      </c>
      <c r="I303" t="s">
        <v>10158</v>
      </c>
      <c r="J303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10161</v>
      </c>
      <c r="J304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10020</v>
      </c>
      <c r="I305" t="s">
        <v>10391</v>
      </c>
      <c r="J305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10020</v>
      </c>
      <c r="I306" t="s">
        <v>10394</v>
      </c>
      <c r="J306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10020</v>
      </c>
      <c r="I307" t="s">
        <v>10397</v>
      </c>
      <c r="J307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10020</v>
      </c>
      <c r="I308" t="s">
        <v>10400</v>
      </c>
      <c r="J30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10403</v>
      </c>
      <c r="J30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10020</v>
      </c>
      <c r="I310" t="s">
        <v>10406</v>
      </c>
      <c r="J310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10020</v>
      </c>
      <c r="I311" t="s">
        <v>10409</v>
      </c>
      <c r="J311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10412</v>
      </c>
      <c r="J312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10020</v>
      </c>
      <c r="I313" t="s">
        <v>10538</v>
      </c>
      <c r="J313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10541</v>
      </c>
      <c r="J314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10544</v>
      </c>
      <c r="J315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226</v>
      </c>
      <c r="E316" t="s">
        <v>11072</v>
      </c>
      <c r="F316" t="s">
        <v>165</v>
      </c>
      <c r="G316">
        <v>2</v>
      </c>
      <c r="I316" t="s">
        <v>10764</v>
      </c>
      <c r="J316" t="s">
        <v>2396</v>
      </c>
      <c r="K316" t="s">
        <v>10765</v>
      </c>
      <c r="L316" t="s">
        <v>10766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10767</v>
      </c>
      <c r="J317" t="s">
        <v>2396</v>
      </c>
      <c r="K317" t="s">
        <v>10768</v>
      </c>
      <c r="L317" t="s">
        <v>10769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10770</v>
      </c>
      <c r="J318" t="s">
        <v>2396</v>
      </c>
      <c r="K318" t="s">
        <v>10771</v>
      </c>
      <c r="L318" t="s">
        <v>10772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11071</v>
      </c>
      <c r="I319" t="s">
        <v>10773</v>
      </c>
      <c r="J319" t="s">
        <v>2396</v>
      </c>
      <c r="K319" t="s">
        <v>10774</v>
      </c>
      <c r="L319" t="s">
        <v>10775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11079</v>
      </c>
      <c r="I320" t="s">
        <v>10776</v>
      </c>
      <c r="J320" t="s">
        <v>2396</v>
      </c>
      <c r="K320" t="s">
        <v>10777</v>
      </c>
      <c r="L320" t="s">
        <v>10778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10779</v>
      </c>
      <c r="J321" t="s">
        <v>2396</v>
      </c>
      <c r="K321" t="s">
        <v>10780</v>
      </c>
      <c r="L321" t="s">
        <v>10781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10782</v>
      </c>
      <c r="J322" t="s">
        <v>2396</v>
      </c>
      <c r="K322" t="s">
        <v>10783</v>
      </c>
      <c r="L322" t="s">
        <v>10784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10785</v>
      </c>
      <c r="J323" t="s">
        <v>2396</v>
      </c>
      <c r="K323" t="s">
        <v>10786</v>
      </c>
      <c r="L323" t="s">
        <v>10787</v>
      </c>
      <c r="M323" s="2" t="str">
        <f>HYPERLINK(склад2въезд13192021[[#This Row],[RelativePath]])</f>
        <v>7 Площадка 2 бетонщики\134160575_1_20260225T190347Z.jpg</v>
      </c>
    </row>
  </sheetData>
  <conditionalFormatting sqref="E324:E337 D1:D197 D324:D1048576 G2:H323 D2:E323">
    <cfRule type="containsText" dxfId="927" priority="18" operator="containsText" text="Выезд с территории">
      <formula>NOT(ISERROR(SEARCH("Выезд с территории",D1)))</formula>
    </cfRule>
  </conditionalFormatting>
  <conditionalFormatting sqref="F2:F323">
    <cfRule type="notContainsText" dxfId="926" priority="17" operator="notContains" text="порожний">
      <formula>ISERROR(SEARCH("порожний",F2))</formula>
    </cfRule>
  </conditionalFormatting>
  <conditionalFormatting sqref="E2:E337">
    <cfRule type="containsText" dxfId="925" priority="15" operator="containsText" text="Газель базы">
      <formula>NOT(ISERROR(SEARCH("Газель базы",E2)))</formula>
    </cfRule>
    <cfRule type="containsText" dxfId="924" priority="16" operator="containsText" text="Погрузчик базы">
      <formula>NOT(ISERROR(SEARCH("Погрузчик базы",E2)))</formula>
    </cfRule>
  </conditionalFormatting>
  <conditionalFormatting sqref="E2:E337">
    <cfRule type="containsText" dxfId="923" priority="14" operator="containsText" text="Трактор базы">
      <formula>NOT(ISERROR(SEARCH("Трактор базы",E2)))</formula>
    </cfRule>
  </conditionalFormatting>
  <conditionalFormatting sqref="A2:C323">
    <cfRule type="expression" dxfId="922" priority="13">
      <formula>$A2="пн"</formula>
    </cfRule>
  </conditionalFormatting>
  <conditionalFormatting sqref="A2:C325">
    <cfRule type="expression" dxfId="921" priority="7">
      <formula>$A2="вс"</formula>
    </cfRule>
    <cfRule type="expression" dxfId="920" priority="8">
      <formula>$A2="сб"</formula>
    </cfRule>
    <cfRule type="expression" dxfId="919" priority="9">
      <formula>$A2="пт"</formula>
    </cfRule>
    <cfRule type="expression" dxfId="918" priority="10">
      <formula>$A2="чт"</formula>
    </cfRule>
    <cfRule type="expression" dxfId="917" priority="11">
      <formula>$A2="ср"</formula>
    </cfRule>
    <cfRule type="expression" dxfId="916" priority="12">
      <formula>$A2="вт"</formula>
    </cfRule>
  </conditionalFormatting>
  <conditionalFormatting sqref="D1:D1048576">
    <cfRule type="containsText" dxfId="91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1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1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99"/>
  <sheetViews>
    <sheetView zoomScale="90" zoomScaleNormal="90" workbookViewId="0">
      <pane ySplit="1" topLeftCell="A284" activePane="bottomLeft" state="frozen"/>
      <selection pane="bottomLeft" activeCell="I291" sqref="I291:I2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30.28515625" bestFit="1" customWidth="1"/>
    <col min="6" max="6" width="25.140625" bestFit="1" customWidth="1"/>
    <col min="7" max="7" width="7.28515625" bestFit="1" customWidth="1"/>
    <col min="8" max="8" width="18.4257812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591</v>
      </c>
      <c r="J2" t="s">
        <v>13192</v>
      </c>
      <c r="K2" t="s">
        <v>13193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885</v>
      </c>
      <c r="E3" t="s">
        <v>886</v>
      </c>
      <c r="I3" t="s">
        <v>593</v>
      </c>
      <c r="J3" t="s">
        <v>13192</v>
      </c>
      <c r="K3" t="s">
        <v>13194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885</v>
      </c>
      <c r="E4" t="s">
        <v>886</v>
      </c>
      <c r="I4" t="s">
        <v>595</v>
      </c>
      <c r="J4" t="s">
        <v>13192</v>
      </c>
      <c r="K4" t="s">
        <v>13195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683</v>
      </c>
      <c r="I5" t="s">
        <v>597</v>
      </c>
      <c r="J5" t="s">
        <v>13192</v>
      </c>
      <c r="K5" t="s">
        <v>13196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599</v>
      </c>
      <c r="J6" t="s">
        <v>13192</v>
      </c>
      <c r="K6" t="s">
        <v>13197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684</v>
      </c>
      <c r="E7" t="s">
        <v>468</v>
      </c>
      <c r="I7" t="s">
        <v>601</v>
      </c>
      <c r="J7" t="s">
        <v>13192</v>
      </c>
      <c r="K7" t="s">
        <v>13198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684</v>
      </c>
      <c r="E8" t="s">
        <v>468</v>
      </c>
      <c r="I8" t="s">
        <v>603</v>
      </c>
      <c r="J8" t="s">
        <v>13192</v>
      </c>
      <c r="K8" t="s">
        <v>13199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605</v>
      </c>
      <c r="J9" t="s">
        <v>13192</v>
      </c>
      <c r="K9" t="s">
        <v>13200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685</v>
      </c>
      <c r="I10" t="s">
        <v>607</v>
      </c>
      <c r="J10" t="s">
        <v>13192</v>
      </c>
      <c r="K10" t="s">
        <v>13201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889</v>
      </c>
      <c r="E11" t="s">
        <v>468</v>
      </c>
      <c r="I11" t="s">
        <v>609</v>
      </c>
      <c r="J11" t="s">
        <v>13192</v>
      </c>
      <c r="K11" t="s">
        <v>13202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611</v>
      </c>
      <c r="J12" t="s">
        <v>13192</v>
      </c>
      <c r="K12" t="s">
        <v>13203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613</v>
      </c>
      <c r="J13" t="s">
        <v>13192</v>
      </c>
      <c r="K13" t="s">
        <v>13204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686</v>
      </c>
      <c r="E14" t="s">
        <v>687</v>
      </c>
      <c r="I14" t="s">
        <v>615</v>
      </c>
      <c r="J14" t="s">
        <v>13192</v>
      </c>
      <c r="K14" t="s">
        <v>13205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686</v>
      </c>
      <c r="E15" t="s">
        <v>687</v>
      </c>
      <c r="I15" t="s">
        <v>617</v>
      </c>
      <c r="J15" t="s">
        <v>13192</v>
      </c>
      <c r="K15" t="s">
        <v>13206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686</v>
      </c>
      <c r="E16" t="s">
        <v>687</v>
      </c>
      <c r="I16" t="s">
        <v>619</v>
      </c>
      <c r="J16" t="s">
        <v>13192</v>
      </c>
      <c r="K16" t="s">
        <v>13207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621</v>
      </c>
      <c r="J17" t="s">
        <v>13192</v>
      </c>
      <c r="K17" t="s">
        <v>13208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623</v>
      </c>
      <c r="J18" t="s">
        <v>13192</v>
      </c>
      <c r="K18" t="s">
        <v>13209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625</v>
      </c>
      <c r="J19" t="s">
        <v>13192</v>
      </c>
      <c r="K19" t="s">
        <v>13210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627</v>
      </c>
      <c r="J20" t="s">
        <v>13192</v>
      </c>
      <c r="K20" t="s">
        <v>13211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629</v>
      </c>
      <c r="J21" t="s">
        <v>13192</v>
      </c>
      <c r="K21" t="s">
        <v>13212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631</v>
      </c>
      <c r="J22" t="s">
        <v>13192</v>
      </c>
      <c r="K22" t="s">
        <v>13213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686</v>
      </c>
      <c r="E23" t="s">
        <v>687</v>
      </c>
      <c r="I23" t="s">
        <v>633</v>
      </c>
      <c r="J23" t="s">
        <v>13192</v>
      </c>
      <c r="K23" t="s">
        <v>13214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635</v>
      </c>
      <c r="J24" t="s">
        <v>13192</v>
      </c>
      <c r="K24" t="s">
        <v>13215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637</v>
      </c>
      <c r="J25" t="s">
        <v>13192</v>
      </c>
      <c r="K25" t="s">
        <v>13216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639</v>
      </c>
      <c r="J26" t="s">
        <v>13192</v>
      </c>
      <c r="K26" t="s">
        <v>13217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641</v>
      </c>
      <c r="J27" t="s">
        <v>13192</v>
      </c>
      <c r="K27" t="s">
        <v>13218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643</v>
      </c>
      <c r="J28" t="s">
        <v>13192</v>
      </c>
      <c r="K28" t="s">
        <v>13219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645</v>
      </c>
      <c r="J29" t="s">
        <v>13192</v>
      </c>
      <c r="K29" t="s">
        <v>13220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647</v>
      </c>
      <c r="J30" t="s">
        <v>13192</v>
      </c>
      <c r="K30" t="s">
        <v>13221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649</v>
      </c>
      <c r="J31" t="s">
        <v>13192</v>
      </c>
      <c r="K31" t="s">
        <v>13222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651</v>
      </c>
      <c r="J32" t="s">
        <v>13192</v>
      </c>
      <c r="K32" t="s">
        <v>13223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653</v>
      </c>
      <c r="J33" t="s">
        <v>13192</v>
      </c>
      <c r="K33" t="s">
        <v>13224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686</v>
      </c>
      <c r="E34" t="s">
        <v>687</v>
      </c>
      <c r="I34" t="s">
        <v>655</v>
      </c>
      <c r="J34" t="s">
        <v>13192</v>
      </c>
      <c r="K34" t="s">
        <v>13225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686</v>
      </c>
      <c r="E35" t="s">
        <v>687</v>
      </c>
      <c r="I35" t="s">
        <v>657</v>
      </c>
      <c r="J35" t="s">
        <v>13192</v>
      </c>
      <c r="K35" t="s">
        <v>13226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659</v>
      </c>
      <c r="J36" t="s">
        <v>13192</v>
      </c>
      <c r="K36" t="s">
        <v>13227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661</v>
      </c>
      <c r="J37" t="s">
        <v>13192</v>
      </c>
      <c r="K37" t="s">
        <v>13228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686</v>
      </c>
      <c r="E38" t="s">
        <v>687</v>
      </c>
      <c r="I38" t="s">
        <v>663</v>
      </c>
      <c r="J38" t="s">
        <v>13192</v>
      </c>
      <c r="K38" t="s">
        <v>13229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686</v>
      </c>
      <c r="E39" t="s">
        <v>687</v>
      </c>
      <c r="I39" t="s">
        <v>665</v>
      </c>
      <c r="J39" t="s">
        <v>13192</v>
      </c>
      <c r="K39" t="s">
        <v>13230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686</v>
      </c>
      <c r="E40" t="s">
        <v>687</v>
      </c>
      <c r="I40" t="s">
        <v>667</v>
      </c>
      <c r="J40" t="s">
        <v>13192</v>
      </c>
      <c r="K40" t="s">
        <v>13231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669</v>
      </c>
      <c r="J41" t="s">
        <v>13192</v>
      </c>
      <c r="K41" t="s">
        <v>13232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686</v>
      </c>
      <c r="E42" t="s">
        <v>687</v>
      </c>
      <c r="I42" t="s">
        <v>671</v>
      </c>
      <c r="J42" t="s">
        <v>13192</v>
      </c>
      <c r="K42" t="s">
        <v>13233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686</v>
      </c>
      <c r="E43" t="s">
        <v>687</v>
      </c>
      <c r="I43" t="s">
        <v>673</v>
      </c>
      <c r="J43" t="s">
        <v>13192</v>
      </c>
      <c r="K43" t="s">
        <v>13234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686</v>
      </c>
      <c r="E44" t="s">
        <v>687</v>
      </c>
      <c r="I44" t="s">
        <v>675</v>
      </c>
      <c r="J44" t="s">
        <v>13192</v>
      </c>
      <c r="K44" t="s">
        <v>13235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677</v>
      </c>
      <c r="J45" t="s">
        <v>13192</v>
      </c>
      <c r="K45" t="s">
        <v>13236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679</v>
      </c>
      <c r="J46" t="s">
        <v>13192</v>
      </c>
      <c r="K46" t="s">
        <v>13237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681</v>
      </c>
      <c r="J47" t="s">
        <v>13192</v>
      </c>
      <c r="K47" t="s">
        <v>13238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920</v>
      </c>
      <c r="J48" t="s">
        <v>13192</v>
      </c>
      <c r="K48" t="s">
        <v>13239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922</v>
      </c>
      <c r="J49" t="s">
        <v>13192</v>
      </c>
      <c r="K49" t="s">
        <v>13240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924</v>
      </c>
      <c r="J50" t="s">
        <v>13192</v>
      </c>
      <c r="K50" t="s">
        <v>13241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1627</v>
      </c>
      <c r="E51" t="s">
        <v>687</v>
      </c>
      <c r="I51" t="s">
        <v>926</v>
      </c>
      <c r="J51" t="s">
        <v>13192</v>
      </c>
      <c r="K51" t="s">
        <v>13242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928</v>
      </c>
      <c r="J52" t="s">
        <v>13192</v>
      </c>
      <c r="K52" t="s">
        <v>13243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1627</v>
      </c>
      <c r="E53" t="s">
        <v>687</v>
      </c>
      <c r="I53" t="s">
        <v>930</v>
      </c>
      <c r="J53" t="s">
        <v>13192</v>
      </c>
      <c r="K53" t="s">
        <v>13244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1627</v>
      </c>
      <c r="E54" t="s">
        <v>687</v>
      </c>
      <c r="I54" t="s">
        <v>932</v>
      </c>
      <c r="J54" t="s">
        <v>13192</v>
      </c>
      <c r="K54" t="s">
        <v>13245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1627</v>
      </c>
      <c r="E55" t="s">
        <v>687</v>
      </c>
      <c r="I55" t="s">
        <v>934</v>
      </c>
      <c r="J55" t="s">
        <v>13192</v>
      </c>
      <c r="K55" t="s">
        <v>13246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1627</v>
      </c>
      <c r="E56" t="s">
        <v>687</v>
      </c>
      <c r="I56" t="s">
        <v>936</v>
      </c>
      <c r="J56" t="s">
        <v>13192</v>
      </c>
      <c r="K56" t="s">
        <v>13247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2352</v>
      </c>
      <c r="I57" t="s">
        <v>938</v>
      </c>
      <c r="J57" t="s">
        <v>13192</v>
      </c>
      <c r="K57" t="s">
        <v>13248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2352</v>
      </c>
      <c r="I58" t="s">
        <v>940</v>
      </c>
      <c r="J58" t="s">
        <v>13192</v>
      </c>
      <c r="K58" t="s">
        <v>13249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2352</v>
      </c>
      <c r="I59" t="s">
        <v>942</v>
      </c>
      <c r="J59" t="s">
        <v>13192</v>
      </c>
      <c r="K59" t="s">
        <v>13250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2352</v>
      </c>
      <c r="I60" t="s">
        <v>944</v>
      </c>
      <c r="J60" t="s">
        <v>13192</v>
      </c>
      <c r="K60" t="s">
        <v>13251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2352</v>
      </c>
      <c r="I61" t="s">
        <v>946</v>
      </c>
      <c r="J61" t="s">
        <v>13192</v>
      </c>
      <c r="K61" t="s">
        <v>13252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2352</v>
      </c>
      <c r="I62" t="s">
        <v>948</v>
      </c>
      <c r="J62" t="s">
        <v>13192</v>
      </c>
      <c r="K62" t="s">
        <v>13253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2352</v>
      </c>
      <c r="I63" t="s">
        <v>950</v>
      </c>
      <c r="J63" t="s">
        <v>13192</v>
      </c>
      <c r="K63" t="s">
        <v>13254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2352</v>
      </c>
      <c r="I64" t="s">
        <v>1819</v>
      </c>
      <c r="J64" t="s">
        <v>13192</v>
      </c>
      <c r="K64" t="s">
        <v>13255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2352</v>
      </c>
      <c r="I65" t="s">
        <v>1821</v>
      </c>
      <c r="J65" t="s">
        <v>13192</v>
      </c>
      <c r="K65" t="s">
        <v>13256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2352</v>
      </c>
      <c r="I66" t="s">
        <v>1823</v>
      </c>
      <c r="J66" t="s">
        <v>13192</v>
      </c>
      <c r="K66" t="s">
        <v>13257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1627</v>
      </c>
      <c r="E67" t="s">
        <v>687</v>
      </c>
      <c r="I67" t="s">
        <v>1825</v>
      </c>
      <c r="J67" t="s">
        <v>13192</v>
      </c>
      <c r="K67" t="s">
        <v>13258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2352</v>
      </c>
      <c r="I68" t="s">
        <v>1827</v>
      </c>
      <c r="J68" t="s">
        <v>13192</v>
      </c>
      <c r="K68" t="s">
        <v>13259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2352</v>
      </c>
      <c r="I69" t="s">
        <v>1829</v>
      </c>
      <c r="J69" t="s">
        <v>13192</v>
      </c>
      <c r="K69" t="s">
        <v>13260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1627</v>
      </c>
      <c r="E70" t="s">
        <v>687</v>
      </c>
      <c r="I70" t="s">
        <v>1831</v>
      </c>
      <c r="J70" t="s">
        <v>13192</v>
      </c>
      <c r="K70" t="s">
        <v>13261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1627</v>
      </c>
      <c r="E71" t="s">
        <v>687</v>
      </c>
      <c r="I71" t="s">
        <v>1833</v>
      </c>
      <c r="J71" t="s">
        <v>13192</v>
      </c>
      <c r="K71" t="s">
        <v>13262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1627</v>
      </c>
      <c r="E72" t="s">
        <v>687</v>
      </c>
      <c r="I72" t="s">
        <v>1835</v>
      </c>
      <c r="J72" t="s">
        <v>13192</v>
      </c>
      <c r="K72" t="s">
        <v>13263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2352</v>
      </c>
      <c r="I73" t="s">
        <v>1837</v>
      </c>
      <c r="J73" t="s">
        <v>13192</v>
      </c>
      <c r="K73" t="s">
        <v>13264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2352</v>
      </c>
      <c r="I74" t="s">
        <v>1839</v>
      </c>
      <c r="J74" t="s">
        <v>13192</v>
      </c>
      <c r="K74" t="s">
        <v>13265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2352</v>
      </c>
      <c r="I75" t="s">
        <v>1841</v>
      </c>
      <c r="J75" t="s">
        <v>13192</v>
      </c>
      <c r="K75" t="s">
        <v>13266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2352</v>
      </c>
      <c r="I76" t="s">
        <v>1843</v>
      </c>
      <c r="J76" t="s">
        <v>13192</v>
      </c>
      <c r="K76" t="s">
        <v>13267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1627</v>
      </c>
      <c r="E77" t="s">
        <v>1058</v>
      </c>
      <c r="I77" t="s">
        <v>1845</v>
      </c>
      <c r="J77" t="s">
        <v>13192</v>
      </c>
      <c r="K77" t="s">
        <v>13268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2352</v>
      </c>
      <c r="I78" t="s">
        <v>1847</v>
      </c>
      <c r="J78" t="s">
        <v>13192</v>
      </c>
      <c r="K78" t="s">
        <v>13269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2352</v>
      </c>
      <c r="I79" t="s">
        <v>1849</v>
      </c>
      <c r="J79" t="s">
        <v>13192</v>
      </c>
      <c r="K79" t="s">
        <v>13270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1627</v>
      </c>
      <c r="E80" t="s">
        <v>1058</v>
      </c>
      <c r="I80" t="s">
        <v>1851</v>
      </c>
      <c r="J80" t="s">
        <v>13192</v>
      </c>
      <c r="K80" t="s">
        <v>13271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2352</v>
      </c>
      <c r="I81" t="s">
        <v>1853</v>
      </c>
      <c r="J81" t="s">
        <v>13192</v>
      </c>
      <c r="K81" t="s">
        <v>13272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2352</v>
      </c>
      <c r="I82" t="s">
        <v>1855</v>
      </c>
      <c r="J82" t="s">
        <v>13192</v>
      </c>
      <c r="K82" t="s">
        <v>13273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2352</v>
      </c>
      <c r="I83" t="s">
        <v>1857</v>
      </c>
      <c r="J83" t="s">
        <v>13192</v>
      </c>
      <c r="K83" t="s">
        <v>13274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2352</v>
      </c>
      <c r="I84" t="s">
        <v>1859</v>
      </c>
      <c r="J84" t="s">
        <v>13192</v>
      </c>
      <c r="K84" t="s">
        <v>13275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2352</v>
      </c>
      <c r="I85" t="s">
        <v>1861</v>
      </c>
      <c r="J85" t="s">
        <v>13192</v>
      </c>
      <c r="K85" t="s">
        <v>13276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2352</v>
      </c>
      <c r="I86" t="s">
        <v>1863</v>
      </c>
      <c r="J86" t="s">
        <v>13192</v>
      </c>
      <c r="K86" t="s">
        <v>13277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2352</v>
      </c>
      <c r="I87" t="s">
        <v>1865</v>
      </c>
      <c r="J87" t="s">
        <v>13192</v>
      </c>
      <c r="K87" t="s">
        <v>13278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1627</v>
      </c>
      <c r="E88" t="s">
        <v>687</v>
      </c>
      <c r="I88" t="s">
        <v>1867</v>
      </c>
      <c r="J88" t="s">
        <v>13192</v>
      </c>
      <c r="K88" t="s">
        <v>13279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684</v>
      </c>
      <c r="E89" t="s">
        <v>468</v>
      </c>
      <c r="I89" t="s">
        <v>1869</v>
      </c>
      <c r="J89" t="s">
        <v>13192</v>
      </c>
      <c r="K89" t="s">
        <v>13280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1607</v>
      </c>
      <c r="E90" t="s">
        <v>8</v>
      </c>
      <c r="I90" t="s">
        <v>1871</v>
      </c>
      <c r="J90" t="s">
        <v>13192</v>
      </c>
      <c r="K90" t="s">
        <v>13281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2352</v>
      </c>
      <c r="I91" t="s">
        <v>1873</v>
      </c>
      <c r="J91" t="s">
        <v>13192</v>
      </c>
      <c r="K91" t="s">
        <v>13282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2352</v>
      </c>
      <c r="I92" t="s">
        <v>1875</v>
      </c>
      <c r="J92" t="s">
        <v>13192</v>
      </c>
      <c r="K92" t="s">
        <v>13283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2352</v>
      </c>
      <c r="I93" t="s">
        <v>1877</v>
      </c>
      <c r="J93" t="s">
        <v>13192</v>
      </c>
      <c r="K93" t="s">
        <v>13284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1627</v>
      </c>
      <c r="E94" t="s">
        <v>687</v>
      </c>
      <c r="I94" t="s">
        <v>1879</v>
      </c>
      <c r="J94" t="s">
        <v>13192</v>
      </c>
      <c r="K94" t="s">
        <v>13285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2353</v>
      </c>
      <c r="E95" t="s">
        <v>468</v>
      </c>
      <c r="F95" t="s">
        <v>2354</v>
      </c>
      <c r="I95" t="s">
        <v>1881</v>
      </c>
      <c r="J95" t="s">
        <v>13192</v>
      </c>
      <c r="K95" t="s">
        <v>13286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2352</v>
      </c>
      <c r="I96" t="s">
        <v>1883</v>
      </c>
      <c r="J96" t="s">
        <v>13192</v>
      </c>
      <c r="K96" t="s">
        <v>13287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2352</v>
      </c>
      <c r="I97" t="s">
        <v>1885</v>
      </c>
      <c r="J97" t="s">
        <v>13192</v>
      </c>
      <c r="K97" t="s">
        <v>13288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1607</v>
      </c>
      <c r="E98" t="s">
        <v>8</v>
      </c>
      <c r="I98" t="s">
        <v>1887</v>
      </c>
      <c r="J98" t="s">
        <v>13192</v>
      </c>
      <c r="K98" t="s">
        <v>13289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1607</v>
      </c>
      <c r="I99" t="s">
        <v>1889</v>
      </c>
      <c r="J99" t="s">
        <v>13192</v>
      </c>
      <c r="K99" t="s">
        <v>13290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1607</v>
      </c>
      <c r="E100" t="s">
        <v>8</v>
      </c>
      <c r="I100" t="s">
        <v>2992</v>
      </c>
      <c r="J100" t="s">
        <v>13192</v>
      </c>
      <c r="K100" t="s">
        <v>13291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1607</v>
      </c>
      <c r="E101" t="s">
        <v>8</v>
      </c>
      <c r="I101" t="s">
        <v>2994</v>
      </c>
      <c r="J101" t="s">
        <v>13192</v>
      </c>
      <c r="K101" t="s">
        <v>13292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1607</v>
      </c>
      <c r="E102" t="s">
        <v>8</v>
      </c>
      <c r="I102" t="s">
        <v>2996</v>
      </c>
      <c r="J102" t="s">
        <v>13192</v>
      </c>
      <c r="K102" t="s">
        <v>13293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1607</v>
      </c>
      <c r="E103" t="s">
        <v>8</v>
      </c>
      <c r="I103" t="s">
        <v>2998</v>
      </c>
      <c r="J103" t="s">
        <v>13192</v>
      </c>
      <c r="K103" t="s">
        <v>13294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1607</v>
      </c>
      <c r="E104" t="s">
        <v>8</v>
      </c>
      <c r="I104" t="s">
        <v>3000</v>
      </c>
      <c r="J104" t="s">
        <v>13192</v>
      </c>
      <c r="K104" t="s">
        <v>13295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884</v>
      </c>
      <c r="E105" t="s">
        <v>3385</v>
      </c>
      <c r="F105" t="s">
        <v>892</v>
      </c>
      <c r="G105">
        <v>4</v>
      </c>
      <c r="I105" t="s">
        <v>3002</v>
      </c>
      <c r="J105" t="s">
        <v>13192</v>
      </c>
      <c r="K105" t="s">
        <v>13296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1607</v>
      </c>
      <c r="E106" t="s">
        <v>8</v>
      </c>
      <c r="I106" t="s">
        <v>3440</v>
      </c>
      <c r="J106" t="s">
        <v>13192</v>
      </c>
      <c r="K106" t="s">
        <v>13297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3701</v>
      </c>
      <c r="J107" t="s">
        <v>13192</v>
      </c>
      <c r="K107" t="s">
        <v>13298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685</v>
      </c>
      <c r="E108" t="s">
        <v>4129</v>
      </c>
      <c r="I108" t="s">
        <v>3703</v>
      </c>
      <c r="J108" t="s">
        <v>13192</v>
      </c>
      <c r="K108" t="s">
        <v>13299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3705</v>
      </c>
      <c r="J109" t="s">
        <v>13192</v>
      </c>
      <c r="K109" t="s">
        <v>13300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1607</v>
      </c>
      <c r="E110" t="s">
        <v>8</v>
      </c>
      <c r="I110" t="s">
        <v>3707</v>
      </c>
      <c r="J110" t="s">
        <v>13192</v>
      </c>
      <c r="K110" t="s">
        <v>13301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1607</v>
      </c>
      <c r="E111" t="s">
        <v>8</v>
      </c>
      <c r="I111" t="s">
        <v>3709</v>
      </c>
      <c r="J111" t="s">
        <v>13192</v>
      </c>
      <c r="K111" t="s">
        <v>13302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1627</v>
      </c>
      <c r="E112" t="s">
        <v>687</v>
      </c>
      <c r="I112" t="s">
        <v>3711</v>
      </c>
      <c r="J112" t="s">
        <v>13192</v>
      </c>
      <c r="K112" t="s">
        <v>13303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1627</v>
      </c>
      <c r="E113" t="s">
        <v>687</v>
      </c>
      <c r="I113" t="s">
        <v>3713</v>
      </c>
      <c r="J113" t="s">
        <v>13192</v>
      </c>
      <c r="K113" t="s">
        <v>13304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1607</v>
      </c>
      <c r="E114" t="s">
        <v>8</v>
      </c>
      <c r="I114" t="s">
        <v>3715</v>
      </c>
      <c r="J114" t="s">
        <v>13192</v>
      </c>
      <c r="K114" t="s">
        <v>13305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1607</v>
      </c>
      <c r="E115" t="s">
        <v>8</v>
      </c>
      <c r="I115" t="s">
        <v>3717</v>
      </c>
      <c r="J115" t="s">
        <v>13192</v>
      </c>
      <c r="K115" t="s">
        <v>13306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1607</v>
      </c>
      <c r="E116" t="s">
        <v>8</v>
      </c>
      <c r="I116" t="s">
        <v>4171</v>
      </c>
      <c r="J116" t="s">
        <v>13192</v>
      </c>
      <c r="K116" t="s">
        <v>13307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1607</v>
      </c>
      <c r="E117" t="s">
        <v>8</v>
      </c>
      <c r="I117" t="s">
        <v>4286</v>
      </c>
      <c r="J117" t="s">
        <v>13192</v>
      </c>
      <c r="K117" t="s">
        <v>13308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1607</v>
      </c>
      <c r="E118" t="s">
        <v>8</v>
      </c>
      <c r="I118" t="s">
        <v>4577</v>
      </c>
      <c r="J118" t="s">
        <v>13192</v>
      </c>
      <c r="K118" t="s">
        <v>13309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4579</v>
      </c>
      <c r="J119" t="s">
        <v>13192</v>
      </c>
      <c r="K119" t="s">
        <v>13310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685</v>
      </c>
      <c r="I120" t="s">
        <v>4581</v>
      </c>
      <c r="J120" t="s">
        <v>13192</v>
      </c>
      <c r="K120" t="s">
        <v>13311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685</v>
      </c>
      <c r="I121" t="s">
        <v>4583</v>
      </c>
      <c r="J121" t="s">
        <v>13192</v>
      </c>
      <c r="K121" t="s">
        <v>13312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684</v>
      </c>
      <c r="E122" t="s">
        <v>468</v>
      </c>
      <c r="I122" t="s">
        <v>4585</v>
      </c>
      <c r="J122" t="s">
        <v>13192</v>
      </c>
      <c r="K122" t="s">
        <v>13313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4587</v>
      </c>
      <c r="J123" t="s">
        <v>13192</v>
      </c>
      <c r="K123" t="s">
        <v>13314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2352</v>
      </c>
      <c r="I124" t="s">
        <v>4589</v>
      </c>
      <c r="J124" t="s">
        <v>13192</v>
      </c>
      <c r="K124" t="s">
        <v>13315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2352</v>
      </c>
      <c r="I125" t="s">
        <v>4591</v>
      </c>
      <c r="J125" t="s">
        <v>13192</v>
      </c>
      <c r="K125" t="s">
        <v>13316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1607</v>
      </c>
      <c r="E126" t="s">
        <v>8</v>
      </c>
      <c r="I126" t="s">
        <v>4593</v>
      </c>
      <c r="J126" t="s">
        <v>13192</v>
      </c>
      <c r="K126" t="s">
        <v>13317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1607</v>
      </c>
      <c r="E127" t="s">
        <v>8</v>
      </c>
      <c r="I127" t="s">
        <v>4694</v>
      </c>
      <c r="J127" t="s">
        <v>13192</v>
      </c>
      <c r="K127" t="s">
        <v>13318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1607</v>
      </c>
      <c r="E128" t="s">
        <v>8</v>
      </c>
      <c r="I128" t="s">
        <v>4849</v>
      </c>
      <c r="J128" t="s">
        <v>13192</v>
      </c>
      <c r="K128" t="s">
        <v>13319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1607</v>
      </c>
      <c r="E129" t="s">
        <v>8</v>
      </c>
      <c r="I129" t="s">
        <v>4957</v>
      </c>
      <c r="J129" t="s">
        <v>13192</v>
      </c>
      <c r="K129" t="s">
        <v>13320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1607</v>
      </c>
      <c r="E130" t="s">
        <v>8</v>
      </c>
      <c r="I130" t="s">
        <v>5064</v>
      </c>
      <c r="J130" t="s">
        <v>13192</v>
      </c>
      <c r="K130" t="s">
        <v>13321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1627</v>
      </c>
      <c r="E131" t="s">
        <v>687</v>
      </c>
      <c r="I131" t="s">
        <v>5247</v>
      </c>
      <c r="J131" t="s">
        <v>13192</v>
      </c>
      <c r="K131" t="s">
        <v>13322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5249</v>
      </c>
      <c r="J132" t="s">
        <v>13192</v>
      </c>
      <c r="K132" t="s">
        <v>13323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1627</v>
      </c>
      <c r="E133" t="s">
        <v>687</v>
      </c>
      <c r="I133" t="s">
        <v>5251</v>
      </c>
      <c r="J133" t="s">
        <v>13192</v>
      </c>
      <c r="K133" t="s">
        <v>13324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1627</v>
      </c>
      <c r="E134" t="s">
        <v>687</v>
      </c>
      <c r="I134" t="s">
        <v>5253</v>
      </c>
      <c r="J134" t="s">
        <v>13192</v>
      </c>
      <c r="K134" t="s">
        <v>13325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5255</v>
      </c>
      <c r="J135" t="s">
        <v>13192</v>
      </c>
      <c r="K135" t="s">
        <v>13326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5357</v>
      </c>
      <c r="J136" t="s">
        <v>13192</v>
      </c>
      <c r="K136" t="s">
        <v>13327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1607</v>
      </c>
      <c r="E137" t="s">
        <v>9</v>
      </c>
      <c r="I137" t="s">
        <v>5359</v>
      </c>
      <c r="J137" t="s">
        <v>13192</v>
      </c>
      <c r="K137" t="s">
        <v>13328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1607</v>
      </c>
      <c r="E138" t="s">
        <v>9</v>
      </c>
      <c r="I138" t="s">
        <v>5525</v>
      </c>
      <c r="J138" t="s">
        <v>13192</v>
      </c>
      <c r="K138" t="s">
        <v>13329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5527</v>
      </c>
      <c r="J139" t="s">
        <v>13192</v>
      </c>
      <c r="K139" t="s">
        <v>13330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5694</v>
      </c>
      <c r="I140" t="s">
        <v>5529</v>
      </c>
      <c r="J140" t="s">
        <v>13192</v>
      </c>
      <c r="K140" t="s">
        <v>13331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884</v>
      </c>
      <c r="E141" t="s">
        <v>5695</v>
      </c>
      <c r="I141" t="s">
        <v>5531</v>
      </c>
      <c r="J141" t="s">
        <v>13192</v>
      </c>
      <c r="K141" t="s">
        <v>13332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1607</v>
      </c>
      <c r="E142" t="s">
        <v>9</v>
      </c>
      <c r="I142" t="s">
        <v>5533</v>
      </c>
      <c r="J142" t="s">
        <v>13192</v>
      </c>
      <c r="K142" t="s">
        <v>13333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1607</v>
      </c>
      <c r="E143" t="s">
        <v>9</v>
      </c>
      <c r="I143" t="s">
        <v>5715</v>
      </c>
      <c r="J143" t="s">
        <v>13192</v>
      </c>
      <c r="K143" t="s">
        <v>13334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1607</v>
      </c>
      <c r="E144" t="s">
        <v>9</v>
      </c>
      <c r="I144" t="s">
        <v>5890</v>
      </c>
      <c r="J144" t="s">
        <v>13192</v>
      </c>
      <c r="K144" t="s">
        <v>13335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1607</v>
      </c>
      <c r="E145" t="s">
        <v>9</v>
      </c>
      <c r="I145" t="s">
        <v>5892</v>
      </c>
      <c r="J145" t="s">
        <v>13192</v>
      </c>
      <c r="K145" t="s">
        <v>13336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1607</v>
      </c>
      <c r="E146" t="s">
        <v>9</v>
      </c>
      <c r="I146" t="s">
        <v>5929</v>
      </c>
      <c r="J146" t="s">
        <v>13192</v>
      </c>
      <c r="K146" t="s">
        <v>13337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1607</v>
      </c>
      <c r="E147" t="s">
        <v>9</v>
      </c>
      <c r="I147" t="s">
        <v>5931</v>
      </c>
      <c r="J147" t="s">
        <v>13192</v>
      </c>
      <c r="K147" t="s">
        <v>13338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1607</v>
      </c>
      <c r="E148" t="s">
        <v>9</v>
      </c>
      <c r="I148" t="s">
        <v>6293</v>
      </c>
      <c r="J148" t="s">
        <v>13192</v>
      </c>
      <c r="K148" t="s">
        <v>13339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1607</v>
      </c>
      <c r="E149" t="s">
        <v>9</v>
      </c>
      <c r="I149" t="s">
        <v>6422</v>
      </c>
      <c r="J149" t="s">
        <v>13192</v>
      </c>
      <c r="K149" t="s">
        <v>13340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1607</v>
      </c>
      <c r="E150" t="s">
        <v>9</v>
      </c>
      <c r="I150" t="s">
        <v>6424</v>
      </c>
      <c r="J150" t="s">
        <v>13192</v>
      </c>
      <c r="K150" t="s">
        <v>13341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5694</v>
      </c>
      <c r="I151" t="s">
        <v>6514</v>
      </c>
      <c r="J151" t="s">
        <v>13192</v>
      </c>
      <c r="K151" t="s">
        <v>13342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884</v>
      </c>
      <c r="E152" t="s">
        <v>53</v>
      </c>
      <c r="G152">
        <v>5</v>
      </c>
      <c r="I152" t="s">
        <v>6516</v>
      </c>
      <c r="J152" t="s">
        <v>13192</v>
      </c>
      <c r="K152" t="s">
        <v>13343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468</v>
      </c>
      <c r="I153" t="s">
        <v>6518</v>
      </c>
      <c r="J153" t="s">
        <v>13192</v>
      </c>
      <c r="K153" t="s">
        <v>13344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1607</v>
      </c>
      <c r="E154" t="s">
        <v>9</v>
      </c>
      <c r="I154" t="s">
        <v>6520</v>
      </c>
      <c r="J154" t="s">
        <v>13192</v>
      </c>
      <c r="K154" t="s">
        <v>13345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1607</v>
      </c>
      <c r="E155" t="s">
        <v>9</v>
      </c>
      <c r="I155" t="s">
        <v>6660</v>
      </c>
      <c r="J155" t="s">
        <v>13192</v>
      </c>
      <c r="K155" t="s">
        <v>13346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1607</v>
      </c>
      <c r="E156" t="s">
        <v>9</v>
      </c>
      <c r="I156" t="s">
        <v>6522</v>
      </c>
      <c r="J156" t="s">
        <v>13192</v>
      </c>
      <c r="K156" t="s">
        <v>13347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1607</v>
      </c>
      <c r="E157" t="s">
        <v>9</v>
      </c>
      <c r="I157" t="s">
        <v>6728</v>
      </c>
      <c r="J157" t="s">
        <v>13192</v>
      </c>
      <c r="K157" t="s">
        <v>13348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1607</v>
      </c>
      <c r="E158" t="s">
        <v>9</v>
      </c>
      <c r="I158" t="s">
        <v>6730</v>
      </c>
      <c r="J158" t="s">
        <v>13192</v>
      </c>
      <c r="K158" t="s">
        <v>13349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1607</v>
      </c>
      <c r="E159" t="s">
        <v>9</v>
      </c>
      <c r="I159" t="s">
        <v>6732</v>
      </c>
      <c r="J159" t="s">
        <v>13192</v>
      </c>
      <c r="K159" t="s">
        <v>13350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1607</v>
      </c>
      <c r="E160" t="s">
        <v>9</v>
      </c>
      <c r="I160" t="s">
        <v>6879</v>
      </c>
      <c r="J160" t="s">
        <v>13192</v>
      </c>
      <c r="K160" t="s">
        <v>13351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1607</v>
      </c>
      <c r="E161" t="s">
        <v>9</v>
      </c>
      <c r="I161" t="s">
        <v>6881</v>
      </c>
      <c r="J161" t="s">
        <v>13192</v>
      </c>
      <c r="K161" t="s">
        <v>13352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1607</v>
      </c>
      <c r="E162" t="s">
        <v>9</v>
      </c>
      <c r="I162" t="s">
        <v>6883</v>
      </c>
      <c r="J162" t="s">
        <v>13192</v>
      </c>
      <c r="K162" t="s">
        <v>13353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1607</v>
      </c>
      <c r="E163" t="s">
        <v>9</v>
      </c>
      <c r="I163" t="s">
        <v>6885</v>
      </c>
      <c r="J163" t="s">
        <v>13192</v>
      </c>
      <c r="K163" t="s">
        <v>13354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1607</v>
      </c>
      <c r="E164" t="s">
        <v>9</v>
      </c>
      <c r="I164" t="s">
        <v>6887</v>
      </c>
      <c r="J164" t="s">
        <v>13192</v>
      </c>
      <c r="K164" t="s">
        <v>13355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1607</v>
      </c>
      <c r="E165" t="s">
        <v>9</v>
      </c>
      <c r="I165" t="s">
        <v>6889</v>
      </c>
      <c r="J165" t="s">
        <v>13192</v>
      </c>
      <c r="K165" t="s">
        <v>13356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1607</v>
      </c>
      <c r="E166" t="s">
        <v>7066</v>
      </c>
      <c r="I166" t="s">
        <v>6891</v>
      </c>
      <c r="J166" t="s">
        <v>13192</v>
      </c>
      <c r="K166" t="s">
        <v>13357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1607</v>
      </c>
      <c r="E167" t="s">
        <v>4393</v>
      </c>
      <c r="I167" t="s">
        <v>7203</v>
      </c>
      <c r="J167" t="s">
        <v>13192</v>
      </c>
      <c r="K167" t="s">
        <v>13358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7205</v>
      </c>
      <c r="J168" t="s">
        <v>13192</v>
      </c>
      <c r="K168" t="s">
        <v>13359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684</v>
      </c>
      <c r="E169" t="s">
        <v>1274</v>
      </c>
      <c r="I169" t="s">
        <v>7207</v>
      </c>
      <c r="J169" t="s">
        <v>13192</v>
      </c>
      <c r="K169" t="s">
        <v>13360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1627</v>
      </c>
      <c r="E170" t="s">
        <v>687</v>
      </c>
      <c r="I170" t="s">
        <v>7209</v>
      </c>
      <c r="J170" t="s">
        <v>13192</v>
      </c>
      <c r="K170" t="s">
        <v>13361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7352</v>
      </c>
      <c r="E171" t="s">
        <v>7353</v>
      </c>
      <c r="I171" t="s">
        <v>7211</v>
      </c>
      <c r="J171" t="s">
        <v>13192</v>
      </c>
      <c r="K171" t="s">
        <v>13362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1627</v>
      </c>
      <c r="E172" t="s">
        <v>687</v>
      </c>
      <c r="I172" t="s">
        <v>7213</v>
      </c>
      <c r="J172" t="s">
        <v>13192</v>
      </c>
      <c r="K172" t="s">
        <v>13363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1627</v>
      </c>
      <c r="E173" t="s">
        <v>687</v>
      </c>
      <c r="H173" t="s">
        <v>2352</v>
      </c>
      <c r="I173" t="s">
        <v>7215</v>
      </c>
      <c r="J173" t="s">
        <v>13192</v>
      </c>
      <c r="K173" t="s">
        <v>13364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7217</v>
      </c>
      <c r="J174" t="s">
        <v>13192</v>
      </c>
      <c r="K174" t="s">
        <v>13365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7219</v>
      </c>
      <c r="J175" t="s">
        <v>13192</v>
      </c>
      <c r="K175" t="s">
        <v>13366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7410</v>
      </c>
      <c r="J176" t="s">
        <v>13192</v>
      </c>
      <c r="K176" t="s">
        <v>13367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2352</v>
      </c>
      <c r="I177" t="s">
        <v>7412</v>
      </c>
      <c r="J177" t="s">
        <v>13192</v>
      </c>
      <c r="K177" t="s">
        <v>13368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7531</v>
      </c>
      <c r="E178" t="s">
        <v>1274</v>
      </c>
      <c r="I178" t="s">
        <v>7414</v>
      </c>
      <c r="J178" t="s">
        <v>13192</v>
      </c>
      <c r="K178" t="s">
        <v>13369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7531</v>
      </c>
      <c r="E179" t="s">
        <v>1274</v>
      </c>
      <c r="H179" t="s">
        <v>2352</v>
      </c>
      <c r="I179" t="s">
        <v>7416</v>
      </c>
      <c r="J179" t="s">
        <v>13192</v>
      </c>
      <c r="K179" t="s">
        <v>13370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7531</v>
      </c>
      <c r="E180" t="s">
        <v>1274</v>
      </c>
      <c r="H180" t="s">
        <v>2352</v>
      </c>
      <c r="I180" t="s">
        <v>7418</v>
      </c>
      <c r="J180" t="s">
        <v>13192</v>
      </c>
      <c r="K180" t="s">
        <v>13371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1627</v>
      </c>
      <c r="E181" t="s">
        <v>687</v>
      </c>
      <c r="I181" t="s">
        <v>7420</v>
      </c>
      <c r="J181" t="s">
        <v>13192</v>
      </c>
      <c r="K181" t="s">
        <v>13372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7532</v>
      </c>
      <c r="J182" t="s">
        <v>13192</v>
      </c>
      <c r="K182" t="s">
        <v>13373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1627</v>
      </c>
      <c r="E183" t="s">
        <v>687</v>
      </c>
      <c r="I183" t="s">
        <v>7534</v>
      </c>
      <c r="J183" t="s">
        <v>13192</v>
      </c>
      <c r="K183" t="s">
        <v>13374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1627</v>
      </c>
      <c r="E184" t="s">
        <v>687</v>
      </c>
      <c r="I184" t="s">
        <v>7536</v>
      </c>
      <c r="J184" t="s">
        <v>13192</v>
      </c>
      <c r="K184" t="s">
        <v>13375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7531</v>
      </c>
      <c r="E185" t="s">
        <v>1274</v>
      </c>
      <c r="I185" t="s">
        <v>7538</v>
      </c>
      <c r="J185" t="s">
        <v>13192</v>
      </c>
      <c r="K185" t="s">
        <v>13376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1627</v>
      </c>
      <c r="E186" t="s">
        <v>687</v>
      </c>
      <c r="I186" t="s">
        <v>7540</v>
      </c>
      <c r="J186" t="s">
        <v>13192</v>
      </c>
      <c r="K186" t="s">
        <v>13377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1627</v>
      </c>
      <c r="E187" t="s">
        <v>687</v>
      </c>
      <c r="I187" t="s">
        <v>7542</v>
      </c>
      <c r="J187" t="s">
        <v>13192</v>
      </c>
      <c r="K187" t="s">
        <v>13378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7531</v>
      </c>
      <c r="E188" t="s">
        <v>1274</v>
      </c>
      <c r="I188" t="s">
        <v>7544</v>
      </c>
      <c r="J188" t="s">
        <v>13192</v>
      </c>
      <c r="K188" t="s">
        <v>13379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1627</v>
      </c>
      <c r="E189" t="s">
        <v>687</v>
      </c>
      <c r="I189" t="s">
        <v>7546</v>
      </c>
      <c r="J189" t="s">
        <v>13192</v>
      </c>
      <c r="K189" t="s">
        <v>13380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1627</v>
      </c>
      <c r="E190" t="s">
        <v>687</v>
      </c>
      <c r="I190" t="s">
        <v>7548</v>
      </c>
      <c r="J190" t="s">
        <v>13192</v>
      </c>
      <c r="K190" t="s">
        <v>13381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7562</v>
      </c>
      <c r="E191" t="s">
        <v>468</v>
      </c>
      <c r="I191" t="s">
        <v>7550</v>
      </c>
      <c r="J191" t="s">
        <v>13192</v>
      </c>
      <c r="K191" t="s">
        <v>13382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7531</v>
      </c>
      <c r="E192" t="s">
        <v>1274</v>
      </c>
      <c r="I192" t="s">
        <v>7552</v>
      </c>
      <c r="J192" t="s">
        <v>13192</v>
      </c>
      <c r="K192" t="s">
        <v>13383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7531</v>
      </c>
      <c r="E193" t="s">
        <v>1274</v>
      </c>
      <c r="I193" t="s">
        <v>7554</v>
      </c>
      <c r="J193" t="s">
        <v>13192</v>
      </c>
      <c r="K193" t="s">
        <v>13384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7531</v>
      </c>
      <c r="E194" t="s">
        <v>1274</v>
      </c>
      <c r="I194" t="s">
        <v>7556</v>
      </c>
      <c r="J194" t="s">
        <v>13192</v>
      </c>
      <c r="K194" t="s">
        <v>13385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1627</v>
      </c>
      <c r="E195" t="s">
        <v>687</v>
      </c>
      <c r="I195" t="s">
        <v>7558</v>
      </c>
      <c r="J195" t="s">
        <v>13192</v>
      </c>
      <c r="K195" t="s">
        <v>13386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7531</v>
      </c>
      <c r="E196" t="s">
        <v>1274</v>
      </c>
      <c r="I196" t="s">
        <v>7560</v>
      </c>
      <c r="J196" t="s">
        <v>13192</v>
      </c>
      <c r="K196" t="s">
        <v>13387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7531</v>
      </c>
      <c r="E197" t="s">
        <v>1274</v>
      </c>
      <c r="I197" t="s">
        <v>7685</v>
      </c>
      <c r="J197" t="s">
        <v>13192</v>
      </c>
      <c r="K197" t="s">
        <v>13388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7687</v>
      </c>
      <c r="J198" t="s">
        <v>13192</v>
      </c>
      <c r="K198" t="s">
        <v>13389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7531</v>
      </c>
      <c r="E199" t="s">
        <v>1274</v>
      </c>
      <c r="I199" t="s">
        <v>7689</v>
      </c>
      <c r="J199" t="s">
        <v>13192</v>
      </c>
      <c r="K199" t="s">
        <v>13390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1627</v>
      </c>
      <c r="E200" t="s">
        <v>687</v>
      </c>
      <c r="I200" t="s">
        <v>7691</v>
      </c>
      <c r="J200" t="s">
        <v>13192</v>
      </c>
      <c r="K200" t="s">
        <v>13391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7693</v>
      </c>
      <c r="J201" t="s">
        <v>13192</v>
      </c>
      <c r="K201" t="s">
        <v>13392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7531</v>
      </c>
      <c r="E202" t="s">
        <v>1274</v>
      </c>
      <c r="I202" t="s">
        <v>7789</v>
      </c>
      <c r="J202" t="s">
        <v>13192</v>
      </c>
      <c r="K202" t="s">
        <v>13393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7531</v>
      </c>
      <c r="E203" t="s">
        <v>1274</v>
      </c>
      <c r="I203" t="s">
        <v>7791</v>
      </c>
      <c r="J203" t="s">
        <v>13192</v>
      </c>
      <c r="K203" t="s">
        <v>13394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7531</v>
      </c>
      <c r="E204" t="s">
        <v>1274</v>
      </c>
      <c r="I204" t="s">
        <v>7793</v>
      </c>
      <c r="J204" t="s">
        <v>13192</v>
      </c>
      <c r="K204" t="s">
        <v>13395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1627</v>
      </c>
      <c r="E205" t="s">
        <v>687</v>
      </c>
      <c r="I205" t="s">
        <v>7795</v>
      </c>
      <c r="J205" t="s">
        <v>13192</v>
      </c>
      <c r="K205" t="s">
        <v>13396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1627</v>
      </c>
      <c r="E206" t="s">
        <v>687</v>
      </c>
      <c r="I206" t="s">
        <v>7797</v>
      </c>
      <c r="J206" t="s">
        <v>13192</v>
      </c>
      <c r="K206" t="s">
        <v>13397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1627</v>
      </c>
      <c r="E207" t="s">
        <v>687</v>
      </c>
      <c r="I207" t="s">
        <v>7799</v>
      </c>
      <c r="J207" t="s">
        <v>13192</v>
      </c>
      <c r="K207" t="s">
        <v>13398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7531</v>
      </c>
      <c r="E208" t="s">
        <v>1274</v>
      </c>
      <c r="I208" t="s">
        <v>7801</v>
      </c>
      <c r="J208" t="s">
        <v>13192</v>
      </c>
      <c r="K208" t="s">
        <v>13399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7803</v>
      </c>
      <c r="J209" t="s">
        <v>13192</v>
      </c>
      <c r="K209" t="s">
        <v>13400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7531</v>
      </c>
      <c r="E210" t="s">
        <v>1274</v>
      </c>
      <c r="I210" t="s">
        <v>7805</v>
      </c>
      <c r="J210" t="s">
        <v>13192</v>
      </c>
      <c r="K210" t="s">
        <v>13401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1627</v>
      </c>
      <c r="E211" t="s">
        <v>687</v>
      </c>
      <c r="I211" t="s">
        <v>7807</v>
      </c>
      <c r="J211" t="s">
        <v>13192</v>
      </c>
      <c r="K211" t="s">
        <v>13402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7531</v>
      </c>
      <c r="E212" t="s">
        <v>1274</v>
      </c>
      <c r="I212" t="s">
        <v>7809</v>
      </c>
      <c r="J212" t="s">
        <v>13192</v>
      </c>
      <c r="K212" t="s">
        <v>13403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7531</v>
      </c>
      <c r="E213" t="s">
        <v>1274</v>
      </c>
      <c r="I213" t="s">
        <v>7811</v>
      </c>
      <c r="J213" t="s">
        <v>13192</v>
      </c>
      <c r="K213" t="s">
        <v>13404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7531</v>
      </c>
      <c r="E214" t="s">
        <v>1274</v>
      </c>
      <c r="I214" t="s">
        <v>7813</v>
      </c>
      <c r="J214" t="s">
        <v>13192</v>
      </c>
      <c r="K214" t="s">
        <v>13405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7562</v>
      </c>
      <c r="E215" t="s">
        <v>468</v>
      </c>
      <c r="I215" t="s">
        <v>7815</v>
      </c>
      <c r="J215" t="s">
        <v>13192</v>
      </c>
      <c r="K215" t="s">
        <v>13406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7531</v>
      </c>
      <c r="E216" t="s">
        <v>1274</v>
      </c>
      <c r="I216" t="s">
        <v>7817</v>
      </c>
      <c r="J216" t="s">
        <v>13192</v>
      </c>
      <c r="K216" t="s">
        <v>13407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7531</v>
      </c>
      <c r="E217" t="s">
        <v>1274</v>
      </c>
      <c r="I217" t="s">
        <v>7819</v>
      </c>
      <c r="J217" t="s">
        <v>13192</v>
      </c>
      <c r="K217" t="s">
        <v>13408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1627</v>
      </c>
      <c r="E218" t="s">
        <v>687</v>
      </c>
      <c r="I218" t="s">
        <v>7821</v>
      </c>
      <c r="J218" t="s">
        <v>13192</v>
      </c>
      <c r="K218" t="s">
        <v>13409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1627</v>
      </c>
      <c r="E219" t="s">
        <v>687</v>
      </c>
      <c r="I219" t="s">
        <v>7823</v>
      </c>
      <c r="J219" t="s">
        <v>13192</v>
      </c>
      <c r="K219" t="s">
        <v>13410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1627</v>
      </c>
      <c r="E220" t="s">
        <v>687</v>
      </c>
      <c r="I220" t="s">
        <v>7979</v>
      </c>
      <c r="J220" t="s">
        <v>13192</v>
      </c>
      <c r="K220" t="s">
        <v>13411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1627</v>
      </c>
      <c r="E221" t="s">
        <v>687</v>
      </c>
      <c r="I221" t="s">
        <v>7981</v>
      </c>
      <c r="J221" t="s">
        <v>13192</v>
      </c>
      <c r="K221" t="s">
        <v>13412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1627</v>
      </c>
      <c r="E222" t="s">
        <v>687</v>
      </c>
      <c r="I222" t="s">
        <v>7983</v>
      </c>
      <c r="J222" t="s">
        <v>13192</v>
      </c>
      <c r="K222" t="s">
        <v>13413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7531</v>
      </c>
      <c r="E223" t="s">
        <v>1274</v>
      </c>
      <c r="I223" t="s">
        <v>7985</v>
      </c>
      <c r="J223" t="s">
        <v>13192</v>
      </c>
      <c r="K223" t="s">
        <v>13414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7531</v>
      </c>
      <c r="E224" t="s">
        <v>1274</v>
      </c>
      <c r="I224" t="s">
        <v>7987</v>
      </c>
      <c r="J224" t="s">
        <v>13192</v>
      </c>
      <c r="K224" t="s">
        <v>13415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7531</v>
      </c>
      <c r="E225" t="s">
        <v>1274</v>
      </c>
      <c r="I225" t="s">
        <v>7989</v>
      </c>
      <c r="J225" t="s">
        <v>13192</v>
      </c>
      <c r="K225" t="s">
        <v>13416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7531</v>
      </c>
      <c r="E226" t="s">
        <v>1274</v>
      </c>
      <c r="I226" t="s">
        <v>7991</v>
      </c>
      <c r="J226" t="s">
        <v>13192</v>
      </c>
      <c r="K226" t="s">
        <v>13417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7531</v>
      </c>
      <c r="E227" t="s">
        <v>1274</v>
      </c>
      <c r="I227" t="s">
        <v>7993</v>
      </c>
      <c r="J227" t="s">
        <v>13192</v>
      </c>
      <c r="K227" t="s">
        <v>13418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7531</v>
      </c>
      <c r="E228" t="s">
        <v>1274</v>
      </c>
      <c r="I228" t="s">
        <v>7995</v>
      </c>
      <c r="J228" t="s">
        <v>13192</v>
      </c>
      <c r="K228" t="s">
        <v>13419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1627</v>
      </c>
      <c r="E229" t="s">
        <v>687</v>
      </c>
      <c r="I229" t="s">
        <v>7997</v>
      </c>
      <c r="J229" t="s">
        <v>13192</v>
      </c>
      <c r="K229" t="s">
        <v>13420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7562</v>
      </c>
      <c r="E230" t="s">
        <v>468</v>
      </c>
      <c r="I230" t="s">
        <v>7999</v>
      </c>
      <c r="J230" t="s">
        <v>13192</v>
      </c>
      <c r="K230" t="s">
        <v>13421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8001</v>
      </c>
      <c r="J231" t="s">
        <v>13192</v>
      </c>
      <c r="K231" t="s">
        <v>13422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1627</v>
      </c>
      <c r="E232" t="s">
        <v>687</v>
      </c>
      <c r="I232" t="s">
        <v>8003</v>
      </c>
      <c r="J232" t="s">
        <v>13192</v>
      </c>
      <c r="K232" t="s">
        <v>13423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7531</v>
      </c>
      <c r="E233" t="s">
        <v>1274</v>
      </c>
      <c r="I233" t="s">
        <v>8301</v>
      </c>
      <c r="J233" t="s">
        <v>13192</v>
      </c>
      <c r="K233" t="s">
        <v>13424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7531</v>
      </c>
      <c r="E234" t="s">
        <v>1274</v>
      </c>
      <c r="I234" t="s">
        <v>8303</v>
      </c>
      <c r="J234" t="s">
        <v>13192</v>
      </c>
      <c r="K234" t="s">
        <v>13425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8305</v>
      </c>
      <c r="J235" t="s">
        <v>13192</v>
      </c>
      <c r="K235" t="s">
        <v>13426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7531</v>
      </c>
      <c r="E236" t="s">
        <v>1274</v>
      </c>
      <c r="I236" t="s">
        <v>8307</v>
      </c>
      <c r="J236" t="s">
        <v>13192</v>
      </c>
      <c r="K236" t="s">
        <v>13427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7531</v>
      </c>
      <c r="E237" t="s">
        <v>1274</v>
      </c>
      <c r="I237" t="s">
        <v>8309</v>
      </c>
      <c r="J237" t="s">
        <v>13192</v>
      </c>
      <c r="K237" t="s">
        <v>13428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8311</v>
      </c>
      <c r="J238" t="s">
        <v>13192</v>
      </c>
      <c r="K238" t="s">
        <v>13429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7531</v>
      </c>
      <c r="E239" t="s">
        <v>1274</v>
      </c>
      <c r="I239" t="s">
        <v>8383</v>
      </c>
      <c r="J239" t="s">
        <v>13192</v>
      </c>
      <c r="K239" t="s">
        <v>13430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7531</v>
      </c>
      <c r="E240" t="s">
        <v>1274</v>
      </c>
      <c r="I240" t="s">
        <v>8385</v>
      </c>
      <c r="J240" t="s">
        <v>13192</v>
      </c>
      <c r="K240" t="s">
        <v>13431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8387</v>
      </c>
      <c r="J241" t="s">
        <v>13192</v>
      </c>
      <c r="K241" t="s">
        <v>13432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7531</v>
      </c>
      <c r="E242" t="s">
        <v>1274</v>
      </c>
      <c r="I242" t="s">
        <v>8472</v>
      </c>
      <c r="J242" t="s">
        <v>13192</v>
      </c>
      <c r="K242" t="s">
        <v>13433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7531</v>
      </c>
      <c r="E243" t="s">
        <v>1274</v>
      </c>
      <c r="H243" t="s">
        <v>2352</v>
      </c>
      <c r="I243" t="s">
        <v>8474</v>
      </c>
      <c r="J243" t="s">
        <v>13192</v>
      </c>
      <c r="K243" t="s">
        <v>13434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7531</v>
      </c>
      <c r="E244" t="s">
        <v>1274</v>
      </c>
      <c r="H244" t="s">
        <v>2352</v>
      </c>
      <c r="I244" t="s">
        <v>8476</v>
      </c>
      <c r="J244" t="s">
        <v>13192</v>
      </c>
      <c r="K244" t="s">
        <v>13435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7531</v>
      </c>
      <c r="E245" t="s">
        <v>1274</v>
      </c>
      <c r="H245" t="s">
        <v>2352</v>
      </c>
      <c r="I245" t="s">
        <v>8478</v>
      </c>
      <c r="J245" t="s">
        <v>13192</v>
      </c>
      <c r="K245" t="s">
        <v>13436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7531</v>
      </c>
      <c r="E246" t="s">
        <v>1274</v>
      </c>
      <c r="H246" t="s">
        <v>2352</v>
      </c>
      <c r="I246" t="s">
        <v>8480</v>
      </c>
      <c r="J246" t="s">
        <v>13192</v>
      </c>
      <c r="K246" t="s">
        <v>13437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7531</v>
      </c>
      <c r="E247" t="s">
        <v>1274</v>
      </c>
      <c r="H247" t="s">
        <v>2352</v>
      </c>
      <c r="I247" t="s">
        <v>8482</v>
      </c>
      <c r="J247" t="s">
        <v>13192</v>
      </c>
      <c r="K247" t="s">
        <v>13438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7531</v>
      </c>
      <c r="E248" t="s">
        <v>1274</v>
      </c>
      <c r="H248" t="s">
        <v>2352</v>
      </c>
      <c r="I248" t="s">
        <v>8484</v>
      </c>
      <c r="J248" t="s">
        <v>13192</v>
      </c>
      <c r="K248" t="s">
        <v>13439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8718</v>
      </c>
      <c r="E249" t="s">
        <v>687</v>
      </c>
      <c r="I249" t="s">
        <v>8610</v>
      </c>
      <c r="J249" t="s">
        <v>13192</v>
      </c>
      <c r="K249" t="s">
        <v>13440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8718</v>
      </c>
      <c r="E250" t="s">
        <v>687</v>
      </c>
      <c r="I250" t="s">
        <v>8612</v>
      </c>
      <c r="J250" t="s">
        <v>13192</v>
      </c>
      <c r="K250" t="s">
        <v>13441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1627</v>
      </c>
      <c r="E251" t="s">
        <v>687</v>
      </c>
      <c r="I251" t="s">
        <v>8614</v>
      </c>
      <c r="J251" t="s">
        <v>13192</v>
      </c>
      <c r="K251" t="s">
        <v>13442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8718</v>
      </c>
      <c r="E252" t="s">
        <v>687</v>
      </c>
      <c r="I252" t="s">
        <v>8616</v>
      </c>
      <c r="J252" t="s">
        <v>13192</v>
      </c>
      <c r="K252" t="s">
        <v>13443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1627</v>
      </c>
      <c r="E253" t="s">
        <v>687</v>
      </c>
      <c r="I253" t="s">
        <v>8618</v>
      </c>
      <c r="J253" t="s">
        <v>13192</v>
      </c>
      <c r="K253" t="s">
        <v>13444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1627</v>
      </c>
      <c r="E254" t="s">
        <v>687</v>
      </c>
      <c r="I254" t="s">
        <v>8620</v>
      </c>
      <c r="J254" t="s">
        <v>13192</v>
      </c>
      <c r="K254" t="s">
        <v>13445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1627</v>
      </c>
      <c r="E255" t="s">
        <v>687</v>
      </c>
      <c r="I255" t="s">
        <v>8622</v>
      </c>
      <c r="J255" t="s">
        <v>13192</v>
      </c>
      <c r="K255" t="s">
        <v>13446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7531</v>
      </c>
      <c r="E256" t="s">
        <v>1274</v>
      </c>
      <c r="I256" t="s">
        <v>8624</v>
      </c>
      <c r="J256" t="s">
        <v>13192</v>
      </c>
      <c r="K256" t="s">
        <v>13447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1627</v>
      </c>
      <c r="E257" t="s">
        <v>687</v>
      </c>
      <c r="I257" t="s">
        <v>8626</v>
      </c>
      <c r="J257" t="s">
        <v>13192</v>
      </c>
      <c r="K257" t="s">
        <v>13448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7531</v>
      </c>
      <c r="E258" t="s">
        <v>1274</v>
      </c>
      <c r="I258" t="s">
        <v>8628</v>
      </c>
      <c r="J258" t="s">
        <v>13192</v>
      </c>
      <c r="K258" t="s">
        <v>13449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7531</v>
      </c>
      <c r="E259" t="s">
        <v>1274</v>
      </c>
      <c r="I259" t="s">
        <v>8630</v>
      </c>
      <c r="J259" t="s">
        <v>13192</v>
      </c>
      <c r="K259" t="s">
        <v>13450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1627</v>
      </c>
      <c r="E260" t="s">
        <v>687</v>
      </c>
      <c r="I260" t="s">
        <v>8632</v>
      </c>
      <c r="J260" t="s">
        <v>13192</v>
      </c>
      <c r="K260" t="s">
        <v>13451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1627</v>
      </c>
      <c r="E261" t="s">
        <v>687</v>
      </c>
      <c r="I261" t="s">
        <v>8634</v>
      </c>
      <c r="J261" t="s">
        <v>13192</v>
      </c>
      <c r="K261" t="s">
        <v>13452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8747</v>
      </c>
      <c r="J262" t="s">
        <v>13192</v>
      </c>
      <c r="K262" t="s">
        <v>13453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7531</v>
      </c>
      <c r="E263" t="s">
        <v>1274</v>
      </c>
      <c r="I263" t="s">
        <v>8749</v>
      </c>
      <c r="J263" t="s">
        <v>13192</v>
      </c>
      <c r="K263" t="s">
        <v>13454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8718</v>
      </c>
      <c r="E264" t="s">
        <v>687</v>
      </c>
      <c r="I264" t="s">
        <v>8751</v>
      </c>
      <c r="J264" t="s">
        <v>13192</v>
      </c>
      <c r="K264" t="s">
        <v>13455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1627</v>
      </c>
      <c r="E265" t="s">
        <v>687</v>
      </c>
      <c r="I265" t="s">
        <v>8753</v>
      </c>
      <c r="J265" t="s">
        <v>13192</v>
      </c>
      <c r="K265" t="s">
        <v>13456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8718</v>
      </c>
      <c r="E266" t="s">
        <v>687</v>
      </c>
      <c r="I266" t="s">
        <v>8755</v>
      </c>
      <c r="J266" t="s">
        <v>13192</v>
      </c>
      <c r="K266" t="s">
        <v>13457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1627</v>
      </c>
      <c r="E267" t="s">
        <v>687</v>
      </c>
      <c r="I267" t="s">
        <v>8757</v>
      </c>
      <c r="J267" t="s">
        <v>13192</v>
      </c>
      <c r="K267" t="s">
        <v>13458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8718</v>
      </c>
      <c r="E268" t="s">
        <v>687</v>
      </c>
      <c r="I268" t="s">
        <v>8759</v>
      </c>
      <c r="J268" t="s">
        <v>13192</v>
      </c>
      <c r="K268" t="s">
        <v>13459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1627</v>
      </c>
      <c r="E269" t="s">
        <v>687</v>
      </c>
      <c r="I269" t="s">
        <v>8761</v>
      </c>
      <c r="J269" t="s">
        <v>13192</v>
      </c>
      <c r="K269" t="s">
        <v>13460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7562</v>
      </c>
      <c r="E270" t="s">
        <v>1274</v>
      </c>
      <c r="I270" t="s">
        <v>8838</v>
      </c>
      <c r="J270" t="s">
        <v>13192</v>
      </c>
      <c r="K270" t="s">
        <v>13461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1627</v>
      </c>
      <c r="E271" t="s">
        <v>687</v>
      </c>
      <c r="I271" t="s">
        <v>8840</v>
      </c>
      <c r="J271" t="s">
        <v>13192</v>
      </c>
      <c r="K271" t="s">
        <v>13462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1627</v>
      </c>
      <c r="E272" t="s">
        <v>687</v>
      </c>
      <c r="I272" t="s">
        <v>8976</v>
      </c>
      <c r="J272" t="s">
        <v>13192</v>
      </c>
      <c r="K272" t="s">
        <v>13463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7531</v>
      </c>
      <c r="E273" t="s">
        <v>1274</v>
      </c>
      <c r="I273" t="s">
        <v>8978</v>
      </c>
      <c r="J273" t="s">
        <v>13192</v>
      </c>
      <c r="K273" t="s">
        <v>13464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7531</v>
      </c>
      <c r="E274" t="s">
        <v>1274</v>
      </c>
      <c r="I274" t="s">
        <v>8980</v>
      </c>
      <c r="J274" t="s">
        <v>13192</v>
      </c>
      <c r="K274" t="s">
        <v>13465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7531</v>
      </c>
      <c r="E275" t="s">
        <v>1274</v>
      </c>
      <c r="I275" t="s">
        <v>8982</v>
      </c>
      <c r="J275" t="s">
        <v>13192</v>
      </c>
      <c r="K275" t="s">
        <v>13466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8984</v>
      </c>
      <c r="J276" t="s">
        <v>13192</v>
      </c>
      <c r="K276" t="s">
        <v>13467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7531</v>
      </c>
      <c r="E277" t="s">
        <v>1274</v>
      </c>
      <c r="I277" t="s">
        <v>8986</v>
      </c>
      <c r="J277" t="s">
        <v>13192</v>
      </c>
      <c r="K277" t="s">
        <v>13468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1627</v>
      </c>
      <c r="E278" t="s">
        <v>687</v>
      </c>
      <c r="I278" t="s">
        <v>8988</v>
      </c>
      <c r="J278" t="s">
        <v>13192</v>
      </c>
      <c r="K278" t="s">
        <v>13469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7531</v>
      </c>
      <c r="E279" t="s">
        <v>1274</v>
      </c>
      <c r="I279" t="s">
        <v>8990</v>
      </c>
      <c r="J279" t="s">
        <v>13192</v>
      </c>
      <c r="K279" t="s">
        <v>13470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1627</v>
      </c>
      <c r="E280" t="s">
        <v>687</v>
      </c>
      <c r="I280" t="s">
        <v>8992</v>
      </c>
      <c r="J280" t="s">
        <v>13192</v>
      </c>
      <c r="K280" t="s">
        <v>13471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7531</v>
      </c>
      <c r="E281" t="s">
        <v>1274</v>
      </c>
      <c r="I281" t="s">
        <v>9290</v>
      </c>
      <c r="J281" t="s">
        <v>13192</v>
      </c>
      <c r="K281" t="s">
        <v>13472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1627</v>
      </c>
      <c r="E282" t="s">
        <v>687</v>
      </c>
      <c r="I282" t="s">
        <v>9292</v>
      </c>
      <c r="J282" t="s">
        <v>13192</v>
      </c>
      <c r="K282" t="s">
        <v>13473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7531</v>
      </c>
      <c r="E283" t="s">
        <v>1274</v>
      </c>
      <c r="I283" t="s">
        <v>9294</v>
      </c>
      <c r="J283" t="s">
        <v>13192</v>
      </c>
      <c r="K283" t="s">
        <v>13474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1627</v>
      </c>
      <c r="E284" t="s">
        <v>687</v>
      </c>
      <c r="I284" t="s">
        <v>9296</v>
      </c>
      <c r="J284" t="s">
        <v>13192</v>
      </c>
      <c r="K284" t="s">
        <v>13475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1627</v>
      </c>
      <c r="E285" t="s">
        <v>687</v>
      </c>
      <c r="I285" t="s">
        <v>9298</v>
      </c>
      <c r="J285" t="s">
        <v>13192</v>
      </c>
      <c r="K285" t="s">
        <v>13476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9300</v>
      </c>
      <c r="J286" t="s">
        <v>13192</v>
      </c>
      <c r="K286" t="s">
        <v>13477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9356</v>
      </c>
      <c r="J287" t="s">
        <v>13192</v>
      </c>
      <c r="K287" t="s">
        <v>13478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1627</v>
      </c>
      <c r="E288" t="s">
        <v>687</v>
      </c>
      <c r="I288" t="s">
        <v>9358</v>
      </c>
      <c r="J288" t="s">
        <v>13192</v>
      </c>
      <c r="K288" t="s">
        <v>13479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1627</v>
      </c>
      <c r="E289" t="s">
        <v>687</v>
      </c>
      <c r="I289" t="s">
        <v>9360</v>
      </c>
      <c r="J289" t="s">
        <v>13192</v>
      </c>
      <c r="K289" t="s">
        <v>13480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1627</v>
      </c>
      <c r="E290" t="s">
        <v>687</v>
      </c>
      <c r="I290" t="s">
        <v>9362</v>
      </c>
      <c r="J290" t="s">
        <v>13192</v>
      </c>
      <c r="K290" t="s">
        <v>13481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1627</v>
      </c>
      <c r="E291" t="s">
        <v>687</v>
      </c>
      <c r="I291" t="s">
        <v>10728</v>
      </c>
      <c r="J291" t="s">
        <v>13192</v>
      </c>
      <c r="K291" t="s">
        <v>13482</v>
      </c>
      <c r="L291" t="s">
        <v>10729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3386</v>
      </c>
      <c r="E292" t="s">
        <v>86</v>
      </c>
      <c r="F292" t="s">
        <v>11080</v>
      </c>
      <c r="I292" t="s">
        <v>10730</v>
      </c>
      <c r="J292" t="s">
        <v>13192</v>
      </c>
      <c r="K292" t="s">
        <v>13483</v>
      </c>
      <c r="L292" t="s">
        <v>10731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10732</v>
      </c>
      <c r="J293" t="s">
        <v>13192</v>
      </c>
      <c r="K293" t="s">
        <v>13484</v>
      </c>
      <c r="L293" t="s">
        <v>10733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11081</v>
      </c>
      <c r="I294" t="s">
        <v>10734</v>
      </c>
      <c r="J294" t="s">
        <v>13192</v>
      </c>
      <c r="K294" t="s">
        <v>13485</v>
      </c>
      <c r="L294" t="s">
        <v>10735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6157</v>
      </c>
      <c r="I295" t="s">
        <v>10736</v>
      </c>
      <c r="J295" t="s">
        <v>13192</v>
      </c>
      <c r="K295" t="s">
        <v>13486</v>
      </c>
      <c r="L295" t="s">
        <v>10737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6157</v>
      </c>
      <c r="I296" t="s">
        <v>10738</v>
      </c>
      <c r="J296" t="s">
        <v>13192</v>
      </c>
      <c r="K296" t="s">
        <v>13487</v>
      </c>
      <c r="L296" t="s">
        <v>10739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6157</v>
      </c>
      <c r="I297" t="s">
        <v>10740</v>
      </c>
      <c r="J297" t="s">
        <v>13192</v>
      </c>
      <c r="K297" t="s">
        <v>13488</v>
      </c>
      <c r="L297" t="s">
        <v>10741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6157</v>
      </c>
      <c r="I298" t="s">
        <v>10742</v>
      </c>
      <c r="J298" t="s">
        <v>13192</v>
      </c>
      <c r="K298" t="s">
        <v>13489</v>
      </c>
      <c r="L298" t="s">
        <v>10743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468</v>
      </c>
      <c r="I299" t="s">
        <v>10744</v>
      </c>
      <c r="J299" t="s">
        <v>13192</v>
      </c>
      <c r="K299" t="s">
        <v>13490</v>
      </c>
      <c r="L299" t="s">
        <v>10745</v>
      </c>
      <c r="M299" s="2" t="str">
        <f>HYPERLINK(склад2въезд1319202122[[#This Row],[RelativePath]])</f>
        <v>8 Ангар вход\GA3948333_1_20260225T204517Z.jpg</v>
      </c>
    </row>
  </sheetData>
  <conditionalFormatting sqref="D300:D310 E300:E313 G2:H299 D2:E299">
    <cfRule type="containsText" dxfId="906" priority="14" operator="containsText" text="Выезд с территории">
      <formula>NOT(ISERROR(SEARCH("Выезд с территории",D2)))</formula>
    </cfRule>
  </conditionalFormatting>
  <conditionalFormatting sqref="F2:F299">
    <cfRule type="notContainsText" dxfId="905" priority="13" operator="notContains" text="порожний">
      <formula>ISERROR(SEARCH("порожний",F2))</formula>
    </cfRule>
  </conditionalFormatting>
  <conditionalFormatting sqref="E2:E313">
    <cfRule type="containsText" dxfId="904" priority="11" operator="containsText" text="Газель базы">
      <formula>NOT(ISERROR(SEARCH("Газель базы",E2)))</formula>
    </cfRule>
    <cfRule type="containsText" dxfId="903" priority="12" operator="containsText" text="Погрузчик базы">
      <formula>NOT(ISERROR(SEARCH("Погрузчик базы",E2)))</formula>
    </cfRule>
  </conditionalFormatting>
  <conditionalFormatting sqref="E2:E313">
    <cfRule type="containsText" dxfId="902" priority="10" operator="containsText" text="Трактор базы">
      <formula>NOT(ISERROR(SEARCH("Трактор базы",E2)))</formula>
    </cfRule>
  </conditionalFormatting>
  <conditionalFormatting sqref="A2:C299">
    <cfRule type="expression" dxfId="901" priority="9">
      <formula>$A2="пн"</formula>
    </cfRule>
  </conditionalFormatting>
  <conditionalFormatting sqref="A2:C301">
    <cfRule type="expression" dxfId="900" priority="3">
      <formula>$A2="вс"</formula>
    </cfRule>
    <cfRule type="expression" dxfId="899" priority="4">
      <formula>$A2="сб"</formula>
    </cfRule>
    <cfRule type="expression" dxfId="898" priority="5">
      <formula>$A2="пт"</formula>
    </cfRule>
    <cfRule type="expression" dxfId="897" priority="6">
      <formula>$A2="чт"</formula>
    </cfRule>
    <cfRule type="expression" dxfId="896" priority="7">
      <formula>$A2="ср"</formula>
    </cfRule>
    <cfRule type="expression" dxfId="895" priority="8">
      <formula>$A2="вт"</formula>
    </cfRule>
  </conditionalFormatting>
  <conditionalFormatting sqref="D2:D310">
    <cfRule type="containsText" dxfId="8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0">
    <cfRule type="containsText" dxfId="8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612"/>
  <sheetViews>
    <sheetView zoomScale="90" zoomScaleNormal="90" workbookViewId="0">
      <pane ySplit="1" topLeftCell="A598" activePane="bottomLeft" state="frozen"/>
      <selection pane="bottomLeft" activeCell="E619" sqref="E61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688</v>
      </c>
      <c r="J2" t="s">
        <v>11092</v>
      </c>
      <c r="K2" t="s">
        <v>11093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884</v>
      </c>
      <c r="E3" t="s">
        <v>890</v>
      </c>
      <c r="I3" t="s">
        <v>690</v>
      </c>
      <c r="J3" t="s">
        <v>11092</v>
      </c>
      <c r="K3" t="s">
        <v>11094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684</v>
      </c>
      <c r="E4" t="s">
        <v>468</v>
      </c>
      <c r="I4" t="s">
        <v>692</v>
      </c>
      <c r="J4" t="s">
        <v>11092</v>
      </c>
      <c r="K4" t="s">
        <v>11095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684</v>
      </c>
      <c r="E5" t="s">
        <v>468</v>
      </c>
      <c r="I5" t="s">
        <v>694</v>
      </c>
      <c r="J5" t="s">
        <v>11092</v>
      </c>
      <c r="K5" t="s">
        <v>11096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696</v>
      </c>
      <c r="J6" t="s">
        <v>11092</v>
      </c>
      <c r="K6" t="s">
        <v>11097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891</v>
      </c>
      <c r="E7" t="s">
        <v>468</v>
      </c>
      <c r="I7" t="s">
        <v>698</v>
      </c>
      <c r="J7" t="s">
        <v>11092</v>
      </c>
      <c r="K7" t="s">
        <v>11098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226</v>
      </c>
      <c r="E8" t="s">
        <v>892</v>
      </c>
      <c r="I8" t="s">
        <v>700</v>
      </c>
      <c r="J8" t="s">
        <v>11092</v>
      </c>
      <c r="K8" t="s">
        <v>11099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702</v>
      </c>
      <c r="J9" t="s">
        <v>11092</v>
      </c>
      <c r="K9" t="s">
        <v>11100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704</v>
      </c>
      <c r="J10" t="s">
        <v>11092</v>
      </c>
      <c r="K10" t="s">
        <v>11101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706</v>
      </c>
      <c r="J11" t="s">
        <v>11092</v>
      </c>
      <c r="K11" t="s">
        <v>11102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1627</v>
      </c>
      <c r="E12" t="s">
        <v>1058</v>
      </c>
      <c r="I12" t="s">
        <v>708</v>
      </c>
      <c r="J12" t="s">
        <v>11092</v>
      </c>
      <c r="K12" t="s">
        <v>11103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710</v>
      </c>
      <c r="J13" t="s">
        <v>11092</v>
      </c>
      <c r="K13" t="s">
        <v>11104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712</v>
      </c>
      <c r="J14" t="s">
        <v>11092</v>
      </c>
      <c r="K14" t="s">
        <v>11105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714</v>
      </c>
      <c r="J15" t="s">
        <v>11092</v>
      </c>
      <c r="K15" t="s">
        <v>11106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716</v>
      </c>
      <c r="J16" t="s">
        <v>11092</v>
      </c>
      <c r="K16" t="s">
        <v>11107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718</v>
      </c>
      <c r="J17" t="s">
        <v>11092</v>
      </c>
      <c r="K17" t="s">
        <v>11108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720</v>
      </c>
      <c r="J18" t="s">
        <v>11092</v>
      </c>
      <c r="K18" t="s">
        <v>11109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722</v>
      </c>
      <c r="J19" t="s">
        <v>11092</v>
      </c>
      <c r="K19" t="s">
        <v>11110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724</v>
      </c>
      <c r="J20" t="s">
        <v>11092</v>
      </c>
      <c r="K20" t="s">
        <v>11111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726</v>
      </c>
      <c r="J21" t="s">
        <v>11092</v>
      </c>
      <c r="K21" t="s">
        <v>11112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728</v>
      </c>
      <c r="J22" t="s">
        <v>11092</v>
      </c>
      <c r="K22" t="s">
        <v>11113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730</v>
      </c>
      <c r="J23" t="s">
        <v>11092</v>
      </c>
      <c r="K23" t="s">
        <v>11114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732</v>
      </c>
      <c r="J24" t="s">
        <v>11092</v>
      </c>
      <c r="K24" t="s">
        <v>11115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734</v>
      </c>
      <c r="J25" t="s">
        <v>11092</v>
      </c>
      <c r="K25" t="s">
        <v>11116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736</v>
      </c>
      <c r="J26" t="s">
        <v>11092</v>
      </c>
      <c r="K26" t="s">
        <v>11117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738</v>
      </c>
      <c r="J27" t="s">
        <v>11092</v>
      </c>
      <c r="K27" t="s">
        <v>11118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740</v>
      </c>
      <c r="J28" t="s">
        <v>11092</v>
      </c>
      <c r="K28" t="s">
        <v>11119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1627</v>
      </c>
      <c r="E29" t="s">
        <v>1058</v>
      </c>
      <c r="I29" t="s">
        <v>742</v>
      </c>
      <c r="J29" t="s">
        <v>11092</v>
      </c>
      <c r="K29" t="s">
        <v>11120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1627</v>
      </c>
      <c r="E30" t="s">
        <v>1058</v>
      </c>
      <c r="I30" t="s">
        <v>744</v>
      </c>
      <c r="J30" t="s">
        <v>11092</v>
      </c>
      <c r="K30" t="s">
        <v>11121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1627</v>
      </c>
      <c r="E31" t="s">
        <v>1058</v>
      </c>
      <c r="I31" t="s">
        <v>746</v>
      </c>
      <c r="J31" t="s">
        <v>11092</v>
      </c>
      <c r="K31" t="s">
        <v>11122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748</v>
      </c>
      <c r="J32" t="s">
        <v>11092</v>
      </c>
      <c r="K32" t="s">
        <v>11123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750</v>
      </c>
      <c r="J33" t="s">
        <v>11092</v>
      </c>
      <c r="K33" t="s">
        <v>11124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752</v>
      </c>
      <c r="J34" t="s">
        <v>11092</v>
      </c>
      <c r="K34" t="s">
        <v>11125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754</v>
      </c>
      <c r="J35" t="s">
        <v>11092</v>
      </c>
      <c r="K35" t="s">
        <v>11126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1627</v>
      </c>
      <c r="E36" t="s">
        <v>1058</v>
      </c>
      <c r="I36" t="s">
        <v>756</v>
      </c>
      <c r="J36" t="s">
        <v>11092</v>
      </c>
      <c r="K36" t="s">
        <v>11127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758</v>
      </c>
      <c r="J37" t="s">
        <v>11092</v>
      </c>
      <c r="K37" t="s">
        <v>11128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686</v>
      </c>
      <c r="E38" t="s">
        <v>1058</v>
      </c>
      <c r="I38" t="s">
        <v>760</v>
      </c>
      <c r="J38" t="s">
        <v>11092</v>
      </c>
      <c r="K38" t="s">
        <v>11129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762</v>
      </c>
      <c r="J39" t="s">
        <v>11092</v>
      </c>
      <c r="K39" t="s">
        <v>11130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764</v>
      </c>
      <c r="J40" t="s">
        <v>11092</v>
      </c>
      <c r="K40" t="s">
        <v>11131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766</v>
      </c>
      <c r="J41" t="s">
        <v>11092</v>
      </c>
      <c r="K41" t="s">
        <v>11132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768</v>
      </c>
      <c r="J42" t="s">
        <v>11092</v>
      </c>
      <c r="K42" t="s">
        <v>11133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770</v>
      </c>
      <c r="J43" t="s">
        <v>11092</v>
      </c>
      <c r="K43" t="s">
        <v>11134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884</v>
      </c>
      <c r="E44" t="s">
        <v>886</v>
      </c>
      <c r="I44" t="s">
        <v>772</v>
      </c>
      <c r="J44" t="s">
        <v>11092</v>
      </c>
      <c r="K44" t="s">
        <v>11135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774</v>
      </c>
      <c r="J45" t="s">
        <v>11092</v>
      </c>
      <c r="K45" t="s">
        <v>11136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686</v>
      </c>
      <c r="E46" t="s">
        <v>1058</v>
      </c>
      <c r="I46" t="s">
        <v>776</v>
      </c>
      <c r="J46" t="s">
        <v>11092</v>
      </c>
      <c r="K46" t="s">
        <v>11137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1059</v>
      </c>
      <c r="E47" t="s">
        <v>890</v>
      </c>
      <c r="I47" t="s">
        <v>778</v>
      </c>
      <c r="J47" t="s">
        <v>11092</v>
      </c>
      <c r="K47" t="s">
        <v>11138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780</v>
      </c>
      <c r="J48" t="s">
        <v>11092</v>
      </c>
      <c r="K48" t="s">
        <v>11139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782</v>
      </c>
      <c r="J49" t="s">
        <v>11092</v>
      </c>
      <c r="K49" t="s">
        <v>11140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884</v>
      </c>
      <c r="E50" t="s">
        <v>888</v>
      </c>
      <c r="I50" t="s">
        <v>784</v>
      </c>
      <c r="J50" t="s">
        <v>11092</v>
      </c>
      <c r="K50" t="s">
        <v>11141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786</v>
      </c>
      <c r="J51" t="s">
        <v>11092</v>
      </c>
      <c r="K51" t="s">
        <v>11142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1060</v>
      </c>
      <c r="I52" t="s">
        <v>788</v>
      </c>
      <c r="J52" t="s">
        <v>11092</v>
      </c>
      <c r="K52" t="s">
        <v>11143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884</v>
      </c>
      <c r="E53" t="s">
        <v>1060</v>
      </c>
      <c r="I53" t="s">
        <v>790</v>
      </c>
      <c r="J53" t="s">
        <v>11092</v>
      </c>
      <c r="K53" t="s">
        <v>11144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792</v>
      </c>
      <c r="J54" t="s">
        <v>11092</v>
      </c>
      <c r="K54" t="s">
        <v>11145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794</v>
      </c>
      <c r="J55" t="s">
        <v>11092</v>
      </c>
      <c r="K55" t="s">
        <v>11146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796</v>
      </c>
      <c r="J56" t="s">
        <v>11092</v>
      </c>
      <c r="K56" t="s">
        <v>11147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798</v>
      </c>
      <c r="J57" t="s">
        <v>11092</v>
      </c>
      <c r="K57" t="s">
        <v>11148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800</v>
      </c>
      <c r="J58" t="s">
        <v>11092</v>
      </c>
      <c r="K58" t="s">
        <v>11149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802</v>
      </c>
      <c r="J59" t="s">
        <v>11092</v>
      </c>
      <c r="K59" t="s">
        <v>11150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804</v>
      </c>
      <c r="J60" t="s">
        <v>11092</v>
      </c>
      <c r="K60" t="s">
        <v>11151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806</v>
      </c>
      <c r="J61" t="s">
        <v>11092</v>
      </c>
      <c r="K61" t="s">
        <v>11152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808</v>
      </c>
      <c r="J62" t="s">
        <v>11092</v>
      </c>
      <c r="K62" t="s">
        <v>11153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810</v>
      </c>
      <c r="J63" t="s">
        <v>11092</v>
      </c>
      <c r="K63" t="s">
        <v>11154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812</v>
      </c>
      <c r="J64" t="s">
        <v>11092</v>
      </c>
      <c r="K64" t="s">
        <v>11155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814</v>
      </c>
      <c r="J65" t="s">
        <v>11092</v>
      </c>
      <c r="K65" t="s">
        <v>11156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816</v>
      </c>
      <c r="J66" t="s">
        <v>11092</v>
      </c>
      <c r="K66" t="s">
        <v>11157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818</v>
      </c>
      <c r="J67" t="s">
        <v>11092</v>
      </c>
      <c r="K67" t="s">
        <v>11158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820</v>
      </c>
      <c r="J68" t="s">
        <v>11092</v>
      </c>
      <c r="K68" t="s">
        <v>11159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822</v>
      </c>
      <c r="J69" t="s">
        <v>11092</v>
      </c>
      <c r="K69" t="s">
        <v>11160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824</v>
      </c>
      <c r="J70" t="s">
        <v>11092</v>
      </c>
      <c r="K70" t="s">
        <v>11161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826</v>
      </c>
      <c r="J71" t="s">
        <v>11092</v>
      </c>
      <c r="K71" t="s">
        <v>11162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828</v>
      </c>
      <c r="J72" t="s">
        <v>11092</v>
      </c>
      <c r="K72" t="s">
        <v>11163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1627</v>
      </c>
      <c r="E73" t="s">
        <v>1058</v>
      </c>
      <c r="I73" t="s">
        <v>830</v>
      </c>
      <c r="J73" t="s">
        <v>11092</v>
      </c>
      <c r="K73" t="s">
        <v>11164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832</v>
      </c>
      <c r="J74" t="s">
        <v>11092</v>
      </c>
      <c r="K74" t="s">
        <v>11165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834</v>
      </c>
      <c r="J75" t="s">
        <v>11092</v>
      </c>
      <c r="K75" t="s">
        <v>11166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836</v>
      </c>
      <c r="J76" t="s">
        <v>11092</v>
      </c>
      <c r="K76" t="s">
        <v>11167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884</v>
      </c>
      <c r="E77" t="s">
        <v>888</v>
      </c>
      <c r="I77" t="s">
        <v>838</v>
      </c>
      <c r="J77" t="s">
        <v>11092</v>
      </c>
      <c r="K77" t="s">
        <v>11168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884</v>
      </c>
      <c r="E78" t="s">
        <v>888</v>
      </c>
      <c r="I78" t="s">
        <v>840</v>
      </c>
      <c r="J78" t="s">
        <v>11092</v>
      </c>
      <c r="K78" t="s">
        <v>11169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842</v>
      </c>
      <c r="J79" t="s">
        <v>11092</v>
      </c>
      <c r="K79" t="s">
        <v>11170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844</v>
      </c>
      <c r="J80" t="s">
        <v>11092</v>
      </c>
      <c r="K80" t="s">
        <v>11171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846</v>
      </c>
      <c r="J81" t="s">
        <v>11092</v>
      </c>
      <c r="K81" t="s">
        <v>11172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848</v>
      </c>
      <c r="J82" t="s">
        <v>11092</v>
      </c>
      <c r="K82" t="s">
        <v>11173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850</v>
      </c>
      <c r="J83" t="s">
        <v>11092</v>
      </c>
      <c r="K83" t="s">
        <v>11174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852</v>
      </c>
      <c r="J84" t="s">
        <v>11092</v>
      </c>
      <c r="K84" t="s">
        <v>11175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854</v>
      </c>
      <c r="J85" t="s">
        <v>11092</v>
      </c>
      <c r="K85" t="s">
        <v>11176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1627</v>
      </c>
      <c r="E86" t="s">
        <v>1058</v>
      </c>
      <c r="I86" t="s">
        <v>856</v>
      </c>
      <c r="J86" t="s">
        <v>11092</v>
      </c>
      <c r="K86" t="s">
        <v>11177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858</v>
      </c>
      <c r="J87" t="s">
        <v>11092</v>
      </c>
      <c r="K87" t="s">
        <v>11178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686</v>
      </c>
      <c r="E88" t="s">
        <v>1058</v>
      </c>
      <c r="I88" t="s">
        <v>860</v>
      </c>
      <c r="J88" t="s">
        <v>11092</v>
      </c>
      <c r="K88" t="s">
        <v>11179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862</v>
      </c>
      <c r="J89" t="s">
        <v>11092</v>
      </c>
      <c r="K89" t="s">
        <v>11180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864</v>
      </c>
      <c r="J90" t="s">
        <v>11092</v>
      </c>
      <c r="K90" t="s">
        <v>11181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866</v>
      </c>
      <c r="J91" t="s">
        <v>11092</v>
      </c>
      <c r="K91" t="s">
        <v>11182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868</v>
      </c>
      <c r="J92" t="s">
        <v>11092</v>
      </c>
      <c r="K92" t="s">
        <v>11183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870</v>
      </c>
      <c r="J93" t="s">
        <v>11092</v>
      </c>
      <c r="K93" t="s">
        <v>11184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872</v>
      </c>
      <c r="J94" t="s">
        <v>11092</v>
      </c>
      <c r="K94" t="s">
        <v>11185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874</v>
      </c>
      <c r="J95" t="s">
        <v>11092</v>
      </c>
      <c r="K95" t="s">
        <v>11186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876</v>
      </c>
      <c r="J96" t="s">
        <v>11092</v>
      </c>
      <c r="K96" t="s">
        <v>11187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878</v>
      </c>
      <c r="J97" t="s">
        <v>11092</v>
      </c>
      <c r="K97" t="s">
        <v>11188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880</v>
      </c>
      <c r="J98" t="s">
        <v>11092</v>
      </c>
      <c r="K98" t="s">
        <v>11189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882</v>
      </c>
      <c r="J99" t="s">
        <v>11092</v>
      </c>
      <c r="K99" t="s">
        <v>11190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1627</v>
      </c>
      <c r="E100" t="s">
        <v>1058</v>
      </c>
      <c r="I100" t="s">
        <v>960</v>
      </c>
      <c r="J100" t="s">
        <v>11092</v>
      </c>
      <c r="K100" t="s">
        <v>11191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962</v>
      </c>
      <c r="J101" t="s">
        <v>11092</v>
      </c>
      <c r="K101" t="s">
        <v>11192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964</v>
      </c>
      <c r="J102" t="s">
        <v>11092</v>
      </c>
      <c r="K102" t="s">
        <v>11193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966</v>
      </c>
      <c r="J103" t="s">
        <v>11092</v>
      </c>
      <c r="K103" t="s">
        <v>11194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968</v>
      </c>
      <c r="J104" t="s">
        <v>11092</v>
      </c>
      <c r="K104" t="s">
        <v>11195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970</v>
      </c>
      <c r="J105" t="s">
        <v>11092</v>
      </c>
      <c r="K105" t="s">
        <v>11196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972</v>
      </c>
      <c r="J106" t="s">
        <v>11092</v>
      </c>
      <c r="K106" t="s">
        <v>11197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1891</v>
      </c>
      <c r="J107" t="s">
        <v>11092</v>
      </c>
      <c r="K107" t="s">
        <v>11198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2352</v>
      </c>
      <c r="I108" t="s">
        <v>1893</v>
      </c>
      <c r="J108" t="s">
        <v>11092</v>
      </c>
      <c r="K108" t="s">
        <v>11199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2352</v>
      </c>
      <c r="I109" t="s">
        <v>1895</v>
      </c>
      <c r="J109" t="s">
        <v>11092</v>
      </c>
      <c r="K109" t="s">
        <v>11200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2352</v>
      </c>
      <c r="I110" t="s">
        <v>1897</v>
      </c>
      <c r="J110" t="s">
        <v>11092</v>
      </c>
      <c r="K110" t="s">
        <v>11201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2352</v>
      </c>
      <c r="I111" t="s">
        <v>1899</v>
      </c>
      <c r="J111" t="s">
        <v>11092</v>
      </c>
      <c r="K111" t="s">
        <v>11202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2355</v>
      </c>
      <c r="E112" t="s">
        <v>2356</v>
      </c>
      <c r="F112" t="s">
        <v>2345</v>
      </c>
      <c r="G112">
        <v>1</v>
      </c>
      <c r="H112" t="s">
        <v>2357</v>
      </c>
      <c r="I112" t="s">
        <v>1901</v>
      </c>
      <c r="J112" t="s">
        <v>11092</v>
      </c>
      <c r="K112" t="s">
        <v>11203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2355</v>
      </c>
      <c r="E113" t="s">
        <v>2356</v>
      </c>
      <c r="F113" t="s">
        <v>2345</v>
      </c>
      <c r="G113">
        <v>1</v>
      </c>
      <c r="H113" t="s">
        <v>2357</v>
      </c>
      <c r="I113" t="s">
        <v>1903</v>
      </c>
      <c r="J113" t="s">
        <v>11092</v>
      </c>
      <c r="K113" t="s">
        <v>11204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2355</v>
      </c>
      <c r="E114" t="s">
        <v>2356</v>
      </c>
      <c r="F114" t="s">
        <v>2345</v>
      </c>
      <c r="G114">
        <v>1</v>
      </c>
      <c r="H114" t="s">
        <v>2357</v>
      </c>
      <c r="I114" t="s">
        <v>1905</v>
      </c>
      <c r="J114" t="s">
        <v>11092</v>
      </c>
      <c r="K114" t="s">
        <v>11205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2355</v>
      </c>
      <c r="E115" t="s">
        <v>2356</v>
      </c>
      <c r="F115" t="s">
        <v>2345</v>
      </c>
      <c r="G115">
        <v>1</v>
      </c>
      <c r="H115" t="s">
        <v>2357</v>
      </c>
      <c r="I115" t="s">
        <v>1907</v>
      </c>
      <c r="J115" t="s">
        <v>11092</v>
      </c>
      <c r="K115" t="s">
        <v>11206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2355</v>
      </c>
      <c r="E116" t="s">
        <v>2356</v>
      </c>
      <c r="F116" t="s">
        <v>2345</v>
      </c>
      <c r="G116">
        <v>1</v>
      </c>
      <c r="H116" t="s">
        <v>2357</v>
      </c>
      <c r="I116" t="s">
        <v>1909</v>
      </c>
      <c r="J116" t="s">
        <v>11092</v>
      </c>
      <c r="K116" t="s">
        <v>11207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2355</v>
      </c>
      <c r="E117" t="s">
        <v>2356</v>
      </c>
      <c r="F117" t="s">
        <v>2345</v>
      </c>
      <c r="G117">
        <v>1</v>
      </c>
      <c r="H117" t="s">
        <v>2357</v>
      </c>
      <c r="I117" t="s">
        <v>1911</v>
      </c>
      <c r="J117" t="s">
        <v>11092</v>
      </c>
      <c r="K117" t="s">
        <v>11208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2355</v>
      </c>
      <c r="E118" t="s">
        <v>2356</v>
      </c>
      <c r="F118" t="s">
        <v>2345</v>
      </c>
      <c r="G118">
        <v>1</v>
      </c>
      <c r="H118" t="s">
        <v>2357</v>
      </c>
      <c r="I118" t="s">
        <v>1913</v>
      </c>
      <c r="J118" t="s">
        <v>11092</v>
      </c>
      <c r="K118" t="s">
        <v>11209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2355</v>
      </c>
      <c r="E119" t="s">
        <v>2356</v>
      </c>
      <c r="F119" t="s">
        <v>2345</v>
      </c>
      <c r="G119">
        <v>1</v>
      </c>
      <c r="H119" t="s">
        <v>2357</v>
      </c>
      <c r="I119" t="s">
        <v>1915</v>
      </c>
      <c r="J119" t="s">
        <v>11092</v>
      </c>
      <c r="K119" t="s">
        <v>11210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1917</v>
      </c>
      <c r="J120" t="s">
        <v>11092</v>
      </c>
      <c r="K120" t="s">
        <v>11211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2352</v>
      </c>
      <c r="I121" t="s">
        <v>1919</v>
      </c>
      <c r="J121" t="s">
        <v>11092</v>
      </c>
      <c r="K121" t="s">
        <v>11212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1627</v>
      </c>
      <c r="E122" t="s">
        <v>1058</v>
      </c>
      <c r="I122" t="s">
        <v>1921</v>
      </c>
      <c r="J122" t="s">
        <v>11092</v>
      </c>
      <c r="K122" t="s">
        <v>11213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2352</v>
      </c>
      <c r="I123" t="s">
        <v>1923</v>
      </c>
      <c r="J123" t="s">
        <v>11092</v>
      </c>
      <c r="K123" t="s">
        <v>11214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2352</v>
      </c>
      <c r="I124" t="s">
        <v>1925</v>
      </c>
      <c r="J124" t="s">
        <v>11092</v>
      </c>
      <c r="K124" t="s">
        <v>11215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2352</v>
      </c>
      <c r="I125" t="s">
        <v>1927</v>
      </c>
      <c r="J125" t="s">
        <v>11092</v>
      </c>
      <c r="K125" t="s">
        <v>11216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2352</v>
      </c>
      <c r="I126" t="s">
        <v>1929</v>
      </c>
      <c r="J126" t="s">
        <v>11092</v>
      </c>
      <c r="K126" t="s">
        <v>11217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1931</v>
      </c>
      <c r="J127" t="s">
        <v>11092</v>
      </c>
      <c r="K127" t="s">
        <v>11218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884</v>
      </c>
      <c r="E128" t="s">
        <v>1274</v>
      </c>
      <c r="F128" t="s">
        <v>58</v>
      </c>
      <c r="I128" t="s">
        <v>1933</v>
      </c>
      <c r="J128" t="s">
        <v>11092</v>
      </c>
      <c r="K128" t="s">
        <v>11219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884</v>
      </c>
      <c r="E129" t="s">
        <v>1274</v>
      </c>
      <c r="F129" t="s">
        <v>58</v>
      </c>
      <c r="I129" t="s">
        <v>1935</v>
      </c>
      <c r="J129" t="s">
        <v>11092</v>
      </c>
      <c r="K129" t="s">
        <v>11220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884</v>
      </c>
      <c r="E130" t="s">
        <v>1274</v>
      </c>
      <c r="F130" t="s">
        <v>58</v>
      </c>
      <c r="I130" t="s">
        <v>1937</v>
      </c>
      <c r="J130" t="s">
        <v>11092</v>
      </c>
      <c r="K130" t="s">
        <v>11221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884</v>
      </c>
      <c r="E131" t="s">
        <v>1274</v>
      </c>
      <c r="F131" t="s">
        <v>58</v>
      </c>
      <c r="I131" t="s">
        <v>1939</v>
      </c>
      <c r="J131" t="s">
        <v>11092</v>
      </c>
      <c r="K131" t="s">
        <v>11222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2359</v>
      </c>
      <c r="H132" t="s">
        <v>2358</v>
      </c>
      <c r="I132" t="s">
        <v>1941</v>
      </c>
      <c r="J132" t="s">
        <v>11092</v>
      </c>
      <c r="K132" t="s">
        <v>11223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884</v>
      </c>
      <c r="E133" t="s">
        <v>1274</v>
      </c>
      <c r="F133" t="s">
        <v>2367</v>
      </c>
      <c r="I133" t="s">
        <v>1943</v>
      </c>
      <c r="J133" t="s">
        <v>11092</v>
      </c>
      <c r="K133" t="s">
        <v>11224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1945</v>
      </c>
      <c r="J134" t="s">
        <v>11092</v>
      </c>
      <c r="K134" t="s">
        <v>11225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884</v>
      </c>
      <c r="E135" t="s">
        <v>1274</v>
      </c>
      <c r="F135" t="s">
        <v>58</v>
      </c>
      <c r="I135" t="s">
        <v>1947</v>
      </c>
      <c r="J135" t="s">
        <v>11092</v>
      </c>
      <c r="K135" t="s">
        <v>11226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884</v>
      </c>
      <c r="E136" t="s">
        <v>1274</v>
      </c>
      <c r="F136" t="s">
        <v>58</v>
      </c>
      <c r="I136" t="s">
        <v>1949</v>
      </c>
      <c r="J136" t="s">
        <v>11092</v>
      </c>
      <c r="K136" t="s">
        <v>11227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884</v>
      </c>
      <c r="E137" t="s">
        <v>1274</v>
      </c>
      <c r="F137" t="s">
        <v>58</v>
      </c>
      <c r="H137" t="s">
        <v>2352</v>
      </c>
      <c r="I137" t="s">
        <v>1951</v>
      </c>
      <c r="J137" t="s">
        <v>11092</v>
      </c>
      <c r="K137" t="s">
        <v>11228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2352</v>
      </c>
      <c r="I138" t="s">
        <v>1953</v>
      </c>
      <c r="J138" t="s">
        <v>11092</v>
      </c>
      <c r="K138" t="s">
        <v>11229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2352</v>
      </c>
      <c r="I139" t="s">
        <v>1955</v>
      </c>
      <c r="J139" t="s">
        <v>11092</v>
      </c>
      <c r="K139" t="s">
        <v>11230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2352</v>
      </c>
      <c r="I140" t="s">
        <v>1957</v>
      </c>
      <c r="J140" t="s">
        <v>11092</v>
      </c>
      <c r="K140" t="s">
        <v>11231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2352</v>
      </c>
      <c r="I141" t="s">
        <v>1959</v>
      </c>
      <c r="J141" t="s">
        <v>11092</v>
      </c>
      <c r="K141" t="s">
        <v>11232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2352</v>
      </c>
      <c r="I142" t="s">
        <v>1961</v>
      </c>
      <c r="J142" t="s">
        <v>11092</v>
      </c>
      <c r="K142" t="s">
        <v>11233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2352</v>
      </c>
      <c r="I143" t="s">
        <v>1963</v>
      </c>
      <c r="J143" t="s">
        <v>11092</v>
      </c>
      <c r="K143" t="s">
        <v>11234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2352</v>
      </c>
      <c r="I144" t="s">
        <v>1965</v>
      </c>
      <c r="J144" t="s">
        <v>11092</v>
      </c>
      <c r="K144" t="s">
        <v>11235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2352</v>
      </c>
      <c r="I145" t="s">
        <v>1967</v>
      </c>
      <c r="J145" t="s">
        <v>11092</v>
      </c>
      <c r="K145" t="s">
        <v>11236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884</v>
      </c>
      <c r="E146" t="s">
        <v>1274</v>
      </c>
      <c r="F146" t="s">
        <v>2360</v>
      </c>
      <c r="I146" t="s">
        <v>1969</v>
      </c>
      <c r="J146" t="s">
        <v>11092</v>
      </c>
      <c r="K146" t="s">
        <v>11237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884</v>
      </c>
      <c r="E147" t="s">
        <v>2356</v>
      </c>
      <c r="F147" t="s">
        <v>2360</v>
      </c>
      <c r="I147" t="s">
        <v>1971</v>
      </c>
      <c r="J147" t="s">
        <v>11092</v>
      </c>
      <c r="K147" t="s">
        <v>11238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884</v>
      </c>
      <c r="E148" t="s">
        <v>1274</v>
      </c>
      <c r="F148" t="s">
        <v>886</v>
      </c>
      <c r="I148" t="s">
        <v>1973</v>
      </c>
      <c r="J148" t="s">
        <v>11092</v>
      </c>
      <c r="K148" t="s">
        <v>11239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1975</v>
      </c>
      <c r="J149" t="s">
        <v>11092</v>
      </c>
      <c r="K149" t="s">
        <v>11240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2361</v>
      </c>
      <c r="E150" t="s">
        <v>1274</v>
      </c>
      <c r="I150" t="s">
        <v>1977</v>
      </c>
      <c r="J150" t="s">
        <v>11092</v>
      </c>
      <c r="K150" t="s">
        <v>11241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2362</v>
      </c>
      <c r="E151" t="s">
        <v>1274</v>
      </c>
      <c r="I151" t="s">
        <v>1979</v>
      </c>
      <c r="J151" t="s">
        <v>11092</v>
      </c>
      <c r="K151" t="s">
        <v>11242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1981</v>
      </c>
      <c r="J152" t="s">
        <v>11092</v>
      </c>
      <c r="K152" t="s">
        <v>11243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2352</v>
      </c>
      <c r="I153" t="s">
        <v>1983</v>
      </c>
      <c r="J153" t="s">
        <v>11092</v>
      </c>
      <c r="K153" t="s">
        <v>11244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2352</v>
      </c>
      <c r="I154" t="s">
        <v>1985</v>
      </c>
      <c r="J154" t="s">
        <v>11092</v>
      </c>
      <c r="K154" t="s">
        <v>11245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884</v>
      </c>
      <c r="E155" t="s">
        <v>1274</v>
      </c>
      <c r="F155" t="s">
        <v>58</v>
      </c>
      <c r="I155" t="s">
        <v>1987</v>
      </c>
      <c r="J155" t="s">
        <v>11092</v>
      </c>
      <c r="K155" t="s">
        <v>11246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2352</v>
      </c>
      <c r="I156" t="s">
        <v>1989</v>
      </c>
      <c r="J156" t="s">
        <v>11092</v>
      </c>
      <c r="K156" t="s">
        <v>11247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2352</v>
      </c>
      <c r="I157" t="s">
        <v>1991</v>
      </c>
      <c r="J157" t="s">
        <v>11092</v>
      </c>
      <c r="K157" t="s">
        <v>11248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2363</v>
      </c>
      <c r="I158" t="s">
        <v>1993</v>
      </c>
      <c r="J158" t="s">
        <v>11092</v>
      </c>
      <c r="K158" t="s">
        <v>11249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1995</v>
      </c>
      <c r="J159" t="s">
        <v>11092</v>
      </c>
      <c r="K159" t="s">
        <v>11250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884</v>
      </c>
      <c r="E160" t="s">
        <v>2356</v>
      </c>
      <c r="F160" t="s">
        <v>58</v>
      </c>
      <c r="I160" t="s">
        <v>1997</v>
      </c>
      <c r="J160" t="s">
        <v>11092</v>
      </c>
      <c r="K160" t="s">
        <v>11251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2352</v>
      </c>
      <c r="I161" t="s">
        <v>1999</v>
      </c>
      <c r="J161" t="s">
        <v>11092</v>
      </c>
      <c r="K161" t="s">
        <v>11252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884</v>
      </c>
      <c r="E162" t="s">
        <v>1274</v>
      </c>
      <c r="F162" t="s">
        <v>58</v>
      </c>
      <c r="I162" t="s">
        <v>2001</v>
      </c>
      <c r="J162" t="s">
        <v>11092</v>
      </c>
      <c r="K162" t="s">
        <v>11253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2352</v>
      </c>
      <c r="I163" t="s">
        <v>2003</v>
      </c>
      <c r="J163" t="s">
        <v>11092</v>
      </c>
      <c r="K163" t="s">
        <v>11254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2352</v>
      </c>
      <c r="I164" t="s">
        <v>2005</v>
      </c>
      <c r="J164" t="s">
        <v>11092</v>
      </c>
      <c r="K164" t="s">
        <v>11255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884</v>
      </c>
      <c r="E165" t="s">
        <v>1274</v>
      </c>
      <c r="F165" t="s">
        <v>58</v>
      </c>
      <c r="I165" t="s">
        <v>2007</v>
      </c>
      <c r="J165" t="s">
        <v>11092</v>
      </c>
      <c r="K165" t="s">
        <v>11256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2009</v>
      </c>
      <c r="J166" t="s">
        <v>11092</v>
      </c>
      <c r="K166" t="s">
        <v>11257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1607</v>
      </c>
      <c r="I167" t="s">
        <v>2011</v>
      </c>
      <c r="J167" t="s">
        <v>11092</v>
      </c>
      <c r="K167" t="s">
        <v>11258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1607</v>
      </c>
      <c r="I168" t="s">
        <v>2013</v>
      </c>
      <c r="J168" t="s">
        <v>11092</v>
      </c>
      <c r="K168" t="s">
        <v>11259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3004</v>
      </c>
      <c r="J169" t="s">
        <v>11092</v>
      </c>
      <c r="K169" t="s">
        <v>11260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2352</v>
      </c>
      <c r="I170" t="s">
        <v>3006</v>
      </c>
      <c r="J170" t="s">
        <v>11092</v>
      </c>
      <c r="K170" t="s">
        <v>11261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2352</v>
      </c>
      <c r="I171" t="s">
        <v>3008</v>
      </c>
      <c r="J171" t="s">
        <v>11092</v>
      </c>
      <c r="K171" t="s">
        <v>11262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2352</v>
      </c>
      <c r="I172" t="s">
        <v>3010</v>
      </c>
      <c r="J172" t="s">
        <v>11092</v>
      </c>
      <c r="K172" t="s">
        <v>11263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2352</v>
      </c>
      <c r="I173" t="s">
        <v>3012</v>
      </c>
      <c r="J173" t="s">
        <v>11092</v>
      </c>
      <c r="K173" t="s">
        <v>11264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3014</v>
      </c>
      <c r="J174" t="s">
        <v>11092</v>
      </c>
      <c r="K174" t="s">
        <v>11265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1627</v>
      </c>
      <c r="E175" t="s">
        <v>1058</v>
      </c>
      <c r="I175" t="s">
        <v>3016</v>
      </c>
      <c r="J175" t="s">
        <v>11092</v>
      </c>
      <c r="K175" t="s">
        <v>11266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1627</v>
      </c>
      <c r="E176" t="s">
        <v>1058</v>
      </c>
      <c r="H176" t="s">
        <v>2352</v>
      </c>
      <c r="I176" t="s">
        <v>3018</v>
      </c>
      <c r="J176" t="s">
        <v>11092</v>
      </c>
      <c r="K176" t="s">
        <v>11267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1627</v>
      </c>
      <c r="E177" t="s">
        <v>1058</v>
      </c>
      <c r="H177" t="s">
        <v>2352</v>
      </c>
      <c r="I177" t="s">
        <v>3020</v>
      </c>
      <c r="J177" t="s">
        <v>11092</v>
      </c>
      <c r="K177" t="s">
        <v>11268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1627</v>
      </c>
      <c r="E178" t="s">
        <v>1058</v>
      </c>
      <c r="H178" t="s">
        <v>2352</v>
      </c>
      <c r="I178" t="s">
        <v>3022</v>
      </c>
      <c r="J178" t="s">
        <v>11092</v>
      </c>
      <c r="K178" t="s">
        <v>11269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1627</v>
      </c>
      <c r="E179" t="s">
        <v>1058</v>
      </c>
      <c r="H179" t="s">
        <v>2352</v>
      </c>
      <c r="I179" t="s">
        <v>3024</v>
      </c>
      <c r="J179" t="s">
        <v>11092</v>
      </c>
      <c r="K179" t="s">
        <v>11270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3026</v>
      </c>
      <c r="J180" t="s">
        <v>11092</v>
      </c>
      <c r="K180" t="s">
        <v>11271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1627</v>
      </c>
      <c r="E181" t="s">
        <v>1058</v>
      </c>
      <c r="H181" t="s">
        <v>2352</v>
      </c>
      <c r="I181" t="s">
        <v>3028</v>
      </c>
      <c r="J181" t="s">
        <v>11092</v>
      </c>
      <c r="K181" t="s">
        <v>11272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1627</v>
      </c>
      <c r="E182" t="s">
        <v>1058</v>
      </c>
      <c r="H182" t="s">
        <v>2352</v>
      </c>
      <c r="I182" t="s">
        <v>3030</v>
      </c>
      <c r="J182" t="s">
        <v>11092</v>
      </c>
      <c r="K182" t="s">
        <v>11273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1627</v>
      </c>
      <c r="E183" t="s">
        <v>1058</v>
      </c>
      <c r="H183" t="s">
        <v>2352</v>
      </c>
      <c r="I183" t="s">
        <v>3032</v>
      </c>
      <c r="J183" t="s">
        <v>11092</v>
      </c>
      <c r="K183" t="s">
        <v>11274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1627</v>
      </c>
      <c r="E184" t="s">
        <v>1058</v>
      </c>
      <c r="H184" t="s">
        <v>2352</v>
      </c>
      <c r="I184" t="s">
        <v>3034</v>
      </c>
      <c r="J184" t="s">
        <v>11092</v>
      </c>
      <c r="K184" t="s">
        <v>11275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1627</v>
      </c>
      <c r="E185" t="s">
        <v>1058</v>
      </c>
      <c r="H185" t="s">
        <v>2352</v>
      </c>
      <c r="I185" t="s">
        <v>3036</v>
      </c>
      <c r="J185" t="s">
        <v>11092</v>
      </c>
      <c r="K185" t="s">
        <v>11276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1627</v>
      </c>
      <c r="E186" t="s">
        <v>1058</v>
      </c>
      <c r="H186" t="s">
        <v>2352</v>
      </c>
      <c r="I186" t="s">
        <v>3038</v>
      </c>
      <c r="J186" t="s">
        <v>11092</v>
      </c>
      <c r="K186" t="s">
        <v>11277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1627</v>
      </c>
      <c r="E187" t="s">
        <v>1058</v>
      </c>
      <c r="H187" t="s">
        <v>2352</v>
      </c>
      <c r="I187" t="s">
        <v>3040</v>
      </c>
      <c r="J187" t="s">
        <v>11092</v>
      </c>
      <c r="K187" t="s">
        <v>11278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1627</v>
      </c>
      <c r="E188" t="s">
        <v>1058</v>
      </c>
      <c r="H188" t="s">
        <v>2352</v>
      </c>
      <c r="I188" t="s">
        <v>3042</v>
      </c>
      <c r="J188" t="s">
        <v>11092</v>
      </c>
      <c r="K188" t="s">
        <v>11279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1627</v>
      </c>
      <c r="E189" t="s">
        <v>1058</v>
      </c>
      <c r="H189" t="s">
        <v>2352</v>
      </c>
      <c r="I189" t="s">
        <v>3044</v>
      </c>
      <c r="J189" t="s">
        <v>11092</v>
      </c>
      <c r="K189" t="s">
        <v>11280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3046</v>
      </c>
      <c r="J190" t="s">
        <v>11092</v>
      </c>
      <c r="K190" t="s">
        <v>11281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2352</v>
      </c>
      <c r="I191" t="s">
        <v>3048</v>
      </c>
      <c r="J191" t="s">
        <v>11092</v>
      </c>
      <c r="K191" t="s">
        <v>11282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2352</v>
      </c>
      <c r="I192" t="s">
        <v>3050</v>
      </c>
      <c r="J192" t="s">
        <v>11092</v>
      </c>
      <c r="K192" t="s">
        <v>11283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2352</v>
      </c>
      <c r="I193" t="s">
        <v>3052</v>
      </c>
      <c r="J193" t="s">
        <v>11092</v>
      </c>
      <c r="K193" t="s">
        <v>11284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2352</v>
      </c>
      <c r="I194" t="s">
        <v>3054</v>
      </c>
      <c r="J194" t="s">
        <v>11092</v>
      </c>
      <c r="K194" t="s">
        <v>11285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2352</v>
      </c>
      <c r="I195" t="s">
        <v>3056</v>
      </c>
      <c r="J195" t="s">
        <v>11092</v>
      </c>
      <c r="K195" t="s">
        <v>11286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2352</v>
      </c>
      <c r="I196" t="s">
        <v>3058</v>
      </c>
      <c r="J196" t="s">
        <v>11092</v>
      </c>
      <c r="K196" t="s">
        <v>11287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2352</v>
      </c>
      <c r="I197" t="s">
        <v>3060</v>
      </c>
      <c r="J197" t="s">
        <v>11092</v>
      </c>
      <c r="K197" t="s">
        <v>11288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2352</v>
      </c>
      <c r="I198" t="s">
        <v>3062</v>
      </c>
      <c r="J198" t="s">
        <v>11092</v>
      </c>
      <c r="K198" t="s">
        <v>11289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2352</v>
      </c>
      <c r="I199" t="s">
        <v>3064</v>
      </c>
      <c r="J199" t="s">
        <v>11092</v>
      </c>
      <c r="K199" t="s">
        <v>11290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2352</v>
      </c>
      <c r="I200" t="s">
        <v>3066</v>
      </c>
      <c r="J200" t="s">
        <v>11092</v>
      </c>
      <c r="K200" t="s">
        <v>11291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2352</v>
      </c>
      <c r="I201" t="s">
        <v>3068</v>
      </c>
      <c r="J201" t="s">
        <v>11092</v>
      </c>
      <c r="K201" t="s">
        <v>11292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2352</v>
      </c>
      <c r="I202" t="s">
        <v>3070</v>
      </c>
      <c r="J202" t="s">
        <v>11092</v>
      </c>
      <c r="K202" t="s">
        <v>11293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2352</v>
      </c>
      <c r="I203" t="s">
        <v>3072</v>
      </c>
      <c r="J203" t="s">
        <v>11092</v>
      </c>
      <c r="K203" t="s">
        <v>11294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2352</v>
      </c>
      <c r="I204" t="s">
        <v>3074</v>
      </c>
      <c r="J204" t="s">
        <v>11092</v>
      </c>
      <c r="K204" t="s">
        <v>11295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2352</v>
      </c>
      <c r="I205" t="s">
        <v>3076</v>
      </c>
      <c r="J205" t="s">
        <v>11092</v>
      </c>
      <c r="K205" t="s">
        <v>11296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2352</v>
      </c>
      <c r="I206" t="s">
        <v>3078</v>
      </c>
      <c r="J206" t="s">
        <v>11092</v>
      </c>
      <c r="K206" t="s">
        <v>11297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2352</v>
      </c>
      <c r="I207" t="s">
        <v>3080</v>
      </c>
      <c r="J207" t="s">
        <v>11092</v>
      </c>
      <c r="K207" t="s">
        <v>11298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2352</v>
      </c>
      <c r="I208" t="s">
        <v>3082</v>
      </c>
      <c r="J208" t="s">
        <v>11092</v>
      </c>
      <c r="K208" t="s">
        <v>11299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2352</v>
      </c>
      <c r="I209" t="s">
        <v>3084</v>
      </c>
      <c r="J209" t="s">
        <v>11092</v>
      </c>
      <c r="K209" t="s">
        <v>11300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3386</v>
      </c>
      <c r="E210" t="s">
        <v>86</v>
      </c>
      <c r="F210" t="s">
        <v>58</v>
      </c>
      <c r="I210" t="s">
        <v>3086</v>
      </c>
      <c r="J210" t="s">
        <v>11092</v>
      </c>
      <c r="K210" t="s">
        <v>11301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3088</v>
      </c>
      <c r="J211" t="s">
        <v>11092</v>
      </c>
      <c r="K211" t="s">
        <v>11302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3387</v>
      </c>
      <c r="F212" t="s">
        <v>892</v>
      </c>
      <c r="I212" t="s">
        <v>3090</v>
      </c>
      <c r="J212" t="s">
        <v>11092</v>
      </c>
      <c r="K212" t="s">
        <v>11303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1607</v>
      </c>
      <c r="I213" t="s">
        <v>3442</v>
      </c>
      <c r="J213" t="s">
        <v>11092</v>
      </c>
      <c r="K213" t="s">
        <v>11304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3719</v>
      </c>
      <c r="J214" t="s">
        <v>11092</v>
      </c>
      <c r="K214" t="s">
        <v>11305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4130</v>
      </c>
      <c r="E215" t="s">
        <v>4129</v>
      </c>
      <c r="I215" t="s">
        <v>3721</v>
      </c>
      <c r="J215" t="s">
        <v>11092</v>
      </c>
      <c r="K215" t="s">
        <v>11306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4130</v>
      </c>
      <c r="E216" t="s">
        <v>4129</v>
      </c>
      <c r="H216" t="s">
        <v>2352</v>
      </c>
      <c r="I216" t="s">
        <v>3723</v>
      </c>
      <c r="J216" t="s">
        <v>11092</v>
      </c>
      <c r="K216" t="s">
        <v>11307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884</v>
      </c>
      <c r="E217" t="s">
        <v>4131</v>
      </c>
      <c r="F217" t="s">
        <v>892</v>
      </c>
      <c r="I217" t="s">
        <v>3725</v>
      </c>
      <c r="J217" t="s">
        <v>11092</v>
      </c>
      <c r="K217" t="s">
        <v>11308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884</v>
      </c>
      <c r="E218" t="s">
        <v>4131</v>
      </c>
      <c r="F218" t="s">
        <v>892</v>
      </c>
      <c r="H218" t="s">
        <v>2352</v>
      </c>
      <c r="I218" t="s">
        <v>3727</v>
      </c>
      <c r="J218" t="s">
        <v>11092</v>
      </c>
      <c r="K218" t="s">
        <v>11309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3729</v>
      </c>
      <c r="J219" t="s">
        <v>11092</v>
      </c>
      <c r="K219" t="s">
        <v>11310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2352</v>
      </c>
      <c r="I220" t="s">
        <v>3731</v>
      </c>
      <c r="J220" t="s">
        <v>11092</v>
      </c>
      <c r="K220" t="s">
        <v>11311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2352</v>
      </c>
      <c r="I221" t="s">
        <v>3733</v>
      </c>
      <c r="J221" t="s">
        <v>11092</v>
      </c>
      <c r="K221" t="s">
        <v>11312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2352</v>
      </c>
      <c r="I222" t="s">
        <v>3735</v>
      </c>
      <c r="J222" t="s">
        <v>11092</v>
      </c>
      <c r="K222" t="s">
        <v>11313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2352</v>
      </c>
      <c r="I223" t="s">
        <v>3737</v>
      </c>
      <c r="J223" t="s">
        <v>11092</v>
      </c>
      <c r="K223" t="s">
        <v>11314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2352</v>
      </c>
      <c r="I224" t="s">
        <v>3739</v>
      </c>
      <c r="J224" t="s">
        <v>11092</v>
      </c>
      <c r="K224" t="s">
        <v>11315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2352</v>
      </c>
      <c r="I225" t="s">
        <v>3741</v>
      </c>
      <c r="J225" t="s">
        <v>11092</v>
      </c>
      <c r="K225" t="s">
        <v>11316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2352</v>
      </c>
      <c r="I226" t="s">
        <v>3743</v>
      </c>
      <c r="J226" t="s">
        <v>11092</v>
      </c>
      <c r="K226" t="s">
        <v>11317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2352</v>
      </c>
      <c r="I227" t="s">
        <v>3745</v>
      </c>
      <c r="J227" t="s">
        <v>11092</v>
      </c>
      <c r="K227" t="s">
        <v>11318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2352</v>
      </c>
      <c r="I228" t="s">
        <v>3747</v>
      </c>
      <c r="J228" t="s">
        <v>11092</v>
      </c>
      <c r="K228" t="s">
        <v>11319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2352</v>
      </c>
      <c r="I229" t="s">
        <v>3749</v>
      </c>
      <c r="J229" t="s">
        <v>11092</v>
      </c>
      <c r="K229" t="s">
        <v>11320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2352</v>
      </c>
      <c r="I230" t="s">
        <v>3751</v>
      </c>
      <c r="J230" t="s">
        <v>11092</v>
      </c>
      <c r="K230" t="s">
        <v>11321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884</v>
      </c>
      <c r="E231" t="s">
        <v>1274</v>
      </c>
      <c r="F231" t="s">
        <v>58</v>
      </c>
      <c r="I231" t="s">
        <v>3753</v>
      </c>
      <c r="J231" t="s">
        <v>11092</v>
      </c>
      <c r="K231" t="s">
        <v>11322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2352</v>
      </c>
      <c r="I232" t="s">
        <v>3755</v>
      </c>
      <c r="J232" t="s">
        <v>11092</v>
      </c>
      <c r="K232" t="s">
        <v>11323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884</v>
      </c>
      <c r="E233" t="s">
        <v>1274</v>
      </c>
      <c r="F233" t="s">
        <v>58</v>
      </c>
      <c r="I233" t="s">
        <v>3757</v>
      </c>
      <c r="J233" t="s">
        <v>11092</v>
      </c>
      <c r="K233" t="s">
        <v>11324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2352</v>
      </c>
      <c r="I234" t="s">
        <v>3759</v>
      </c>
      <c r="J234" t="s">
        <v>11092</v>
      </c>
      <c r="K234" t="s">
        <v>11325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884</v>
      </c>
      <c r="E235" t="s">
        <v>1274</v>
      </c>
      <c r="F235" t="s">
        <v>58</v>
      </c>
      <c r="I235" t="s">
        <v>3761</v>
      </c>
      <c r="J235" t="s">
        <v>11092</v>
      </c>
      <c r="K235" t="s">
        <v>11326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2352</v>
      </c>
      <c r="I236" t="s">
        <v>3763</v>
      </c>
      <c r="J236" t="s">
        <v>11092</v>
      </c>
      <c r="K236" t="s">
        <v>11327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884</v>
      </c>
      <c r="E237" t="s">
        <v>1274</v>
      </c>
      <c r="F237" t="s">
        <v>58</v>
      </c>
      <c r="I237" t="s">
        <v>3765</v>
      </c>
      <c r="J237" t="s">
        <v>11092</v>
      </c>
      <c r="K237" t="s">
        <v>11328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3767</v>
      </c>
      <c r="J238" t="s">
        <v>11092</v>
      </c>
      <c r="K238" t="s">
        <v>11329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2352</v>
      </c>
      <c r="I239" t="s">
        <v>3769</v>
      </c>
      <c r="J239" t="s">
        <v>11092</v>
      </c>
      <c r="K239" t="s">
        <v>11330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2352</v>
      </c>
      <c r="I240" t="s">
        <v>3771</v>
      </c>
      <c r="J240" t="s">
        <v>11092</v>
      </c>
      <c r="K240" t="s">
        <v>11331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2352</v>
      </c>
      <c r="I241" t="s">
        <v>3773</v>
      </c>
      <c r="J241" t="s">
        <v>11092</v>
      </c>
      <c r="K241" t="s">
        <v>11332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2352</v>
      </c>
      <c r="I242" t="s">
        <v>3775</v>
      </c>
      <c r="J242" t="s">
        <v>11092</v>
      </c>
      <c r="K242" t="s">
        <v>11333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2352</v>
      </c>
      <c r="I243" t="s">
        <v>3777</v>
      </c>
      <c r="J243" t="s">
        <v>11092</v>
      </c>
      <c r="K243" t="s">
        <v>11334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884</v>
      </c>
      <c r="E244" t="s">
        <v>468</v>
      </c>
      <c r="F244" t="s">
        <v>2360</v>
      </c>
      <c r="I244" t="s">
        <v>3779</v>
      </c>
      <c r="J244" t="s">
        <v>11092</v>
      </c>
      <c r="K244" t="s">
        <v>11335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2352</v>
      </c>
      <c r="I245" t="s">
        <v>3781</v>
      </c>
      <c r="J245" t="s">
        <v>11092</v>
      </c>
      <c r="K245" t="s">
        <v>11336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884</v>
      </c>
      <c r="E246" t="s">
        <v>1274</v>
      </c>
      <c r="F246" t="s">
        <v>58</v>
      </c>
      <c r="I246" t="s">
        <v>3783</v>
      </c>
      <c r="J246" t="s">
        <v>11092</v>
      </c>
      <c r="K246" t="s">
        <v>11337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2352</v>
      </c>
      <c r="I247" t="s">
        <v>3785</v>
      </c>
      <c r="J247" t="s">
        <v>11092</v>
      </c>
      <c r="K247" t="s">
        <v>11338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884</v>
      </c>
      <c r="E248" t="s">
        <v>1274</v>
      </c>
      <c r="F248" t="s">
        <v>58</v>
      </c>
      <c r="I248" t="s">
        <v>3787</v>
      </c>
      <c r="J248" t="s">
        <v>11092</v>
      </c>
      <c r="K248" t="s">
        <v>11339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2352</v>
      </c>
      <c r="I249" t="s">
        <v>3789</v>
      </c>
      <c r="J249" t="s">
        <v>11092</v>
      </c>
      <c r="K249" t="s">
        <v>11340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2352</v>
      </c>
      <c r="I250" t="s">
        <v>3791</v>
      </c>
      <c r="J250" t="s">
        <v>11092</v>
      </c>
      <c r="K250" t="s">
        <v>11341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2352</v>
      </c>
      <c r="I251" t="s">
        <v>3793</v>
      </c>
      <c r="J251" t="s">
        <v>11092</v>
      </c>
      <c r="K251" t="s">
        <v>11342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2352</v>
      </c>
      <c r="I252" t="s">
        <v>3795</v>
      </c>
      <c r="J252" t="s">
        <v>11092</v>
      </c>
      <c r="K252" t="s">
        <v>11343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2352</v>
      </c>
      <c r="I253" t="s">
        <v>3797</v>
      </c>
      <c r="J253" t="s">
        <v>11092</v>
      </c>
      <c r="K253" t="s">
        <v>11344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2352</v>
      </c>
      <c r="I254" t="s">
        <v>3799</v>
      </c>
      <c r="J254" t="s">
        <v>11092</v>
      </c>
      <c r="K254" t="s">
        <v>11345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2352</v>
      </c>
      <c r="I255" t="s">
        <v>3801</v>
      </c>
      <c r="J255" t="s">
        <v>11092</v>
      </c>
      <c r="K255" t="s">
        <v>11346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468</v>
      </c>
      <c r="F256" t="s">
        <v>892</v>
      </c>
      <c r="H256" t="s">
        <v>4132</v>
      </c>
      <c r="I256" t="s">
        <v>3803</v>
      </c>
      <c r="J256" t="s">
        <v>11092</v>
      </c>
      <c r="K256" t="s">
        <v>11347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2352</v>
      </c>
      <c r="I257" t="s">
        <v>3805</v>
      </c>
      <c r="J257" t="s">
        <v>11092</v>
      </c>
      <c r="K257" t="s">
        <v>11348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884</v>
      </c>
      <c r="E258" t="s">
        <v>1274</v>
      </c>
      <c r="F258" t="s">
        <v>58</v>
      </c>
      <c r="I258" t="s">
        <v>3807</v>
      </c>
      <c r="J258" t="s">
        <v>11092</v>
      </c>
      <c r="K258" t="s">
        <v>11349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2352</v>
      </c>
      <c r="I259" t="s">
        <v>3809</v>
      </c>
      <c r="J259" t="s">
        <v>11092</v>
      </c>
      <c r="K259" t="s">
        <v>11350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884</v>
      </c>
      <c r="E260" t="s">
        <v>1274</v>
      </c>
      <c r="F260" t="s">
        <v>58</v>
      </c>
      <c r="I260" t="s">
        <v>3811</v>
      </c>
      <c r="J260" t="s">
        <v>11092</v>
      </c>
      <c r="K260" t="s">
        <v>11351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2352</v>
      </c>
      <c r="I261" t="s">
        <v>3813</v>
      </c>
      <c r="J261" t="s">
        <v>11092</v>
      </c>
      <c r="K261" t="s">
        <v>11352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2352</v>
      </c>
      <c r="I262" t="s">
        <v>3815</v>
      </c>
      <c r="J262" t="s">
        <v>11092</v>
      </c>
      <c r="K262" t="s">
        <v>11353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2352</v>
      </c>
      <c r="I263" t="s">
        <v>3817</v>
      </c>
      <c r="J263" t="s">
        <v>11092</v>
      </c>
      <c r="K263" t="s">
        <v>11354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2352</v>
      </c>
      <c r="I264" t="s">
        <v>3819</v>
      </c>
      <c r="J264" t="s">
        <v>11092</v>
      </c>
      <c r="K264" t="s">
        <v>11355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2352</v>
      </c>
      <c r="I265" t="s">
        <v>3821</v>
      </c>
      <c r="J265" t="s">
        <v>11092</v>
      </c>
      <c r="K265" t="s">
        <v>11356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884</v>
      </c>
      <c r="E266" t="s">
        <v>1274</v>
      </c>
      <c r="F266" t="s">
        <v>58</v>
      </c>
      <c r="I266" t="s">
        <v>3823</v>
      </c>
      <c r="J266" t="s">
        <v>11092</v>
      </c>
      <c r="K266" t="s">
        <v>11357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2352</v>
      </c>
      <c r="I267" t="s">
        <v>3825</v>
      </c>
      <c r="J267" t="s">
        <v>11092</v>
      </c>
      <c r="K267" t="s">
        <v>11358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884</v>
      </c>
      <c r="E268" t="s">
        <v>1274</v>
      </c>
      <c r="F268" t="s">
        <v>58</v>
      </c>
      <c r="I268" t="s">
        <v>3827</v>
      </c>
      <c r="J268" t="s">
        <v>11092</v>
      </c>
      <c r="K268" t="s">
        <v>11359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2352</v>
      </c>
      <c r="I269" t="s">
        <v>3829</v>
      </c>
      <c r="J269" t="s">
        <v>11092</v>
      </c>
      <c r="K269" t="s">
        <v>11360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2352</v>
      </c>
      <c r="I270" t="s">
        <v>3831</v>
      </c>
      <c r="J270" t="s">
        <v>11092</v>
      </c>
      <c r="K270" t="s">
        <v>11361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2352</v>
      </c>
      <c r="I271" t="s">
        <v>3833</v>
      </c>
      <c r="J271" t="s">
        <v>11092</v>
      </c>
      <c r="K271" t="s">
        <v>11362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2352</v>
      </c>
      <c r="I272" t="s">
        <v>3835</v>
      </c>
      <c r="J272" t="s">
        <v>11092</v>
      </c>
      <c r="K272" t="s">
        <v>11363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2352</v>
      </c>
      <c r="I273" t="s">
        <v>3837</v>
      </c>
      <c r="J273" t="s">
        <v>11092</v>
      </c>
      <c r="K273" t="s">
        <v>11364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2352</v>
      </c>
      <c r="I274" t="s">
        <v>3839</v>
      </c>
      <c r="J274" t="s">
        <v>11092</v>
      </c>
      <c r="K274" t="s">
        <v>11365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2352</v>
      </c>
      <c r="I275" t="s">
        <v>3841</v>
      </c>
      <c r="J275" t="s">
        <v>11092</v>
      </c>
      <c r="K275" t="s">
        <v>11366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2352</v>
      </c>
      <c r="I276" t="s">
        <v>3843</v>
      </c>
      <c r="J276" t="s">
        <v>11092</v>
      </c>
      <c r="K276" t="s">
        <v>11367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2352</v>
      </c>
      <c r="I277" t="s">
        <v>3845</v>
      </c>
      <c r="J277" t="s">
        <v>11092</v>
      </c>
      <c r="K277" t="s">
        <v>11368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2352</v>
      </c>
      <c r="I278" t="s">
        <v>3847</v>
      </c>
      <c r="J278" t="s">
        <v>11092</v>
      </c>
      <c r="K278" t="s">
        <v>11369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2352</v>
      </c>
      <c r="I279" t="s">
        <v>3849</v>
      </c>
      <c r="J279" t="s">
        <v>11092</v>
      </c>
      <c r="K279" t="s">
        <v>11370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2352</v>
      </c>
      <c r="I280" t="s">
        <v>3851</v>
      </c>
      <c r="J280" t="s">
        <v>11092</v>
      </c>
      <c r="K280" t="s">
        <v>11371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2352</v>
      </c>
      <c r="I281" t="s">
        <v>3853</v>
      </c>
      <c r="J281" t="s">
        <v>11092</v>
      </c>
      <c r="K281" t="s">
        <v>11372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4214</v>
      </c>
      <c r="J282" t="s">
        <v>11092</v>
      </c>
      <c r="K282" t="s">
        <v>11373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4237</v>
      </c>
      <c r="I283" t="s">
        <v>4216</v>
      </c>
      <c r="J283" t="s">
        <v>11092</v>
      </c>
      <c r="K283" t="s">
        <v>11374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1627</v>
      </c>
      <c r="E284" t="s">
        <v>1058</v>
      </c>
      <c r="I284" t="s">
        <v>4218</v>
      </c>
      <c r="J284" t="s">
        <v>11092</v>
      </c>
      <c r="K284" t="s">
        <v>11375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1627</v>
      </c>
      <c r="E285" t="s">
        <v>1058</v>
      </c>
      <c r="I285" t="s">
        <v>4220</v>
      </c>
      <c r="J285" t="s">
        <v>11092</v>
      </c>
      <c r="K285" t="s">
        <v>11376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2352</v>
      </c>
      <c r="I286" t="s">
        <v>4222</v>
      </c>
      <c r="J286" t="s">
        <v>11092</v>
      </c>
      <c r="K286" t="s">
        <v>11377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2352</v>
      </c>
      <c r="I287" t="s">
        <v>4224</v>
      </c>
      <c r="J287" t="s">
        <v>11092</v>
      </c>
      <c r="K287" t="s">
        <v>11378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2352</v>
      </c>
      <c r="I288" t="s">
        <v>4226</v>
      </c>
      <c r="J288" t="s">
        <v>11092</v>
      </c>
      <c r="K288" t="s">
        <v>11379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2352</v>
      </c>
      <c r="I289" t="s">
        <v>4228</v>
      </c>
      <c r="J289" t="s">
        <v>11092</v>
      </c>
      <c r="K289" t="s">
        <v>11380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2352</v>
      </c>
      <c r="I290" t="s">
        <v>4230</v>
      </c>
      <c r="J290" t="s">
        <v>11092</v>
      </c>
      <c r="K290" t="s">
        <v>11381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4288</v>
      </c>
      <c r="J291" t="s">
        <v>11092</v>
      </c>
      <c r="K291" t="s">
        <v>11382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2352</v>
      </c>
      <c r="I292" t="s">
        <v>4290</v>
      </c>
      <c r="J292" t="s">
        <v>11092</v>
      </c>
      <c r="K292" t="s">
        <v>11383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2352</v>
      </c>
      <c r="I293" t="s">
        <v>4292</v>
      </c>
      <c r="J293" t="s">
        <v>11092</v>
      </c>
      <c r="K293" t="s">
        <v>11384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4130</v>
      </c>
      <c r="I294" t="s">
        <v>4294</v>
      </c>
      <c r="J294" t="s">
        <v>11092</v>
      </c>
      <c r="K294" t="s">
        <v>11385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4296</v>
      </c>
      <c r="J295" t="s">
        <v>11092</v>
      </c>
      <c r="K295" t="s">
        <v>11386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884</v>
      </c>
      <c r="E296" t="s">
        <v>53</v>
      </c>
      <c r="I296" t="s">
        <v>4298</v>
      </c>
      <c r="J296" t="s">
        <v>11092</v>
      </c>
      <c r="K296" t="s">
        <v>11387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884</v>
      </c>
      <c r="E297" t="s">
        <v>58</v>
      </c>
      <c r="I297" t="s">
        <v>4300</v>
      </c>
      <c r="J297" t="s">
        <v>11092</v>
      </c>
      <c r="K297" t="s">
        <v>11388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2352</v>
      </c>
      <c r="I298" t="s">
        <v>4302</v>
      </c>
      <c r="J298" t="s">
        <v>11092</v>
      </c>
      <c r="K298" t="s">
        <v>11389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2352</v>
      </c>
      <c r="I299" t="s">
        <v>4304</v>
      </c>
      <c r="J299" t="s">
        <v>11092</v>
      </c>
      <c r="K299" t="s">
        <v>11390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2352</v>
      </c>
      <c r="I300" t="s">
        <v>4306</v>
      </c>
      <c r="J300" t="s">
        <v>11092</v>
      </c>
      <c r="K300" t="s">
        <v>11391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4392</v>
      </c>
      <c r="E301" t="s">
        <v>86</v>
      </c>
      <c r="F301" t="s">
        <v>58</v>
      </c>
      <c r="I301" t="s">
        <v>4308</v>
      </c>
      <c r="J301" t="s">
        <v>11092</v>
      </c>
      <c r="K301" t="s">
        <v>11392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4392</v>
      </c>
      <c r="E302" t="s">
        <v>86</v>
      </c>
      <c r="F302" t="s">
        <v>58</v>
      </c>
      <c r="I302" t="s">
        <v>4310</v>
      </c>
      <c r="J302" t="s">
        <v>11092</v>
      </c>
      <c r="K302" t="s">
        <v>11393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4393</v>
      </c>
      <c r="I303" t="s">
        <v>4312</v>
      </c>
      <c r="J303" t="s">
        <v>11092</v>
      </c>
      <c r="K303" t="s">
        <v>11394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4314</v>
      </c>
      <c r="J304" t="s">
        <v>11092</v>
      </c>
      <c r="K304" t="s">
        <v>11395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2352</v>
      </c>
      <c r="I305" t="s">
        <v>4316</v>
      </c>
      <c r="J305" t="s">
        <v>11092</v>
      </c>
      <c r="K305" t="s">
        <v>11396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2352</v>
      </c>
      <c r="I306" t="s">
        <v>4318</v>
      </c>
      <c r="J306" t="s">
        <v>11092</v>
      </c>
      <c r="K306" t="s">
        <v>11397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4392</v>
      </c>
      <c r="E307" t="s">
        <v>86</v>
      </c>
      <c r="F307" t="s">
        <v>58</v>
      </c>
      <c r="I307" t="s">
        <v>4320</v>
      </c>
      <c r="J307" t="s">
        <v>11092</v>
      </c>
      <c r="K307" t="s">
        <v>11398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4322</v>
      </c>
      <c r="J308" t="s">
        <v>11092</v>
      </c>
      <c r="K308" t="s">
        <v>11399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4324</v>
      </c>
      <c r="J309" t="s">
        <v>11092</v>
      </c>
      <c r="K309" t="s">
        <v>11400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4454</v>
      </c>
      <c r="J310" t="s">
        <v>11092</v>
      </c>
      <c r="K310" t="s">
        <v>11401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465</v>
      </c>
      <c r="H311" t="s">
        <v>4927</v>
      </c>
      <c r="I311" t="s">
        <v>4456</v>
      </c>
      <c r="J311" t="s">
        <v>11092</v>
      </c>
      <c r="K311" t="s">
        <v>11402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2352</v>
      </c>
      <c r="I312" t="s">
        <v>4458</v>
      </c>
      <c r="J312" t="s">
        <v>11092</v>
      </c>
      <c r="K312" t="s">
        <v>11403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2352</v>
      </c>
      <c r="I313" t="s">
        <v>4460</v>
      </c>
      <c r="J313" t="s">
        <v>11092</v>
      </c>
      <c r="K313" t="s">
        <v>11404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2352</v>
      </c>
      <c r="I314" t="s">
        <v>4462</v>
      </c>
      <c r="J314" t="s">
        <v>11092</v>
      </c>
      <c r="K314" t="s">
        <v>11405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2352</v>
      </c>
      <c r="I315" t="s">
        <v>4464</v>
      </c>
      <c r="J315" t="s">
        <v>11092</v>
      </c>
      <c r="K315" t="s">
        <v>11406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2352</v>
      </c>
      <c r="I316" t="s">
        <v>4466</v>
      </c>
      <c r="J316" t="s">
        <v>11092</v>
      </c>
      <c r="K316" t="s">
        <v>11407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2352</v>
      </c>
      <c r="I317" t="s">
        <v>4468</v>
      </c>
      <c r="J317" t="s">
        <v>11092</v>
      </c>
      <c r="K317" t="s">
        <v>11408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2352</v>
      </c>
      <c r="I318" t="s">
        <v>4470</v>
      </c>
      <c r="J318" t="s">
        <v>11092</v>
      </c>
      <c r="K318" t="s">
        <v>11409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2352</v>
      </c>
      <c r="I319" t="s">
        <v>4472</v>
      </c>
      <c r="J319" t="s">
        <v>11092</v>
      </c>
      <c r="K319" t="s">
        <v>11410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2352</v>
      </c>
      <c r="I320" t="s">
        <v>4474</v>
      </c>
      <c r="J320" t="s">
        <v>11092</v>
      </c>
      <c r="K320" t="s">
        <v>11411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4928</v>
      </c>
      <c r="I321" t="s">
        <v>4476</v>
      </c>
      <c r="J321" t="s">
        <v>11092</v>
      </c>
      <c r="K321" t="s">
        <v>11412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884</v>
      </c>
      <c r="E322" t="s">
        <v>468</v>
      </c>
      <c r="F322" t="s">
        <v>4929</v>
      </c>
      <c r="I322" t="s">
        <v>4478</v>
      </c>
      <c r="J322" t="s">
        <v>11092</v>
      </c>
      <c r="K322" t="s">
        <v>11413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4480</v>
      </c>
      <c r="J323" t="s">
        <v>11092</v>
      </c>
      <c r="K323" t="s">
        <v>11414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4482</v>
      </c>
      <c r="J324" t="s">
        <v>11092</v>
      </c>
      <c r="K324" t="s">
        <v>11415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4484</v>
      </c>
      <c r="J325" t="s">
        <v>11092</v>
      </c>
      <c r="K325" t="s">
        <v>11416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4486</v>
      </c>
      <c r="J326" t="s">
        <v>11092</v>
      </c>
      <c r="K326" t="s">
        <v>11417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4928</v>
      </c>
      <c r="I327" t="s">
        <v>4488</v>
      </c>
      <c r="J327" t="s">
        <v>11092</v>
      </c>
      <c r="K327" t="s">
        <v>11418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4930</v>
      </c>
      <c r="E328" t="s">
        <v>468</v>
      </c>
      <c r="F328" t="s">
        <v>4929</v>
      </c>
      <c r="I328" t="s">
        <v>4490</v>
      </c>
      <c r="J328" t="s">
        <v>11092</v>
      </c>
      <c r="K328" t="s">
        <v>11419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4492</v>
      </c>
      <c r="J329" t="s">
        <v>11092</v>
      </c>
      <c r="K329" t="s">
        <v>11420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4494</v>
      </c>
      <c r="J330" t="s">
        <v>11092</v>
      </c>
      <c r="K330" t="s">
        <v>11421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2352</v>
      </c>
      <c r="I331" t="s">
        <v>4496</v>
      </c>
      <c r="J331" t="s">
        <v>11092</v>
      </c>
      <c r="K331" t="s">
        <v>11422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2352</v>
      </c>
      <c r="I332" t="s">
        <v>4498</v>
      </c>
      <c r="J332" t="s">
        <v>11092</v>
      </c>
      <c r="K332" t="s">
        <v>11423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2352</v>
      </c>
      <c r="I333" t="s">
        <v>4500</v>
      </c>
      <c r="J333" t="s">
        <v>11092</v>
      </c>
      <c r="K333" t="s">
        <v>11424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2352</v>
      </c>
      <c r="I334" t="s">
        <v>4502</v>
      </c>
      <c r="J334" t="s">
        <v>11092</v>
      </c>
      <c r="K334" t="s">
        <v>11425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2352</v>
      </c>
      <c r="I335" t="s">
        <v>4732</v>
      </c>
      <c r="J335" t="s">
        <v>11092</v>
      </c>
      <c r="K335" t="s">
        <v>11426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2352</v>
      </c>
      <c r="I336" t="s">
        <v>4734</v>
      </c>
      <c r="J336" t="s">
        <v>11092</v>
      </c>
      <c r="K336" t="s">
        <v>11427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2352</v>
      </c>
      <c r="I337" t="s">
        <v>4736</v>
      </c>
      <c r="J337" t="s">
        <v>11092</v>
      </c>
      <c r="K337" t="s">
        <v>11428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2352</v>
      </c>
      <c r="I338" t="s">
        <v>4738</v>
      </c>
      <c r="J338" t="s">
        <v>11092</v>
      </c>
      <c r="K338" t="s">
        <v>11429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2352</v>
      </c>
      <c r="I339" t="s">
        <v>4740</v>
      </c>
      <c r="J339" t="s">
        <v>11092</v>
      </c>
      <c r="K339" t="s">
        <v>11430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2352</v>
      </c>
      <c r="I340" t="s">
        <v>4742</v>
      </c>
      <c r="J340" t="s">
        <v>11092</v>
      </c>
      <c r="K340" t="s">
        <v>11431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2352</v>
      </c>
      <c r="I341" t="s">
        <v>4744</v>
      </c>
      <c r="J341" t="s">
        <v>11092</v>
      </c>
      <c r="K341" t="s">
        <v>11432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2352</v>
      </c>
      <c r="I342" t="s">
        <v>4746</v>
      </c>
      <c r="J342" t="s">
        <v>11092</v>
      </c>
      <c r="K342" t="s">
        <v>11433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2352</v>
      </c>
      <c r="I343" t="s">
        <v>4748</v>
      </c>
      <c r="J343" t="s">
        <v>11092</v>
      </c>
      <c r="K343" t="s">
        <v>11434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884</v>
      </c>
      <c r="E344" t="s">
        <v>58</v>
      </c>
      <c r="I344" t="s">
        <v>4750</v>
      </c>
      <c r="J344" t="s">
        <v>11092</v>
      </c>
      <c r="K344" t="s">
        <v>11435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884</v>
      </c>
      <c r="E345" t="s">
        <v>4931</v>
      </c>
      <c r="I345" t="s">
        <v>4752</v>
      </c>
      <c r="J345" t="s">
        <v>11092</v>
      </c>
      <c r="K345" t="s">
        <v>11436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4754</v>
      </c>
      <c r="J346" t="s">
        <v>11092</v>
      </c>
      <c r="K346" t="s">
        <v>11437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2352</v>
      </c>
      <c r="I347" t="s">
        <v>4756</v>
      </c>
      <c r="J347" t="s">
        <v>11092</v>
      </c>
      <c r="K347" t="s">
        <v>11438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2352</v>
      </c>
      <c r="I348" t="s">
        <v>4758</v>
      </c>
      <c r="J348" t="s">
        <v>11092</v>
      </c>
      <c r="K348" t="s">
        <v>11439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2352</v>
      </c>
      <c r="I349" t="s">
        <v>4760</v>
      </c>
      <c r="J349" t="s">
        <v>11092</v>
      </c>
      <c r="K349" t="s">
        <v>11440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2352</v>
      </c>
      <c r="I350" t="s">
        <v>4762</v>
      </c>
      <c r="J350" t="s">
        <v>11092</v>
      </c>
      <c r="K350" t="s">
        <v>11441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2352</v>
      </c>
      <c r="I351" t="s">
        <v>4764</v>
      </c>
      <c r="J351" t="s">
        <v>11092</v>
      </c>
      <c r="K351" t="s">
        <v>11442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2352</v>
      </c>
      <c r="I352" t="s">
        <v>4766</v>
      </c>
      <c r="J352" t="s">
        <v>11092</v>
      </c>
      <c r="K352" t="s">
        <v>11443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2352</v>
      </c>
      <c r="I353" t="s">
        <v>4768</v>
      </c>
      <c r="J353" t="s">
        <v>11092</v>
      </c>
      <c r="K353" t="s">
        <v>11444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2352</v>
      </c>
      <c r="I354" t="s">
        <v>4851</v>
      </c>
      <c r="J354" t="s">
        <v>11092</v>
      </c>
      <c r="K354" t="s">
        <v>11445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2352</v>
      </c>
      <c r="I355" t="s">
        <v>4853</v>
      </c>
      <c r="J355" t="s">
        <v>11092</v>
      </c>
      <c r="K355" t="s">
        <v>11446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2352</v>
      </c>
      <c r="I356" t="s">
        <v>4855</v>
      </c>
      <c r="J356" t="s">
        <v>11092</v>
      </c>
      <c r="K356" t="s">
        <v>11447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4857</v>
      </c>
      <c r="J357" t="s">
        <v>11092</v>
      </c>
      <c r="K357" t="s">
        <v>11448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4959</v>
      </c>
      <c r="J358" t="s">
        <v>11092</v>
      </c>
      <c r="K358" t="s">
        <v>11449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1627</v>
      </c>
      <c r="E359" t="s">
        <v>1058</v>
      </c>
      <c r="I359" t="s">
        <v>4961</v>
      </c>
      <c r="J359" t="s">
        <v>11092</v>
      </c>
      <c r="K359" t="s">
        <v>11450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4963</v>
      </c>
      <c r="J360" t="s">
        <v>11092</v>
      </c>
      <c r="K360" t="s">
        <v>11451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1627</v>
      </c>
      <c r="E361" t="s">
        <v>1058</v>
      </c>
      <c r="I361" t="s">
        <v>4965</v>
      </c>
      <c r="J361" t="s">
        <v>11092</v>
      </c>
      <c r="K361" t="s">
        <v>11452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1627</v>
      </c>
      <c r="E362" t="s">
        <v>1058</v>
      </c>
      <c r="H362" t="s">
        <v>2352</v>
      </c>
      <c r="I362" t="s">
        <v>4967</v>
      </c>
      <c r="J362" t="s">
        <v>11092</v>
      </c>
      <c r="K362" t="s">
        <v>11453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1627</v>
      </c>
      <c r="E363" t="s">
        <v>1058</v>
      </c>
      <c r="H363" t="s">
        <v>2352</v>
      </c>
      <c r="I363" t="s">
        <v>4969</v>
      </c>
      <c r="J363" t="s">
        <v>11092</v>
      </c>
      <c r="K363" t="s">
        <v>11454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2352</v>
      </c>
      <c r="I364" t="s">
        <v>4971</v>
      </c>
      <c r="J364" t="s">
        <v>11092</v>
      </c>
      <c r="K364" t="s">
        <v>11455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1627</v>
      </c>
      <c r="E365" t="s">
        <v>1058</v>
      </c>
      <c r="H365" t="s">
        <v>2352</v>
      </c>
      <c r="I365" t="s">
        <v>4973</v>
      </c>
      <c r="J365" t="s">
        <v>11092</v>
      </c>
      <c r="K365" t="s">
        <v>11456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1627</v>
      </c>
      <c r="E366" t="s">
        <v>1058</v>
      </c>
      <c r="H366" t="s">
        <v>2352</v>
      </c>
      <c r="I366" t="s">
        <v>4975</v>
      </c>
      <c r="J366" t="s">
        <v>11092</v>
      </c>
      <c r="K366" t="s">
        <v>11457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1627</v>
      </c>
      <c r="E367" t="s">
        <v>1058</v>
      </c>
      <c r="H367" t="s">
        <v>2352</v>
      </c>
      <c r="I367" t="s">
        <v>4977</v>
      </c>
      <c r="J367" t="s">
        <v>11092</v>
      </c>
      <c r="K367" t="s">
        <v>11458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1627</v>
      </c>
      <c r="E368" t="s">
        <v>1058</v>
      </c>
      <c r="H368" t="s">
        <v>2352</v>
      </c>
      <c r="I368" t="s">
        <v>4979</v>
      </c>
      <c r="J368" t="s">
        <v>11092</v>
      </c>
      <c r="K368" t="s">
        <v>11459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1627</v>
      </c>
      <c r="E369" t="s">
        <v>1058</v>
      </c>
      <c r="H369" t="s">
        <v>2352</v>
      </c>
      <c r="I369" t="s">
        <v>4981</v>
      </c>
      <c r="J369" t="s">
        <v>11092</v>
      </c>
      <c r="K369" t="s">
        <v>11460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5066</v>
      </c>
      <c r="J370" t="s">
        <v>11092</v>
      </c>
      <c r="K370" t="s">
        <v>11461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2352</v>
      </c>
      <c r="I371" t="s">
        <v>5068</v>
      </c>
      <c r="J371" t="s">
        <v>11092</v>
      </c>
      <c r="K371" t="s">
        <v>11462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2352</v>
      </c>
      <c r="I372" t="s">
        <v>5070</v>
      </c>
      <c r="J372" t="s">
        <v>11092</v>
      </c>
      <c r="K372" t="s">
        <v>11463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884</v>
      </c>
      <c r="E373" t="s">
        <v>58</v>
      </c>
      <c r="I373" t="s">
        <v>5072</v>
      </c>
      <c r="J373" t="s">
        <v>11092</v>
      </c>
      <c r="K373" t="s">
        <v>11464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2352</v>
      </c>
      <c r="I374" t="s">
        <v>5074</v>
      </c>
      <c r="J374" t="s">
        <v>11092</v>
      </c>
      <c r="K374" t="s">
        <v>11465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884</v>
      </c>
      <c r="E375" t="s">
        <v>58</v>
      </c>
      <c r="I375" t="s">
        <v>5076</v>
      </c>
      <c r="J375" t="s">
        <v>11092</v>
      </c>
      <c r="K375" t="s">
        <v>11466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884</v>
      </c>
      <c r="E376" t="s">
        <v>58</v>
      </c>
      <c r="I376" t="s">
        <v>5078</v>
      </c>
      <c r="J376" t="s">
        <v>11092</v>
      </c>
      <c r="K376" t="s">
        <v>11467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5080</v>
      </c>
      <c r="J377" t="s">
        <v>11092</v>
      </c>
      <c r="K377" t="s">
        <v>11468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884</v>
      </c>
      <c r="E378" t="s">
        <v>53</v>
      </c>
      <c r="I378" t="s">
        <v>5082</v>
      </c>
      <c r="J378" t="s">
        <v>11092</v>
      </c>
      <c r="K378" t="s">
        <v>11469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5084</v>
      </c>
      <c r="J379" t="s">
        <v>11092</v>
      </c>
      <c r="K379" t="s">
        <v>11470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2352</v>
      </c>
      <c r="I380" t="s">
        <v>5086</v>
      </c>
      <c r="J380" t="s">
        <v>11092</v>
      </c>
      <c r="K380" t="s">
        <v>11471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2352</v>
      </c>
      <c r="I381" t="s">
        <v>5088</v>
      </c>
      <c r="J381" t="s">
        <v>11092</v>
      </c>
      <c r="K381" t="s">
        <v>11472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2352</v>
      </c>
      <c r="I382" t="s">
        <v>5090</v>
      </c>
      <c r="J382" t="s">
        <v>11092</v>
      </c>
      <c r="K382" t="s">
        <v>11473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5257</v>
      </c>
      <c r="J383" t="s">
        <v>11092</v>
      </c>
      <c r="K383" t="s">
        <v>11474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2352</v>
      </c>
      <c r="I384" t="s">
        <v>5259</v>
      </c>
      <c r="J384" t="s">
        <v>11092</v>
      </c>
      <c r="K384" t="s">
        <v>11475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2352</v>
      </c>
      <c r="I385" t="s">
        <v>5261</v>
      </c>
      <c r="J385" t="s">
        <v>11092</v>
      </c>
      <c r="K385" t="s">
        <v>11476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2352</v>
      </c>
      <c r="I386" t="s">
        <v>5263</v>
      </c>
      <c r="J386" t="s">
        <v>11092</v>
      </c>
      <c r="K386" t="s">
        <v>11477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2352</v>
      </c>
      <c r="I387" t="s">
        <v>5265</v>
      </c>
      <c r="J387" t="s">
        <v>11092</v>
      </c>
      <c r="K387" t="s">
        <v>11478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2352</v>
      </c>
      <c r="I388" t="s">
        <v>5267</v>
      </c>
      <c r="J388" t="s">
        <v>11092</v>
      </c>
      <c r="K388" t="s">
        <v>11479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5269</v>
      </c>
      <c r="J389" t="s">
        <v>11092</v>
      </c>
      <c r="K389" t="s">
        <v>11480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5271</v>
      </c>
      <c r="J390" t="s">
        <v>11092</v>
      </c>
      <c r="K390" t="s">
        <v>11481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5361</v>
      </c>
      <c r="J391" t="s">
        <v>11092</v>
      </c>
      <c r="K391" t="s">
        <v>11482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5473</v>
      </c>
      <c r="I392" t="s">
        <v>5363</v>
      </c>
      <c r="J392" t="s">
        <v>11092</v>
      </c>
      <c r="K392" t="s">
        <v>11483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884</v>
      </c>
      <c r="E393" t="s">
        <v>58</v>
      </c>
      <c r="I393" t="s">
        <v>5365</v>
      </c>
      <c r="J393" t="s">
        <v>11092</v>
      </c>
      <c r="K393" t="s">
        <v>11484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2352</v>
      </c>
      <c r="I394" t="s">
        <v>5367</v>
      </c>
      <c r="J394" t="s">
        <v>11092</v>
      </c>
      <c r="K394" t="s">
        <v>11485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884</v>
      </c>
      <c r="E395" t="s">
        <v>58</v>
      </c>
      <c r="I395" t="s">
        <v>5369</v>
      </c>
      <c r="J395" t="s">
        <v>11092</v>
      </c>
      <c r="K395" t="s">
        <v>11486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2352</v>
      </c>
      <c r="I396" t="s">
        <v>5371</v>
      </c>
      <c r="J396" t="s">
        <v>11092</v>
      </c>
      <c r="K396" t="s">
        <v>11487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884</v>
      </c>
      <c r="E397" t="s">
        <v>53</v>
      </c>
      <c r="I397" t="s">
        <v>5373</v>
      </c>
      <c r="J397" t="s">
        <v>11092</v>
      </c>
      <c r="K397" t="s">
        <v>11488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884</v>
      </c>
      <c r="E398" t="s">
        <v>58</v>
      </c>
      <c r="I398" t="s">
        <v>5375</v>
      </c>
      <c r="J398" t="s">
        <v>11092</v>
      </c>
      <c r="K398" t="s">
        <v>11489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2352</v>
      </c>
      <c r="I399" t="s">
        <v>5377</v>
      </c>
      <c r="J399" t="s">
        <v>11092</v>
      </c>
      <c r="K399" t="s">
        <v>11490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2352</v>
      </c>
      <c r="I400" t="s">
        <v>5379</v>
      </c>
      <c r="J400" t="s">
        <v>11092</v>
      </c>
      <c r="K400" t="s">
        <v>11491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2352</v>
      </c>
      <c r="I401" t="s">
        <v>5381</v>
      </c>
      <c r="J401" t="s">
        <v>11092</v>
      </c>
      <c r="K401" t="s">
        <v>11492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884</v>
      </c>
      <c r="E402" t="s">
        <v>53</v>
      </c>
      <c r="I402" t="s">
        <v>5383</v>
      </c>
      <c r="J402" t="s">
        <v>11092</v>
      </c>
      <c r="K402" t="s">
        <v>11493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5474</v>
      </c>
      <c r="I403" t="s">
        <v>5385</v>
      </c>
      <c r="J403" t="s">
        <v>11092</v>
      </c>
      <c r="K403" t="s">
        <v>11494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884</v>
      </c>
      <c r="E404" t="s">
        <v>53</v>
      </c>
      <c r="I404" t="s">
        <v>5387</v>
      </c>
      <c r="J404" t="s">
        <v>11092</v>
      </c>
      <c r="K404" t="s">
        <v>11495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5389</v>
      </c>
      <c r="J405" t="s">
        <v>11092</v>
      </c>
      <c r="K405" t="s">
        <v>11496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884</v>
      </c>
      <c r="E406" t="s">
        <v>58</v>
      </c>
      <c r="I406" t="s">
        <v>5391</v>
      </c>
      <c r="J406" t="s">
        <v>11092</v>
      </c>
      <c r="K406" t="s">
        <v>11497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884</v>
      </c>
      <c r="E407" t="s">
        <v>58</v>
      </c>
      <c r="I407" t="s">
        <v>5393</v>
      </c>
      <c r="J407" t="s">
        <v>11092</v>
      </c>
      <c r="K407" t="s">
        <v>11498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884</v>
      </c>
      <c r="E408" t="s">
        <v>58</v>
      </c>
      <c r="I408" t="s">
        <v>5395</v>
      </c>
      <c r="J408" t="s">
        <v>11092</v>
      </c>
      <c r="K408" t="s">
        <v>11499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2352</v>
      </c>
      <c r="I409" t="s">
        <v>5397</v>
      </c>
      <c r="J409" t="s">
        <v>11092</v>
      </c>
      <c r="K409" t="s">
        <v>11500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5535</v>
      </c>
      <c r="J410" t="s">
        <v>11092</v>
      </c>
      <c r="K410" t="s">
        <v>11501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2352</v>
      </c>
      <c r="I411" t="s">
        <v>5537</v>
      </c>
      <c r="J411" t="s">
        <v>11092</v>
      </c>
      <c r="K411" t="s">
        <v>11502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884</v>
      </c>
      <c r="E412" t="s">
        <v>58</v>
      </c>
      <c r="I412" t="s">
        <v>5539</v>
      </c>
      <c r="J412" t="s">
        <v>11092</v>
      </c>
      <c r="K412" t="s">
        <v>11503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884</v>
      </c>
      <c r="E413" t="s">
        <v>58</v>
      </c>
      <c r="I413" t="s">
        <v>5541</v>
      </c>
      <c r="J413" t="s">
        <v>11092</v>
      </c>
      <c r="K413" t="s">
        <v>11504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884</v>
      </c>
      <c r="E414" t="s">
        <v>58</v>
      </c>
      <c r="I414" t="s">
        <v>5543</v>
      </c>
      <c r="J414" t="s">
        <v>11092</v>
      </c>
      <c r="K414" t="s">
        <v>11505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884</v>
      </c>
      <c r="E415" t="s">
        <v>58</v>
      </c>
      <c r="I415" t="s">
        <v>5545</v>
      </c>
      <c r="J415" t="s">
        <v>11092</v>
      </c>
      <c r="K415" t="s">
        <v>11506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2352</v>
      </c>
      <c r="I416" t="s">
        <v>5547</v>
      </c>
      <c r="J416" t="s">
        <v>11092</v>
      </c>
      <c r="K416" t="s">
        <v>11507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2352</v>
      </c>
      <c r="I417" t="s">
        <v>5549</v>
      </c>
      <c r="J417" t="s">
        <v>11092</v>
      </c>
      <c r="K417" t="s">
        <v>11508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2352</v>
      </c>
      <c r="I418" t="s">
        <v>5551</v>
      </c>
      <c r="J418" t="s">
        <v>11092</v>
      </c>
      <c r="K418" t="s">
        <v>11509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3386</v>
      </c>
      <c r="E419" t="s">
        <v>4396</v>
      </c>
      <c r="F419" t="s">
        <v>4938</v>
      </c>
      <c r="I419" t="s">
        <v>5553</v>
      </c>
      <c r="J419" t="s">
        <v>11092</v>
      </c>
      <c r="K419" t="s">
        <v>11510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3386</v>
      </c>
      <c r="E420" t="s">
        <v>4396</v>
      </c>
      <c r="F420" t="s">
        <v>4938</v>
      </c>
      <c r="I420" t="s">
        <v>5555</v>
      </c>
      <c r="J420" t="s">
        <v>11092</v>
      </c>
      <c r="K420" t="s">
        <v>11511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3386</v>
      </c>
      <c r="E421" t="s">
        <v>4396</v>
      </c>
      <c r="F421" t="s">
        <v>4938</v>
      </c>
      <c r="I421" t="s">
        <v>5557</v>
      </c>
      <c r="J421" t="s">
        <v>11092</v>
      </c>
      <c r="K421" t="s">
        <v>11512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5559</v>
      </c>
      <c r="J422" t="s">
        <v>11092</v>
      </c>
      <c r="K422" t="s">
        <v>11513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884</v>
      </c>
      <c r="E423" t="s">
        <v>58</v>
      </c>
      <c r="I423" t="s">
        <v>5561</v>
      </c>
      <c r="J423" t="s">
        <v>11092</v>
      </c>
      <c r="K423" t="s">
        <v>11514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5563</v>
      </c>
      <c r="J424" t="s">
        <v>11092</v>
      </c>
      <c r="K424" t="s">
        <v>11515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2352</v>
      </c>
      <c r="I425" t="s">
        <v>5565</v>
      </c>
      <c r="J425" t="s">
        <v>11092</v>
      </c>
      <c r="K425" t="s">
        <v>11516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2352</v>
      </c>
      <c r="I426" t="s">
        <v>5567</v>
      </c>
      <c r="J426" t="s">
        <v>11092</v>
      </c>
      <c r="K426" t="s">
        <v>11517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2352</v>
      </c>
      <c r="I427" t="s">
        <v>5569</v>
      </c>
      <c r="J427" t="s">
        <v>11092</v>
      </c>
      <c r="K427" t="s">
        <v>11518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2352</v>
      </c>
      <c r="I428" t="s">
        <v>5571</v>
      </c>
      <c r="J428" t="s">
        <v>11092</v>
      </c>
      <c r="K428" t="s">
        <v>11519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2352</v>
      </c>
      <c r="I429" t="s">
        <v>5573</v>
      </c>
      <c r="J429" t="s">
        <v>11092</v>
      </c>
      <c r="K429" t="s">
        <v>11520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2352</v>
      </c>
      <c r="I430" t="s">
        <v>5575</v>
      </c>
      <c r="J430" t="s">
        <v>11092</v>
      </c>
      <c r="K430" t="s">
        <v>11521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1274</v>
      </c>
      <c r="F431" t="s">
        <v>5696</v>
      </c>
      <c r="I431" t="s">
        <v>5577</v>
      </c>
      <c r="J431" t="s">
        <v>11092</v>
      </c>
      <c r="K431" t="s">
        <v>11522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1274</v>
      </c>
      <c r="F432" t="s">
        <v>2462</v>
      </c>
      <c r="I432" t="s">
        <v>5579</v>
      </c>
      <c r="J432" t="s">
        <v>11092</v>
      </c>
      <c r="K432" t="s">
        <v>11523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5581</v>
      </c>
      <c r="J433" t="s">
        <v>11092</v>
      </c>
      <c r="K433" t="s">
        <v>11524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1607</v>
      </c>
      <c r="E434" t="s">
        <v>9</v>
      </c>
      <c r="I434" t="s">
        <v>5583</v>
      </c>
      <c r="J434" t="s">
        <v>11092</v>
      </c>
      <c r="K434" t="s">
        <v>11525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1607</v>
      </c>
      <c r="E435" t="s">
        <v>9</v>
      </c>
      <c r="I435" t="s">
        <v>5585</v>
      </c>
      <c r="J435" t="s">
        <v>11092</v>
      </c>
      <c r="K435" t="s">
        <v>11526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5717</v>
      </c>
      <c r="J436" t="s">
        <v>11092</v>
      </c>
      <c r="K436" t="s">
        <v>11527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5736</v>
      </c>
      <c r="I437" t="s">
        <v>5719</v>
      </c>
      <c r="J437" t="s">
        <v>11092</v>
      </c>
      <c r="K437" t="s">
        <v>11528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5736</v>
      </c>
      <c r="H438" t="s">
        <v>2352</v>
      </c>
      <c r="I438" t="s">
        <v>5721</v>
      </c>
      <c r="J438" t="s">
        <v>11092</v>
      </c>
      <c r="K438" t="s">
        <v>11529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5778</v>
      </c>
      <c r="J439" t="s">
        <v>11092</v>
      </c>
      <c r="K439" t="s">
        <v>11530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5736</v>
      </c>
      <c r="I440" t="s">
        <v>5780</v>
      </c>
      <c r="J440" t="s">
        <v>11092</v>
      </c>
      <c r="K440" t="s">
        <v>11531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5782</v>
      </c>
      <c r="J441" t="s">
        <v>11092</v>
      </c>
      <c r="K441" t="s">
        <v>11532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2352</v>
      </c>
      <c r="I442" t="s">
        <v>5784</v>
      </c>
      <c r="J442" t="s">
        <v>11092</v>
      </c>
      <c r="K442" t="s">
        <v>11533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2352</v>
      </c>
      <c r="I443" t="s">
        <v>5786</v>
      </c>
      <c r="J443" t="s">
        <v>11092</v>
      </c>
      <c r="K443" t="s">
        <v>11534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5736</v>
      </c>
      <c r="I444" t="s">
        <v>5788</v>
      </c>
      <c r="J444" t="s">
        <v>11092</v>
      </c>
      <c r="K444" t="s">
        <v>11535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2352</v>
      </c>
      <c r="I445" t="s">
        <v>5790</v>
      </c>
      <c r="J445" t="s">
        <v>11092</v>
      </c>
      <c r="K445" t="s">
        <v>11536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2352</v>
      </c>
      <c r="I446" t="s">
        <v>5792</v>
      </c>
      <c r="J446" t="s">
        <v>11092</v>
      </c>
      <c r="K446" t="s">
        <v>11537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2352</v>
      </c>
      <c r="I447" t="s">
        <v>5794</v>
      </c>
      <c r="J447" t="s">
        <v>11092</v>
      </c>
      <c r="K447" t="s">
        <v>11538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6158</v>
      </c>
      <c r="I448" t="s">
        <v>5796</v>
      </c>
      <c r="J448" t="s">
        <v>11092</v>
      </c>
      <c r="K448" t="s">
        <v>11539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6158</v>
      </c>
      <c r="I449" t="s">
        <v>5933</v>
      </c>
      <c r="J449" t="s">
        <v>11092</v>
      </c>
      <c r="K449" t="s">
        <v>11540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6157</v>
      </c>
      <c r="I450" t="s">
        <v>5935</v>
      </c>
      <c r="J450" t="s">
        <v>11092</v>
      </c>
      <c r="K450" t="s">
        <v>11541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6158</v>
      </c>
      <c r="I451" t="s">
        <v>5937</v>
      </c>
      <c r="J451" t="s">
        <v>11092</v>
      </c>
      <c r="K451" t="s">
        <v>11542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6158</v>
      </c>
      <c r="I452" t="s">
        <v>5939</v>
      </c>
      <c r="J452" t="s">
        <v>11092</v>
      </c>
      <c r="K452" t="s">
        <v>11543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6157</v>
      </c>
      <c r="I453" t="s">
        <v>5941</v>
      </c>
      <c r="J453" t="s">
        <v>11092</v>
      </c>
      <c r="K453" t="s">
        <v>11544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6157</v>
      </c>
      <c r="I454" t="s">
        <v>5943</v>
      </c>
      <c r="J454" t="s">
        <v>11092</v>
      </c>
      <c r="K454" t="s">
        <v>11545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6158</v>
      </c>
      <c r="I455" t="s">
        <v>5945</v>
      </c>
      <c r="J455" t="s">
        <v>11092</v>
      </c>
      <c r="K455" t="s">
        <v>11546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6157</v>
      </c>
      <c r="I456" t="s">
        <v>5947</v>
      </c>
      <c r="J456" t="s">
        <v>11092</v>
      </c>
      <c r="K456" t="s">
        <v>11547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6158</v>
      </c>
      <c r="I457" t="s">
        <v>5949</v>
      </c>
      <c r="J457" t="s">
        <v>11092</v>
      </c>
      <c r="K457" t="s">
        <v>11548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6158</v>
      </c>
      <c r="I458" t="s">
        <v>6174</v>
      </c>
      <c r="J458" t="s">
        <v>11092</v>
      </c>
      <c r="K458" t="s">
        <v>11549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6157</v>
      </c>
      <c r="I459" t="s">
        <v>6176</v>
      </c>
      <c r="J459" t="s">
        <v>11092</v>
      </c>
      <c r="K459" t="s">
        <v>11550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6158</v>
      </c>
      <c r="I460" t="s">
        <v>6178</v>
      </c>
      <c r="J460" t="s">
        <v>11092</v>
      </c>
      <c r="K460" t="s">
        <v>11551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6157</v>
      </c>
      <c r="I461" t="s">
        <v>6180</v>
      </c>
      <c r="J461" t="s">
        <v>11092</v>
      </c>
      <c r="K461" t="s">
        <v>11552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6158</v>
      </c>
      <c r="I462" t="s">
        <v>6182</v>
      </c>
      <c r="J462" t="s">
        <v>11092</v>
      </c>
      <c r="K462" t="s">
        <v>11553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1607</v>
      </c>
      <c r="E463" t="s">
        <v>86</v>
      </c>
      <c r="I463" t="s">
        <v>6361</v>
      </c>
      <c r="J463" t="s">
        <v>11092</v>
      </c>
      <c r="K463" t="s">
        <v>11554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1607</v>
      </c>
      <c r="E464" t="s">
        <v>86</v>
      </c>
      <c r="I464" t="s">
        <v>6363</v>
      </c>
      <c r="J464" t="s">
        <v>11092</v>
      </c>
      <c r="K464" t="s">
        <v>11555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6662</v>
      </c>
      <c r="I465" t="s">
        <v>6498</v>
      </c>
      <c r="J465" t="s">
        <v>11092</v>
      </c>
      <c r="K465" t="s">
        <v>11556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884</v>
      </c>
      <c r="E466" t="s">
        <v>6662</v>
      </c>
      <c r="F466" t="s">
        <v>53</v>
      </c>
      <c r="G466">
        <v>2</v>
      </c>
      <c r="H466" t="s">
        <v>6689</v>
      </c>
      <c r="I466" t="s">
        <v>6500</v>
      </c>
      <c r="J466" t="s">
        <v>11092</v>
      </c>
      <c r="K466" t="s">
        <v>11557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884</v>
      </c>
      <c r="E467" t="s">
        <v>6662</v>
      </c>
      <c r="F467" t="s">
        <v>53</v>
      </c>
      <c r="G467">
        <v>1</v>
      </c>
      <c r="I467" t="s">
        <v>6502</v>
      </c>
      <c r="J467" t="s">
        <v>11092</v>
      </c>
      <c r="K467" t="s">
        <v>11558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884</v>
      </c>
      <c r="E468" t="s">
        <v>6662</v>
      </c>
      <c r="F468" t="s">
        <v>53</v>
      </c>
      <c r="G468">
        <v>2</v>
      </c>
      <c r="I468" t="s">
        <v>6504</v>
      </c>
      <c r="J468" t="s">
        <v>11092</v>
      </c>
      <c r="K468" t="s">
        <v>11559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1274</v>
      </c>
      <c r="I469" t="s">
        <v>6506</v>
      </c>
      <c r="J469" t="s">
        <v>11092</v>
      </c>
      <c r="K469" t="s">
        <v>11560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1607</v>
      </c>
      <c r="E470" t="s">
        <v>86</v>
      </c>
      <c r="H470" t="s">
        <v>4395</v>
      </c>
      <c r="I470" t="s">
        <v>6508</v>
      </c>
      <c r="J470" t="s">
        <v>11092</v>
      </c>
      <c r="K470" t="s">
        <v>11561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1607</v>
      </c>
      <c r="E471" t="s">
        <v>86</v>
      </c>
      <c r="H471" t="s">
        <v>4395</v>
      </c>
      <c r="I471" t="s">
        <v>6510</v>
      </c>
      <c r="J471" t="s">
        <v>11092</v>
      </c>
      <c r="K471" t="s">
        <v>11562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1607</v>
      </c>
      <c r="E472" t="s">
        <v>86</v>
      </c>
      <c r="H472" t="s">
        <v>4395</v>
      </c>
      <c r="I472" t="s">
        <v>6512</v>
      </c>
      <c r="J472" t="s">
        <v>11092</v>
      </c>
      <c r="K472" t="s">
        <v>11563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1607</v>
      </c>
      <c r="E473" t="s">
        <v>86</v>
      </c>
      <c r="H473" t="s">
        <v>4395</v>
      </c>
      <c r="I473" t="s">
        <v>6734</v>
      </c>
      <c r="J473" t="s">
        <v>11092</v>
      </c>
      <c r="K473" t="s">
        <v>11564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1607</v>
      </c>
      <c r="E474" t="s">
        <v>86</v>
      </c>
      <c r="H474" t="s">
        <v>4395</v>
      </c>
      <c r="I474" t="s">
        <v>6736</v>
      </c>
      <c r="J474" t="s">
        <v>11092</v>
      </c>
      <c r="K474" t="s">
        <v>11565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1607</v>
      </c>
      <c r="E475" t="s">
        <v>86</v>
      </c>
      <c r="H475" t="s">
        <v>4395</v>
      </c>
      <c r="I475" t="s">
        <v>6738</v>
      </c>
      <c r="J475" t="s">
        <v>11092</v>
      </c>
      <c r="K475" t="s">
        <v>11566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1607</v>
      </c>
      <c r="E476" t="s">
        <v>86</v>
      </c>
      <c r="H476" t="s">
        <v>4395</v>
      </c>
      <c r="I476" t="s">
        <v>6949</v>
      </c>
      <c r="J476" t="s">
        <v>11092</v>
      </c>
      <c r="K476" t="s">
        <v>11567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1607</v>
      </c>
      <c r="E477" t="s">
        <v>86</v>
      </c>
      <c r="H477" t="s">
        <v>4395</v>
      </c>
      <c r="I477" t="s">
        <v>6951</v>
      </c>
      <c r="J477" t="s">
        <v>11092</v>
      </c>
      <c r="K477" t="s">
        <v>11568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1607</v>
      </c>
      <c r="E478" t="s">
        <v>7067</v>
      </c>
      <c r="H478" t="s">
        <v>4395</v>
      </c>
      <c r="I478" t="s">
        <v>6953</v>
      </c>
      <c r="J478" t="s">
        <v>11092</v>
      </c>
      <c r="K478" t="s">
        <v>11569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1607</v>
      </c>
      <c r="E479" t="s">
        <v>86</v>
      </c>
      <c r="H479" t="s">
        <v>4395</v>
      </c>
      <c r="I479" t="s">
        <v>6955</v>
      </c>
      <c r="J479" t="s">
        <v>11092</v>
      </c>
      <c r="K479" t="s">
        <v>11570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1607</v>
      </c>
      <c r="E480" t="s">
        <v>86</v>
      </c>
      <c r="H480" t="s">
        <v>4395</v>
      </c>
      <c r="I480" t="s">
        <v>6957</v>
      </c>
      <c r="J480" t="s">
        <v>11092</v>
      </c>
      <c r="K480" t="s">
        <v>11571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1607</v>
      </c>
      <c r="E481" t="s">
        <v>86</v>
      </c>
      <c r="H481" t="s">
        <v>4395</v>
      </c>
      <c r="I481" t="s">
        <v>6959</v>
      </c>
      <c r="J481" t="s">
        <v>11092</v>
      </c>
      <c r="K481" t="s">
        <v>11572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1607</v>
      </c>
      <c r="E482" t="s">
        <v>86</v>
      </c>
      <c r="H482" t="s">
        <v>4395</v>
      </c>
      <c r="I482" t="s">
        <v>6961</v>
      </c>
      <c r="J482" t="s">
        <v>11092</v>
      </c>
      <c r="K482" t="s">
        <v>11573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1607</v>
      </c>
      <c r="E483" t="s">
        <v>86</v>
      </c>
      <c r="H483" t="s">
        <v>4395</v>
      </c>
      <c r="I483" t="s">
        <v>7128</v>
      </c>
      <c r="J483" t="s">
        <v>11092</v>
      </c>
      <c r="K483" t="s">
        <v>11574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7130</v>
      </c>
      <c r="J484" t="s">
        <v>11092</v>
      </c>
      <c r="K484" t="s">
        <v>11575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7354</v>
      </c>
      <c r="E485" t="s">
        <v>7355</v>
      </c>
      <c r="I485" t="s">
        <v>7132</v>
      </c>
      <c r="J485" t="s">
        <v>11092</v>
      </c>
      <c r="K485" t="s">
        <v>11576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1627</v>
      </c>
      <c r="E486" t="s">
        <v>1058</v>
      </c>
      <c r="I486" t="s">
        <v>7134</v>
      </c>
      <c r="J486" t="s">
        <v>11092</v>
      </c>
      <c r="K486" t="s">
        <v>11577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7354</v>
      </c>
      <c r="E487" t="s">
        <v>4131</v>
      </c>
      <c r="I487" t="s">
        <v>7136</v>
      </c>
      <c r="J487" t="s">
        <v>11092</v>
      </c>
      <c r="K487" t="s">
        <v>11578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4392</v>
      </c>
      <c r="E488" t="s">
        <v>4396</v>
      </c>
      <c r="F488" t="s">
        <v>7356</v>
      </c>
      <c r="I488" t="s">
        <v>7138</v>
      </c>
      <c r="J488" t="s">
        <v>11092</v>
      </c>
      <c r="K488" t="s">
        <v>11579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7140</v>
      </c>
      <c r="J489" t="s">
        <v>11092</v>
      </c>
      <c r="K489" t="s">
        <v>11580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4392</v>
      </c>
      <c r="E490" t="s">
        <v>4396</v>
      </c>
      <c r="F490" t="s">
        <v>7357</v>
      </c>
      <c r="I490" t="s">
        <v>7142</v>
      </c>
      <c r="J490" t="s">
        <v>11092</v>
      </c>
      <c r="K490" t="s">
        <v>11581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7358</v>
      </c>
      <c r="I491" t="s">
        <v>7144</v>
      </c>
      <c r="J491" t="s">
        <v>11092</v>
      </c>
      <c r="K491" t="s">
        <v>11582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4392</v>
      </c>
      <c r="E492" t="s">
        <v>4396</v>
      </c>
      <c r="F492" t="s">
        <v>7357</v>
      </c>
      <c r="I492" t="s">
        <v>7146</v>
      </c>
      <c r="J492" t="s">
        <v>11092</v>
      </c>
      <c r="K492" t="s">
        <v>11583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4392</v>
      </c>
      <c r="E493" t="s">
        <v>4396</v>
      </c>
      <c r="F493" t="s">
        <v>7357</v>
      </c>
      <c r="I493" t="s">
        <v>7148</v>
      </c>
      <c r="J493" t="s">
        <v>11092</v>
      </c>
      <c r="K493" t="s">
        <v>11584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7150</v>
      </c>
      <c r="J494" t="s">
        <v>11092</v>
      </c>
      <c r="K494" t="s">
        <v>11585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4392</v>
      </c>
      <c r="E495" t="s">
        <v>4396</v>
      </c>
      <c r="F495" t="s">
        <v>7357</v>
      </c>
      <c r="I495" t="s">
        <v>7152</v>
      </c>
      <c r="J495" t="s">
        <v>11092</v>
      </c>
      <c r="K495" t="s">
        <v>11586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4392</v>
      </c>
      <c r="E496" t="s">
        <v>4396</v>
      </c>
      <c r="F496" t="s">
        <v>7357</v>
      </c>
      <c r="I496" t="s">
        <v>7154</v>
      </c>
      <c r="J496" t="s">
        <v>11092</v>
      </c>
      <c r="K496" t="s">
        <v>11587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7156</v>
      </c>
      <c r="J497" t="s">
        <v>11092</v>
      </c>
      <c r="K497" t="s">
        <v>11588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4395</v>
      </c>
      <c r="I498" t="s">
        <v>7158</v>
      </c>
      <c r="J498" t="s">
        <v>11092</v>
      </c>
      <c r="K498" t="s">
        <v>11589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7359</v>
      </c>
      <c r="E499" t="s">
        <v>1058</v>
      </c>
      <c r="I499" t="s">
        <v>7160</v>
      </c>
      <c r="J499" t="s">
        <v>11092</v>
      </c>
      <c r="K499" t="s">
        <v>11590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1627</v>
      </c>
      <c r="E500" t="s">
        <v>1058</v>
      </c>
      <c r="I500" t="s">
        <v>7162</v>
      </c>
      <c r="J500" t="s">
        <v>11092</v>
      </c>
      <c r="K500" t="s">
        <v>11591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1627</v>
      </c>
      <c r="E501" t="s">
        <v>1058</v>
      </c>
      <c r="I501" t="s">
        <v>7164</v>
      </c>
      <c r="J501" t="s">
        <v>11092</v>
      </c>
      <c r="K501" t="s">
        <v>11592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7166</v>
      </c>
      <c r="J502" t="s">
        <v>11092</v>
      </c>
      <c r="K502" t="s">
        <v>11593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7354</v>
      </c>
      <c r="E503" t="s">
        <v>4131</v>
      </c>
      <c r="I503" t="s">
        <v>7168</v>
      </c>
      <c r="J503" t="s">
        <v>11092</v>
      </c>
      <c r="K503" t="s">
        <v>11594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4392</v>
      </c>
      <c r="E504" t="s">
        <v>4396</v>
      </c>
      <c r="F504" t="s">
        <v>465</v>
      </c>
      <c r="I504" t="s">
        <v>7170</v>
      </c>
      <c r="J504" t="s">
        <v>11092</v>
      </c>
      <c r="K504" t="s">
        <v>11595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6157</v>
      </c>
      <c r="I505" t="s">
        <v>7172</v>
      </c>
      <c r="J505" t="s">
        <v>11092</v>
      </c>
      <c r="K505" t="s">
        <v>11596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7360</v>
      </c>
      <c r="E506" t="s">
        <v>1058</v>
      </c>
      <c r="I506" t="s">
        <v>7174</v>
      </c>
      <c r="J506" t="s">
        <v>11092</v>
      </c>
      <c r="K506" t="s">
        <v>11597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7360</v>
      </c>
      <c r="E507" t="s">
        <v>1058</v>
      </c>
      <c r="I507" t="s">
        <v>7176</v>
      </c>
      <c r="J507" t="s">
        <v>11092</v>
      </c>
      <c r="K507" t="s">
        <v>11598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4395</v>
      </c>
      <c r="I508" t="s">
        <v>7178</v>
      </c>
      <c r="J508" t="s">
        <v>11092</v>
      </c>
      <c r="K508" t="s">
        <v>11599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7563</v>
      </c>
      <c r="E509" t="s">
        <v>1058</v>
      </c>
      <c r="I509" t="s">
        <v>7422</v>
      </c>
      <c r="J509" t="s">
        <v>11092</v>
      </c>
      <c r="K509" t="s">
        <v>11600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7563</v>
      </c>
      <c r="E510" t="s">
        <v>1058</v>
      </c>
      <c r="I510" t="s">
        <v>7424</v>
      </c>
      <c r="J510" t="s">
        <v>11092</v>
      </c>
      <c r="K510" t="s">
        <v>11601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7563</v>
      </c>
      <c r="E511" t="s">
        <v>7564</v>
      </c>
      <c r="I511" t="s">
        <v>7426</v>
      </c>
      <c r="J511" t="s">
        <v>11092</v>
      </c>
      <c r="K511" t="s">
        <v>11602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6157</v>
      </c>
      <c r="I512" t="s">
        <v>7428</v>
      </c>
      <c r="J512" t="s">
        <v>11092</v>
      </c>
      <c r="K512" t="s">
        <v>11603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7563</v>
      </c>
      <c r="E513" t="s">
        <v>1058</v>
      </c>
      <c r="I513" t="s">
        <v>7565</v>
      </c>
      <c r="J513" t="s">
        <v>11092</v>
      </c>
      <c r="K513" t="s">
        <v>11604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7563</v>
      </c>
      <c r="E514" t="s">
        <v>1058</v>
      </c>
      <c r="I514" t="s">
        <v>7567</v>
      </c>
      <c r="J514" t="s">
        <v>11092</v>
      </c>
      <c r="K514" t="s">
        <v>11605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7563</v>
      </c>
      <c r="E515" t="s">
        <v>1058</v>
      </c>
      <c r="I515" t="s">
        <v>7569</v>
      </c>
      <c r="J515" t="s">
        <v>11092</v>
      </c>
      <c r="K515" t="s">
        <v>11606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7563</v>
      </c>
      <c r="E516" t="s">
        <v>1058</v>
      </c>
      <c r="I516" t="s">
        <v>7571</v>
      </c>
      <c r="J516" t="s">
        <v>11092</v>
      </c>
      <c r="K516" t="s">
        <v>11607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7563</v>
      </c>
      <c r="E517" t="s">
        <v>1058</v>
      </c>
      <c r="I517" t="s">
        <v>7573</v>
      </c>
      <c r="J517" t="s">
        <v>11092</v>
      </c>
      <c r="K517" t="s">
        <v>11608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7563</v>
      </c>
      <c r="E518" t="s">
        <v>1058</v>
      </c>
      <c r="I518" t="s">
        <v>7575</v>
      </c>
      <c r="J518" t="s">
        <v>11092</v>
      </c>
      <c r="K518" t="s">
        <v>11609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7583</v>
      </c>
      <c r="E519" t="s">
        <v>1058</v>
      </c>
      <c r="I519" t="s">
        <v>7577</v>
      </c>
      <c r="J519" t="s">
        <v>11092</v>
      </c>
      <c r="K519" t="s">
        <v>11610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7562</v>
      </c>
      <c r="E520" t="s">
        <v>4131</v>
      </c>
      <c r="I520" t="s">
        <v>7579</v>
      </c>
      <c r="J520" t="s">
        <v>11092</v>
      </c>
      <c r="K520" t="s">
        <v>11611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4395</v>
      </c>
      <c r="I521" t="s">
        <v>7581</v>
      </c>
      <c r="J521" t="s">
        <v>11092</v>
      </c>
      <c r="K521" t="s">
        <v>11612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4395</v>
      </c>
      <c r="I522" t="s">
        <v>7710</v>
      </c>
      <c r="J522" t="s">
        <v>11092</v>
      </c>
      <c r="K522" t="s">
        <v>11613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7745</v>
      </c>
      <c r="I523" t="s">
        <v>7712</v>
      </c>
      <c r="J523" t="s">
        <v>11092</v>
      </c>
      <c r="K523" t="s">
        <v>11614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7746</v>
      </c>
      <c r="E524" t="s">
        <v>7355</v>
      </c>
      <c r="I524" t="s">
        <v>7714</v>
      </c>
      <c r="J524" t="s">
        <v>11092</v>
      </c>
      <c r="K524" t="s">
        <v>11615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7563</v>
      </c>
      <c r="E525" t="s">
        <v>1058</v>
      </c>
      <c r="I525" t="s">
        <v>7825</v>
      </c>
      <c r="J525" t="s">
        <v>11092</v>
      </c>
      <c r="K525" t="s">
        <v>11616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7563</v>
      </c>
      <c r="E526" t="s">
        <v>1058</v>
      </c>
      <c r="I526" t="s">
        <v>7827</v>
      </c>
      <c r="J526" t="s">
        <v>11092</v>
      </c>
      <c r="K526" t="s">
        <v>11617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7829</v>
      </c>
      <c r="J527" t="s">
        <v>11092</v>
      </c>
      <c r="K527" t="s">
        <v>11618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4393</v>
      </c>
      <c r="I528" t="s">
        <v>7831</v>
      </c>
      <c r="J528" t="s">
        <v>11092</v>
      </c>
      <c r="K528" t="s">
        <v>11619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4392</v>
      </c>
      <c r="E529" t="s">
        <v>4396</v>
      </c>
      <c r="F529" t="s">
        <v>7356</v>
      </c>
      <c r="G529">
        <v>1</v>
      </c>
      <c r="I529" t="s">
        <v>7833</v>
      </c>
      <c r="J529" t="s">
        <v>11092</v>
      </c>
      <c r="K529" t="s">
        <v>11620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4392</v>
      </c>
      <c r="E530" t="s">
        <v>4396</v>
      </c>
      <c r="F530" t="s">
        <v>7356</v>
      </c>
      <c r="G530">
        <v>2</v>
      </c>
      <c r="I530" t="s">
        <v>7835</v>
      </c>
      <c r="J530" t="s">
        <v>11092</v>
      </c>
      <c r="K530" t="s">
        <v>11621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4392</v>
      </c>
      <c r="E531" t="s">
        <v>4396</v>
      </c>
      <c r="F531" t="s">
        <v>7356</v>
      </c>
      <c r="G531">
        <v>1</v>
      </c>
      <c r="I531" t="s">
        <v>7837</v>
      </c>
      <c r="J531" t="s">
        <v>11092</v>
      </c>
      <c r="K531" t="s">
        <v>11622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4393</v>
      </c>
      <c r="I532" t="s">
        <v>7839</v>
      </c>
      <c r="J532" t="s">
        <v>11092</v>
      </c>
      <c r="K532" t="s">
        <v>11623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4393</v>
      </c>
      <c r="I533" t="s">
        <v>7841</v>
      </c>
      <c r="J533" t="s">
        <v>11092</v>
      </c>
      <c r="K533" t="s">
        <v>11624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4395</v>
      </c>
      <c r="I534" t="s">
        <v>7843</v>
      </c>
      <c r="J534" t="s">
        <v>11092</v>
      </c>
      <c r="K534" t="s">
        <v>11625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7354</v>
      </c>
      <c r="E535" t="s">
        <v>4131</v>
      </c>
      <c r="I535" t="s">
        <v>8005</v>
      </c>
      <c r="J535" t="s">
        <v>11092</v>
      </c>
      <c r="K535" t="s">
        <v>11626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6157</v>
      </c>
      <c r="I536" t="s">
        <v>8007</v>
      </c>
      <c r="J536" t="s">
        <v>11092</v>
      </c>
      <c r="K536" t="s">
        <v>11627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4392</v>
      </c>
      <c r="E537" t="s">
        <v>4396</v>
      </c>
      <c r="F537" t="s">
        <v>7356</v>
      </c>
      <c r="G537">
        <v>1</v>
      </c>
      <c r="I537" t="s">
        <v>8009</v>
      </c>
      <c r="J537" t="s">
        <v>11092</v>
      </c>
      <c r="K537" t="s">
        <v>11628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4392</v>
      </c>
      <c r="E538" t="s">
        <v>4396</v>
      </c>
      <c r="F538" t="s">
        <v>7356</v>
      </c>
      <c r="G538">
        <v>1</v>
      </c>
      <c r="I538" t="s">
        <v>8011</v>
      </c>
      <c r="J538" t="s">
        <v>11092</v>
      </c>
      <c r="K538" t="s">
        <v>11629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7746</v>
      </c>
      <c r="E539" t="s">
        <v>4131</v>
      </c>
      <c r="I539" t="s">
        <v>8013</v>
      </c>
      <c r="J539" t="s">
        <v>11092</v>
      </c>
      <c r="K539" t="s">
        <v>11630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4392</v>
      </c>
      <c r="E540" t="s">
        <v>4396</v>
      </c>
      <c r="F540" t="s">
        <v>7356</v>
      </c>
      <c r="G540">
        <v>2</v>
      </c>
      <c r="I540" t="s">
        <v>8015</v>
      </c>
      <c r="J540" t="s">
        <v>11092</v>
      </c>
      <c r="K540" t="s">
        <v>11631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4396</v>
      </c>
      <c r="F541" t="s">
        <v>465</v>
      </c>
      <c r="G541">
        <v>1</v>
      </c>
      <c r="I541" t="s">
        <v>8017</v>
      </c>
      <c r="J541" t="s">
        <v>11092</v>
      </c>
      <c r="K541" t="s">
        <v>11632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587</v>
      </c>
      <c r="E542" t="s">
        <v>4396</v>
      </c>
      <c r="I542" t="s">
        <v>8019</v>
      </c>
      <c r="J542" t="s">
        <v>11092</v>
      </c>
      <c r="K542" t="s">
        <v>11633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7066</v>
      </c>
      <c r="I543" t="s">
        <v>8021</v>
      </c>
      <c r="J543" t="s">
        <v>11092</v>
      </c>
      <c r="K543" t="s">
        <v>11634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8331</v>
      </c>
      <c r="H544" t="s">
        <v>4395</v>
      </c>
      <c r="I544" t="s">
        <v>8313</v>
      </c>
      <c r="J544" t="s">
        <v>11092</v>
      </c>
      <c r="K544" t="s">
        <v>11635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6157</v>
      </c>
      <c r="I545" t="s">
        <v>8315</v>
      </c>
      <c r="J545" t="s">
        <v>11092</v>
      </c>
      <c r="K545" t="s">
        <v>11636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226</v>
      </c>
      <c r="E546" t="s">
        <v>7608</v>
      </c>
      <c r="F546" t="s">
        <v>58</v>
      </c>
      <c r="H546" t="s">
        <v>8374</v>
      </c>
      <c r="I546" t="s">
        <v>8317</v>
      </c>
      <c r="J546" t="s">
        <v>11092</v>
      </c>
      <c r="K546" t="s">
        <v>11637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226</v>
      </c>
      <c r="E547" t="s">
        <v>7608</v>
      </c>
      <c r="F547" t="s">
        <v>58</v>
      </c>
      <c r="H547" t="s">
        <v>2352</v>
      </c>
      <c r="I547" t="s">
        <v>8320</v>
      </c>
      <c r="J547" t="s">
        <v>11092</v>
      </c>
      <c r="K547" t="s">
        <v>11638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4396</v>
      </c>
      <c r="H548" t="s">
        <v>4395</v>
      </c>
      <c r="I548" t="s">
        <v>8323</v>
      </c>
      <c r="J548" t="s">
        <v>11092</v>
      </c>
      <c r="K548" t="s">
        <v>11639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4396</v>
      </c>
      <c r="H549" t="s">
        <v>4395</v>
      </c>
      <c r="I549" t="s">
        <v>8389</v>
      </c>
      <c r="J549" t="s">
        <v>11092</v>
      </c>
      <c r="K549" t="s">
        <v>11640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4131</v>
      </c>
      <c r="I550" t="s">
        <v>8435</v>
      </c>
      <c r="J550" t="s">
        <v>11092</v>
      </c>
      <c r="K550" t="s">
        <v>11641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7562</v>
      </c>
      <c r="E551" t="s">
        <v>468</v>
      </c>
      <c r="I551" t="s">
        <v>8486</v>
      </c>
      <c r="J551" t="s">
        <v>11092</v>
      </c>
      <c r="K551" t="s">
        <v>11642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8527</v>
      </c>
      <c r="E552" t="s">
        <v>468</v>
      </c>
      <c r="I552" t="s">
        <v>8488</v>
      </c>
      <c r="J552" t="s">
        <v>11092</v>
      </c>
      <c r="K552" t="s">
        <v>11643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7562</v>
      </c>
      <c r="E553" t="s">
        <v>468</v>
      </c>
      <c r="I553" t="s">
        <v>8490</v>
      </c>
      <c r="J553" t="s">
        <v>11092</v>
      </c>
      <c r="K553" t="s">
        <v>11644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8527</v>
      </c>
      <c r="E554" t="s">
        <v>468</v>
      </c>
      <c r="I554" t="s">
        <v>8492</v>
      </c>
      <c r="J554" t="s">
        <v>11092</v>
      </c>
      <c r="K554" t="s">
        <v>11645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6157</v>
      </c>
      <c r="I555" t="s">
        <v>8494</v>
      </c>
      <c r="J555" t="s">
        <v>11092</v>
      </c>
      <c r="K555" t="s">
        <v>11646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7562</v>
      </c>
      <c r="E556" t="s">
        <v>468</v>
      </c>
      <c r="I556" t="s">
        <v>8642</v>
      </c>
      <c r="J556" t="s">
        <v>11092</v>
      </c>
      <c r="K556" t="s">
        <v>11647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6157</v>
      </c>
      <c r="I557" t="s">
        <v>8644</v>
      </c>
      <c r="J557" t="s">
        <v>11092</v>
      </c>
      <c r="K557" t="s">
        <v>11648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4392</v>
      </c>
      <c r="E558" t="s">
        <v>4396</v>
      </c>
      <c r="F558" t="s">
        <v>7356</v>
      </c>
      <c r="I558" t="s">
        <v>8646</v>
      </c>
      <c r="J558" t="s">
        <v>11092</v>
      </c>
      <c r="K558" t="s">
        <v>11649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7746</v>
      </c>
      <c r="E559" t="s">
        <v>4131</v>
      </c>
      <c r="I559" t="s">
        <v>8648</v>
      </c>
      <c r="J559" t="s">
        <v>11092</v>
      </c>
      <c r="K559" t="s">
        <v>11650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4392</v>
      </c>
      <c r="E560" t="s">
        <v>4396</v>
      </c>
      <c r="F560" t="s">
        <v>7356</v>
      </c>
      <c r="I560" t="s">
        <v>8650</v>
      </c>
      <c r="J560" t="s">
        <v>11092</v>
      </c>
      <c r="K560" t="s">
        <v>11651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7355</v>
      </c>
      <c r="F561" t="s">
        <v>2345</v>
      </c>
      <c r="I561" t="s">
        <v>8652</v>
      </c>
      <c r="J561" t="s">
        <v>11092</v>
      </c>
      <c r="K561" t="s">
        <v>11652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7354</v>
      </c>
      <c r="E562" t="s">
        <v>4131</v>
      </c>
      <c r="I562" t="s">
        <v>8654</v>
      </c>
      <c r="J562" t="s">
        <v>11092</v>
      </c>
      <c r="K562" t="s">
        <v>11653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7562</v>
      </c>
      <c r="E563" t="s">
        <v>468</v>
      </c>
      <c r="I563" t="s">
        <v>8656</v>
      </c>
      <c r="J563" t="s">
        <v>11092</v>
      </c>
      <c r="K563" t="s">
        <v>11654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7354</v>
      </c>
      <c r="E564" t="s">
        <v>4131</v>
      </c>
      <c r="I564" t="s">
        <v>8658</v>
      </c>
      <c r="J564" t="s">
        <v>11092</v>
      </c>
      <c r="K564" t="s">
        <v>11655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7354</v>
      </c>
      <c r="E565" t="s">
        <v>4131</v>
      </c>
      <c r="I565" t="s">
        <v>8660</v>
      </c>
      <c r="J565" t="s">
        <v>11092</v>
      </c>
      <c r="K565" t="s">
        <v>11656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1627</v>
      </c>
      <c r="E566" t="s">
        <v>1058</v>
      </c>
      <c r="H566" t="s">
        <v>8719</v>
      </c>
      <c r="I566" t="s">
        <v>8662</v>
      </c>
      <c r="J566" t="s">
        <v>11092</v>
      </c>
      <c r="K566" t="s">
        <v>11657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7354</v>
      </c>
      <c r="E567" t="s">
        <v>4131</v>
      </c>
      <c r="I567" t="s">
        <v>8664</v>
      </c>
      <c r="J567" t="s">
        <v>11092</v>
      </c>
      <c r="K567" t="s">
        <v>11658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7562</v>
      </c>
      <c r="E568" t="s">
        <v>468</v>
      </c>
      <c r="I568" t="s">
        <v>8763</v>
      </c>
      <c r="J568" t="s">
        <v>11092</v>
      </c>
      <c r="K568" t="s">
        <v>11659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6157</v>
      </c>
      <c r="I569" t="s">
        <v>8765</v>
      </c>
      <c r="J569" t="s">
        <v>11092</v>
      </c>
      <c r="K569" t="s">
        <v>11660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4396</v>
      </c>
      <c r="H570" t="s">
        <v>4395</v>
      </c>
      <c r="I570" t="s">
        <v>8767</v>
      </c>
      <c r="J570" t="s">
        <v>11092</v>
      </c>
      <c r="K570" t="s">
        <v>11661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8921</v>
      </c>
      <c r="E571" t="s">
        <v>8922</v>
      </c>
      <c r="I571" t="s">
        <v>8842</v>
      </c>
      <c r="J571" t="s">
        <v>11092</v>
      </c>
      <c r="K571" t="s">
        <v>11662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7746</v>
      </c>
      <c r="E572" t="s">
        <v>1274</v>
      </c>
      <c r="I572" t="s">
        <v>8844</v>
      </c>
      <c r="J572" t="s">
        <v>11092</v>
      </c>
      <c r="K572" t="s">
        <v>11663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8994</v>
      </c>
      <c r="J573" t="s">
        <v>11092</v>
      </c>
      <c r="K573" t="s">
        <v>11664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4396</v>
      </c>
      <c r="F574" t="s">
        <v>465</v>
      </c>
      <c r="G574">
        <v>1</v>
      </c>
      <c r="I574" t="s">
        <v>8996</v>
      </c>
      <c r="J574" t="s">
        <v>11092</v>
      </c>
      <c r="K574" t="s">
        <v>11665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4392</v>
      </c>
      <c r="E575" t="s">
        <v>4396</v>
      </c>
      <c r="F575" t="s">
        <v>7357</v>
      </c>
      <c r="G575">
        <v>1</v>
      </c>
      <c r="I575" t="s">
        <v>8998</v>
      </c>
      <c r="J575" t="s">
        <v>11092</v>
      </c>
      <c r="K575" t="s">
        <v>11666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7354</v>
      </c>
      <c r="E576" t="s">
        <v>7355</v>
      </c>
      <c r="I576" t="s">
        <v>9000</v>
      </c>
      <c r="J576" t="s">
        <v>11092</v>
      </c>
      <c r="K576" t="s">
        <v>11667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1627</v>
      </c>
      <c r="E577" t="s">
        <v>1058</v>
      </c>
      <c r="H577" t="s">
        <v>8719</v>
      </c>
      <c r="I577" t="s">
        <v>9002</v>
      </c>
      <c r="J577" t="s">
        <v>11092</v>
      </c>
      <c r="K577" t="s">
        <v>11668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7354</v>
      </c>
      <c r="E578" t="s">
        <v>7355</v>
      </c>
      <c r="I578" t="s">
        <v>9004</v>
      </c>
      <c r="J578" t="s">
        <v>11092</v>
      </c>
      <c r="K578" t="s">
        <v>11669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7354</v>
      </c>
      <c r="E579" t="s">
        <v>7355</v>
      </c>
      <c r="I579" t="s">
        <v>9006</v>
      </c>
      <c r="J579" t="s">
        <v>11092</v>
      </c>
      <c r="K579" t="s">
        <v>11670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7746</v>
      </c>
      <c r="E580" t="s">
        <v>1274</v>
      </c>
      <c r="I580" t="s">
        <v>9008</v>
      </c>
      <c r="J580" t="s">
        <v>11092</v>
      </c>
      <c r="K580" t="s">
        <v>11671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6157</v>
      </c>
      <c r="I581" t="s">
        <v>9010</v>
      </c>
      <c r="J581" t="s">
        <v>11092</v>
      </c>
      <c r="K581" t="s">
        <v>11672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7354</v>
      </c>
      <c r="E582" t="s">
        <v>7355</v>
      </c>
      <c r="I582" t="s">
        <v>9183</v>
      </c>
      <c r="J582" t="s">
        <v>11092</v>
      </c>
      <c r="K582" t="s">
        <v>11673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7354</v>
      </c>
      <c r="E583" t="s">
        <v>7355</v>
      </c>
      <c r="I583" t="s">
        <v>9185</v>
      </c>
      <c r="J583" t="s">
        <v>11092</v>
      </c>
      <c r="K583" t="s">
        <v>11674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7746</v>
      </c>
      <c r="E584" t="s">
        <v>1274</v>
      </c>
      <c r="I584" t="s">
        <v>9187</v>
      </c>
      <c r="J584" t="s">
        <v>11092</v>
      </c>
      <c r="K584" t="s">
        <v>11675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9316</v>
      </c>
      <c r="E585" t="s">
        <v>1274</v>
      </c>
      <c r="I585" t="s">
        <v>9189</v>
      </c>
      <c r="J585" t="s">
        <v>11092</v>
      </c>
      <c r="K585" t="s">
        <v>11676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7354</v>
      </c>
      <c r="E586" t="s">
        <v>7355</v>
      </c>
      <c r="I586" t="s">
        <v>9191</v>
      </c>
      <c r="J586" t="s">
        <v>11092</v>
      </c>
      <c r="K586" t="s">
        <v>11677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1627</v>
      </c>
      <c r="E587" t="s">
        <v>1058</v>
      </c>
      <c r="I587" t="s">
        <v>9193</v>
      </c>
      <c r="J587" t="s">
        <v>11092</v>
      </c>
      <c r="K587" t="s">
        <v>11678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9195</v>
      </c>
      <c r="J588" t="s">
        <v>11092</v>
      </c>
      <c r="K588" t="s">
        <v>11679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9197</v>
      </c>
      <c r="J589" t="s">
        <v>11092</v>
      </c>
      <c r="K589" t="s">
        <v>11680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7354</v>
      </c>
      <c r="E590" t="s">
        <v>7355</v>
      </c>
      <c r="I590" t="s">
        <v>9199</v>
      </c>
      <c r="J590" t="s">
        <v>11092</v>
      </c>
      <c r="K590" t="s">
        <v>11681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9317</v>
      </c>
      <c r="I591" t="s">
        <v>9201</v>
      </c>
      <c r="J591" t="s">
        <v>11092</v>
      </c>
      <c r="K591" t="s">
        <v>11682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7746</v>
      </c>
      <c r="E592" t="s">
        <v>1274</v>
      </c>
      <c r="H592" t="s">
        <v>9318</v>
      </c>
      <c r="I592" t="s">
        <v>9203</v>
      </c>
      <c r="J592" t="s">
        <v>11092</v>
      </c>
      <c r="K592" t="s">
        <v>11683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7354</v>
      </c>
      <c r="E593" t="s">
        <v>7355</v>
      </c>
      <c r="I593" t="s">
        <v>9205</v>
      </c>
      <c r="J593" t="s">
        <v>11092</v>
      </c>
      <c r="K593" t="s">
        <v>11684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6157</v>
      </c>
      <c r="I594" t="s">
        <v>9364</v>
      </c>
      <c r="J594" t="s">
        <v>11092</v>
      </c>
      <c r="K594" t="s">
        <v>11685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1627</v>
      </c>
      <c r="E595" t="s">
        <v>1058</v>
      </c>
      <c r="I595" t="s">
        <v>9366</v>
      </c>
      <c r="J595" t="s">
        <v>11092</v>
      </c>
      <c r="K595" t="s">
        <v>11686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7354</v>
      </c>
      <c r="E596" t="s">
        <v>7355</v>
      </c>
      <c r="I596" t="s">
        <v>9368</v>
      </c>
      <c r="J596" t="s">
        <v>11092</v>
      </c>
      <c r="K596" t="s">
        <v>11687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7746</v>
      </c>
      <c r="E597" t="s">
        <v>1274</v>
      </c>
      <c r="I597" t="s">
        <v>9370</v>
      </c>
      <c r="J597" t="s">
        <v>11092</v>
      </c>
      <c r="K597" t="s">
        <v>11688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7746</v>
      </c>
      <c r="E598" t="s">
        <v>1274</v>
      </c>
      <c r="I598" t="s">
        <v>9372</v>
      </c>
      <c r="J598" t="s">
        <v>11092</v>
      </c>
      <c r="K598" t="s">
        <v>11689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7354</v>
      </c>
      <c r="E599" t="s">
        <v>7355</v>
      </c>
      <c r="I599" t="s">
        <v>9374</v>
      </c>
      <c r="J599" t="s">
        <v>11092</v>
      </c>
      <c r="K599" t="s">
        <v>11690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7354</v>
      </c>
      <c r="E600" t="s">
        <v>7355</v>
      </c>
      <c r="I600" t="s">
        <v>9376</v>
      </c>
      <c r="J600" t="s">
        <v>11092</v>
      </c>
      <c r="K600" t="s">
        <v>11691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9378</v>
      </c>
      <c r="J601" t="s">
        <v>11092</v>
      </c>
      <c r="K601" t="s">
        <v>11692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2352</v>
      </c>
      <c r="I602" t="s">
        <v>9380</v>
      </c>
      <c r="J602" t="s">
        <v>11092</v>
      </c>
      <c r="K602" t="s">
        <v>11693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9422</v>
      </c>
      <c r="I603" t="s">
        <v>9382</v>
      </c>
      <c r="J603" t="s">
        <v>11092</v>
      </c>
      <c r="K603" t="s">
        <v>11694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0.3810763888888889</v>
      </c>
      <c r="I604" t="s">
        <v>10746</v>
      </c>
      <c r="J604" t="s">
        <v>11092</v>
      </c>
      <c r="K604" t="s">
        <v>11695</v>
      </c>
      <c r="L604" t="s">
        <v>10747</v>
      </c>
      <c r="M604" s="2" t="str">
        <f>HYPERLINK(склад2въезд13192021222[[#This Row],[RelativePath]])</f>
        <v>9 Ангар рейсмус\GA3948333_2_20260224T090845Z.jpg</v>
      </c>
    </row>
    <row r="605" spans="1:13" x14ac:dyDescent="0.25">
      <c r="A605" s="1" t="s">
        <v>14</v>
      </c>
      <c r="B605" s="3">
        <v>46077</v>
      </c>
      <c r="C605" s="4">
        <v>0.64776620370370375</v>
      </c>
      <c r="D605" t="s">
        <v>4</v>
      </c>
      <c r="E605" t="s">
        <v>9</v>
      </c>
      <c r="I605" t="s">
        <v>10748</v>
      </c>
      <c r="J605" t="s">
        <v>11092</v>
      </c>
      <c r="K605" t="s">
        <v>11696</v>
      </c>
      <c r="L605" t="s">
        <v>10749</v>
      </c>
      <c r="M605" s="2" t="str">
        <f>HYPERLINK(склад2въезд13192021222[[#This Row],[RelativePath]])</f>
        <v>9 Ангар рейсмус\GA3948333_2_20260224T153247Z.jpg</v>
      </c>
    </row>
    <row r="606" spans="1:13" x14ac:dyDescent="0.25">
      <c r="A606" s="1" t="s">
        <v>14</v>
      </c>
      <c r="B606" s="3">
        <v>46077</v>
      </c>
      <c r="C606" s="4">
        <v>0.75173611111111116</v>
      </c>
      <c r="D606" t="s">
        <v>4</v>
      </c>
      <c r="E606" t="s">
        <v>9</v>
      </c>
      <c r="I606" t="s">
        <v>10750</v>
      </c>
      <c r="J606" t="s">
        <v>11092</v>
      </c>
      <c r="K606" t="s">
        <v>11697</v>
      </c>
      <c r="L606" t="s">
        <v>10751</v>
      </c>
      <c r="M606" s="2" t="str">
        <f>HYPERLINK(склад2въезд13192021222[[#This Row],[RelativePath]])</f>
        <v>9 Ангар рейсмус\GA3948333_2_20260224T180230Z.jpg</v>
      </c>
    </row>
    <row r="607" spans="1:13" x14ac:dyDescent="0.25">
      <c r="A607" s="1" t="s">
        <v>15</v>
      </c>
      <c r="B607" s="3">
        <v>46078</v>
      </c>
      <c r="C607" s="4">
        <v>0.42092592592592593</v>
      </c>
      <c r="D607" t="s">
        <v>4</v>
      </c>
      <c r="E607" t="s">
        <v>9</v>
      </c>
      <c r="I607" t="s">
        <v>10752</v>
      </c>
      <c r="J607" t="s">
        <v>11092</v>
      </c>
      <c r="K607" t="s">
        <v>11698</v>
      </c>
      <c r="L607" t="s">
        <v>10753</v>
      </c>
      <c r="M607" s="2" t="str">
        <f>HYPERLINK(склад2въезд13192021222[[#This Row],[RelativePath]])</f>
        <v>9 Ангар рейсмус\GA3948333_2_20260225T100608Z.jpg</v>
      </c>
    </row>
    <row r="608" spans="1:13" x14ac:dyDescent="0.25">
      <c r="A608" s="1" t="s">
        <v>15</v>
      </c>
      <c r="B608" s="3">
        <v>46078</v>
      </c>
      <c r="C608" s="4">
        <v>0.43320601851851853</v>
      </c>
      <c r="D608" t="s">
        <v>1627</v>
      </c>
      <c r="E608" t="s">
        <v>1058</v>
      </c>
      <c r="I608" t="s">
        <v>10754</v>
      </c>
      <c r="J608" t="s">
        <v>11092</v>
      </c>
      <c r="K608" t="s">
        <v>11699</v>
      </c>
      <c r="L608" t="s">
        <v>10755</v>
      </c>
      <c r="M608" s="2" t="str">
        <f>HYPERLINK(склад2въезд13192021222[[#This Row],[RelativePath]])</f>
        <v>9 Ангар рейсмус\GA3948333_2_20260225T102349Z.jpg</v>
      </c>
    </row>
    <row r="609" spans="1:13" x14ac:dyDescent="0.25">
      <c r="A609" s="1" t="s">
        <v>15</v>
      </c>
      <c r="B609" s="3">
        <v>46078</v>
      </c>
      <c r="C609" s="4">
        <v>0.4346875</v>
      </c>
      <c r="D609" t="s">
        <v>1627</v>
      </c>
      <c r="E609" t="s">
        <v>1058</v>
      </c>
      <c r="I609" t="s">
        <v>10756</v>
      </c>
      <c r="J609" t="s">
        <v>11092</v>
      </c>
      <c r="K609" t="s">
        <v>11700</v>
      </c>
      <c r="L609" t="s">
        <v>10757</v>
      </c>
      <c r="M609" s="2" t="str">
        <f>HYPERLINK(склад2въезд13192021222[[#This Row],[RelativePath]])</f>
        <v>9 Ангар рейсмус\GA3948333_2_20260225T102557Z.jpg</v>
      </c>
    </row>
    <row r="610" spans="1:13" x14ac:dyDescent="0.25">
      <c r="A610" s="1" t="s">
        <v>15</v>
      </c>
      <c r="B610" s="3">
        <v>46078</v>
      </c>
      <c r="C610" s="4">
        <v>0.47596064814814815</v>
      </c>
      <c r="D610" t="s">
        <v>1627</v>
      </c>
      <c r="E610" t="s">
        <v>1058</v>
      </c>
      <c r="I610" t="s">
        <v>10758</v>
      </c>
      <c r="J610" t="s">
        <v>11092</v>
      </c>
      <c r="K610" t="s">
        <v>11701</v>
      </c>
      <c r="L610" t="s">
        <v>10759</v>
      </c>
      <c r="M610" s="2" t="str">
        <f>HYPERLINK(склад2въезд13192021222[[#This Row],[RelativePath]])</f>
        <v>9 Ангар рейсмус\GA3948333_2_20260225T112523Z.jpg</v>
      </c>
    </row>
    <row r="611" spans="1:13" x14ac:dyDescent="0.25">
      <c r="A611" s="1" t="s">
        <v>15</v>
      </c>
      <c r="B611" s="3">
        <v>46078</v>
      </c>
      <c r="C611" s="4">
        <v>0.6471527777777778</v>
      </c>
      <c r="D611" t="s">
        <v>1627</v>
      </c>
      <c r="E611" t="s">
        <v>1058</v>
      </c>
      <c r="I611" t="s">
        <v>10760</v>
      </c>
      <c r="J611" t="s">
        <v>11092</v>
      </c>
      <c r="K611" t="s">
        <v>11702</v>
      </c>
      <c r="L611" t="s">
        <v>10761</v>
      </c>
      <c r="M611" s="2" t="str">
        <f>HYPERLINK(склад2въезд13192021222[[#This Row],[RelativePath]])</f>
        <v>9 Ангар рейсмус\GA3948333_2_20260225T153154Z.jpg</v>
      </c>
    </row>
    <row r="612" spans="1:13" x14ac:dyDescent="0.25">
      <c r="A612" s="1" t="s">
        <v>15</v>
      </c>
      <c r="B612" s="3">
        <v>46078</v>
      </c>
      <c r="C612" s="4">
        <v>0.99686342592592592</v>
      </c>
      <c r="D612" t="s">
        <v>4</v>
      </c>
      <c r="E612" t="s">
        <v>9</v>
      </c>
      <c r="I612" t="s">
        <v>10762</v>
      </c>
      <c r="J612" t="s">
        <v>11092</v>
      </c>
      <c r="K612" t="s">
        <v>11703</v>
      </c>
      <c r="L612" t="s">
        <v>10763</v>
      </c>
      <c r="M612" s="2" t="str">
        <f>HYPERLINK(склад2въезд13192021222[[#This Row],[RelativePath]])</f>
        <v>9 Ангар рейсмус\GA3948333_2_20260225T235529Z.jpg</v>
      </c>
    </row>
  </sheetData>
  <conditionalFormatting sqref="D613:D623 E613:E626 G2:H612 D2:E612">
    <cfRule type="containsText" dxfId="886" priority="14" operator="containsText" text="Выезд с территории">
      <formula>NOT(ISERROR(SEARCH("Выезд с территории",D2)))</formula>
    </cfRule>
  </conditionalFormatting>
  <conditionalFormatting sqref="F2:F612">
    <cfRule type="notContainsText" dxfId="885" priority="13" operator="notContains" text="порожний">
      <formula>ISERROR(SEARCH("порожний",F2))</formula>
    </cfRule>
  </conditionalFormatting>
  <conditionalFormatting sqref="E2:E626">
    <cfRule type="containsText" dxfId="884" priority="11" operator="containsText" text="Газель базы">
      <formula>NOT(ISERROR(SEARCH("Газель базы",E2)))</formula>
    </cfRule>
    <cfRule type="containsText" dxfId="883" priority="12" operator="containsText" text="Погрузчик базы">
      <formula>NOT(ISERROR(SEARCH("Погрузчик базы",E2)))</formula>
    </cfRule>
  </conditionalFormatting>
  <conditionalFormatting sqref="E2:E626">
    <cfRule type="containsText" dxfId="882" priority="10" operator="containsText" text="Трактор базы">
      <formula>NOT(ISERROR(SEARCH("Трактор базы",E2)))</formula>
    </cfRule>
  </conditionalFormatting>
  <conditionalFormatting sqref="A2:C612">
    <cfRule type="expression" dxfId="881" priority="9">
      <formula>$A2="пн"</formula>
    </cfRule>
  </conditionalFormatting>
  <conditionalFormatting sqref="A2:C614">
    <cfRule type="expression" dxfId="880" priority="3">
      <formula>$A2="вс"</formula>
    </cfRule>
    <cfRule type="expression" dxfId="879" priority="4">
      <formula>$A2="сб"</formula>
    </cfRule>
    <cfRule type="expression" dxfId="878" priority="5">
      <formula>$A2="пт"</formula>
    </cfRule>
    <cfRule type="expression" dxfId="877" priority="6">
      <formula>$A2="чт"</formula>
    </cfRule>
    <cfRule type="expression" dxfId="876" priority="7">
      <formula>$A2="ср"</formula>
    </cfRule>
    <cfRule type="expression" dxfId="875" priority="8">
      <formula>$A2="вт"</formula>
    </cfRule>
  </conditionalFormatting>
  <conditionalFormatting sqref="D2:D623">
    <cfRule type="containsText" dxfId="8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23">
    <cfRule type="containsText" dxfId="8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633"/>
  <sheetViews>
    <sheetView zoomScale="90" zoomScaleNormal="90" workbookViewId="0">
      <pane ySplit="1" topLeftCell="A614" activePane="bottomLeft" state="frozen"/>
      <selection pane="bottomLeft" activeCell="I623" sqref="I623:I6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1061</v>
      </c>
      <c r="J2" t="s">
        <v>12014</v>
      </c>
      <c r="K2" t="s">
        <v>12015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1064</v>
      </c>
      <c r="J3" t="s">
        <v>12014</v>
      </c>
      <c r="K3" t="s">
        <v>12016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1066</v>
      </c>
      <c r="J4" t="s">
        <v>12014</v>
      </c>
      <c r="K4" t="s">
        <v>12017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1271</v>
      </c>
      <c r="E5" t="s">
        <v>890</v>
      </c>
      <c r="I5" t="s">
        <v>1068</v>
      </c>
      <c r="J5" t="s">
        <v>12014</v>
      </c>
      <c r="K5" t="s">
        <v>12018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1271</v>
      </c>
      <c r="E6" t="s">
        <v>890</v>
      </c>
      <c r="I6" t="s">
        <v>1070</v>
      </c>
      <c r="J6" t="s">
        <v>12014</v>
      </c>
      <c r="K6" t="s">
        <v>12019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1271</v>
      </c>
      <c r="E7" t="s">
        <v>890</v>
      </c>
      <c r="I7" t="s">
        <v>1072</v>
      </c>
      <c r="J7" t="s">
        <v>12014</v>
      </c>
      <c r="K7" t="s">
        <v>12020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1271</v>
      </c>
      <c r="E8" t="s">
        <v>890</v>
      </c>
      <c r="I8" t="s">
        <v>1074</v>
      </c>
      <c r="J8" t="s">
        <v>12014</v>
      </c>
      <c r="K8" t="s">
        <v>12021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1272</v>
      </c>
      <c r="I9" t="s">
        <v>1076</v>
      </c>
      <c r="J9" t="s">
        <v>12014</v>
      </c>
      <c r="K9" t="s">
        <v>12022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887</v>
      </c>
      <c r="E10" t="s">
        <v>888</v>
      </c>
      <c r="I10" t="s">
        <v>1078</v>
      </c>
      <c r="J10" t="s">
        <v>12014</v>
      </c>
      <c r="K10" t="s">
        <v>12023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887</v>
      </c>
      <c r="E11" t="s">
        <v>888</v>
      </c>
      <c r="I11" t="s">
        <v>1080</v>
      </c>
      <c r="J11" t="s">
        <v>12014</v>
      </c>
      <c r="K11" t="s">
        <v>12024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1082</v>
      </c>
      <c r="J12" t="s">
        <v>12014</v>
      </c>
      <c r="K12" t="s">
        <v>12025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1273</v>
      </c>
      <c r="E13" t="s">
        <v>86</v>
      </c>
      <c r="F13" t="s">
        <v>51</v>
      </c>
      <c r="I13" t="s">
        <v>1084</v>
      </c>
      <c r="J13" t="s">
        <v>12014</v>
      </c>
      <c r="K13" t="s">
        <v>12026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226</v>
      </c>
      <c r="E14" t="s">
        <v>86</v>
      </c>
      <c r="F14" t="s">
        <v>53</v>
      </c>
      <c r="G14">
        <v>1</v>
      </c>
      <c r="I14" t="s">
        <v>1086</v>
      </c>
      <c r="J14" t="s">
        <v>12014</v>
      </c>
      <c r="K14" t="s">
        <v>12027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587</v>
      </c>
      <c r="E15" t="s">
        <v>86</v>
      </c>
      <c r="F15" t="s">
        <v>1276</v>
      </c>
      <c r="I15" t="s">
        <v>1088</v>
      </c>
      <c r="J15" t="s">
        <v>12014</v>
      </c>
      <c r="K15" t="s">
        <v>12028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1090</v>
      </c>
      <c r="J16" t="s">
        <v>12014</v>
      </c>
      <c r="K16" t="s">
        <v>12029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1273</v>
      </c>
      <c r="E17" t="s">
        <v>86</v>
      </c>
      <c r="F17" t="s">
        <v>51</v>
      </c>
      <c r="I17" t="s">
        <v>1092</v>
      </c>
      <c r="J17" t="s">
        <v>12014</v>
      </c>
      <c r="K17" t="s">
        <v>12030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226</v>
      </c>
      <c r="E18" t="s">
        <v>86</v>
      </c>
      <c r="F18" t="s">
        <v>53</v>
      </c>
      <c r="G18">
        <v>1</v>
      </c>
      <c r="I18" t="s">
        <v>1094</v>
      </c>
      <c r="J18" t="s">
        <v>12014</v>
      </c>
      <c r="K18" t="s">
        <v>12031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587</v>
      </c>
      <c r="E19" t="s">
        <v>86</v>
      </c>
      <c r="F19" t="s">
        <v>1276</v>
      </c>
      <c r="I19" t="s">
        <v>1096</v>
      </c>
      <c r="J19" t="s">
        <v>12014</v>
      </c>
      <c r="K19" t="s">
        <v>12032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1273</v>
      </c>
      <c r="E20" t="s">
        <v>86</v>
      </c>
      <c r="F20" t="s">
        <v>51</v>
      </c>
      <c r="I20" t="s">
        <v>1098</v>
      </c>
      <c r="J20" t="s">
        <v>12014</v>
      </c>
      <c r="K20" t="s">
        <v>12033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226</v>
      </c>
      <c r="E21" t="s">
        <v>86</v>
      </c>
      <c r="F21" t="s">
        <v>53</v>
      </c>
      <c r="G21">
        <v>1</v>
      </c>
      <c r="I21" t="s">
        <v>1100</v>
      </c>
      <c r="J21" t="s">
        <v>12014</v>
      </c>
      <c r="K21" t="s">
        <v>12034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587</v>
      </c>
      <c r="E22" t="s">
        <v>86</v>
      </c>
      <c r="F22" t="s">
        <v>1276</v>
      </c>
      <c r="I22" t="s">
        <v>1102</v>
      </c>
      <c r="J22" t="s">
        <v>12014</v>
      </c>
      <c r="K22" t="s">
        <v>12035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1274</v>
      </c>
      <c r="F23" t="s">
        <v>1275</v>
      </c>
      <c r="I23" t="s">
        <v>1104</v>
      </c>
      <c r="J23" t="s">
        <v>12014</v>
      </c>
      <c r="K23" t="s">
        <v>12036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1274</v>
      </c>
      <c r="F24" t="s">
        <v>1275</v>
      </c>
      <c r="I24" t="s">
        <v>1106</v>
      </c>
      <c r="J24" t="s">
        <v>12014</v>
      </c>
      <c r="K24" t="s">
        <v>12037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1272</v>
      </c>
      <c r="I25" t="s">
        <v>1108</v>
      </c>
      <c r="J25" t="s">
        <v>12014</v>
      </c>
      <c r="K25" t="s">
        <v>12038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1110</v>
      </c>
      <c r="J26" t="s">
        <v>12014</v>
      </c>
      <c r="K26" t="s">
        <v>12039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1273</v>
      </c>
      <c r="E27" t="s">
        <v>86</v>
      </c>
      <c r="F27" t="s">
        <v>51</v>
      </c>
      <c r="I27" t="s">
        <v>1112</v>
      </c>
      <c r="J27" t="s">
        <v>12014</v>
      </c>
      <c r="K27" t="s">
        <v>12040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1114</v>
      </c>
      <c r="J28" t="s">
        <v>12014</v>
      </c>
      <c r="K28" t="s">
        <v>12041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587</v>
      </c>
      <c r="E29" t="s">
        <v>86</v>
      </c>
      <c r="F29" t="s">
        <v>51</v>
      </c>
      <c r="I29" t="s">
        <v>1116</v>
      </c>
      <c r="J29" t="s">
        <v>12014</v>
      </c>
      <c r="K29" t="s">
        <v>12042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1118</v>
      </c>
      <c r="J30" t="s">
        <v>12014</v>
      </c>
      <c r="K30" t="s">
        <v>12043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1273</v>
      </c>
      <c r="E31" t="s">
        <v>56</v>
      </c>
      <c r="F31" t="s">
        <v>51</v>
      </c>
      <c r="I31" t="s">
        <v>1120</v>
      </c>
      <c r="J31" t="s">
        <v>12014</v>
      </c>
      <c r="K31" t="s">
        <v>12044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226</v>
      </c>
      <c r="E32" t="s">
        <v>56</v>
      </c>
      <c r="F32" t="s">
        <v>53</v>
      </c>
      <c r="G32">
        <v>3</v>
      </c>
      <c r="I32" t="s">
        <v>1122</v>
      </c>
      <c r="J32" t="s">
        <v>12014</v>
      </c>
      <c r="K32" t="s">
        <v>12045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587</v>
      </c>
      <c r="E33" t="s">
        <v>56</v>
      </c>
      <c r="F33" t="s">
        <v>1276</v>
      </c>
      <c r="I33" t="s">
        <v>1125</v>
      </c>
      <c r="J33" t="s">
        <v>12014</v>
      </c>
      <c r="K33" t="s">
        <v>12046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470</v>
      </c>
      <c r="E34" t="s">
        <v>468</v>
      </c>
      <c r="F34" t="s">
        <v>58</v>
      </c>
      <c r="H34" t="s">
        <v>1279</v>
      </c>
      <c r="I34" t="s">
        <v>1127</v>
      </c>
      <c r="J34" t="s">
        <v>12014</v>
      </c>
      <c r="K34" t="s">
        <v>12047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470</v>
      </c>
      <c r="E35" t="s">
        <v>468</v>
      </c>
      <c r="F35" t="s">
        <v>58</v>
      </c>
      <c r="H35" t="s">
        <v>1279</v>
      </c>
      <c r="I35" t="s">
        <v>1129</v>
      </c>
      <c r="J35" t="s">
        <v>12014</v>
      </c>
      <c r="K35" t="s">
        <v>12048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470</v>
      </c>
      <c r="E36" t="s">
        <v>468</v>
      </c>
      <c r="F36" t="s">
        <v>58</v>
      </c>
      <c r="H36" t="s">
        <v>1279</v>
      </c>
      <c r="I36" t="s">
        <v>1131</v>
      </c>
      <c r="J36" t="s">
        <v>12014</v>
      </c>
      <c r="K36" t="s">
        <v>12049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470</v>
      </c>
      <c r="E37" t="s">
        <v>468</v>
      </c>
      <c r="F37" t="s">
        <v>58</v>
      </c>
      <c r="H37" t="s">
        <v>1279</v>
      </c>
      <c r="I37" t="s">
        <v>1133</v>
      </c>
      <c r="J37" t="s">
        <v>12014</v>
      </c>
      <c r="K37" t="s">
        <v>12050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1135</v>
      </c>
      <c r="J38" t="s">
        <v>12014</v>
      </c>
      <c r="K38" t="s">
        <v>12051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470</v>
      </c>
      <c r="E39" t="s">
        <v>1277</v>
      </c>
      <c r="F39" t="s">
        <v>58</v>
      </c>
      <c r="H39" t="s">
        <v>1278</v>
      </c>
      <c r="I39" t="s">
        <v>1137</v>
      </c>
      <c r="J39" t="s">
        <v>12014</v>
      </c>
      <c r="K39" t="s">
        <v>12052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470</v>
      </c>
      <c r="E40" t="s">
        <v>1277</v>
      </c>
      <c r="F40" t="s">
        <v>58</v>
      </c>
      <c r="H40" t="s">
        <v>1278</v>
      </c>
      <c r="I40" t="s">
        <v>1139</v>
      </c>
      <c r="J40" t="s">
        <v>12014</v>
      </c>
      <c r="K40" t="s">
        <v>12053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470</v>
      </c>
      <c r="E41" t="s">
        <v>1277</v>
      </c>
      <c r="F41" t="s">
        <v>58</v>
      </c>
      <c r="H41" t="s">
        <v>1278</v>
      </c>
      <c r="I41" t="s">
        <v>1141</v>
      </c>
      <c r="J41" t="s">
        <v>12014</v>
      </c>
      <c r="K41" t="s">
        <v>12054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470</v>
      </c>
      <c r="E42" t="s">
        <v>468</v>
      </c>
      <c r="F42" t="s">
        <v>58</v>
      </c>
      <c r="H42" t="s">
        <v>1279</v>
      </c>
      <c r="I42" t="s">
        <v>1143</v>
      </c>
      <c r="J42" t="s">
        <v>12014</v>
      </c>
      <c r="K42" t="s">
        <v>12055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470</v>
      </c>
      <c r="E43" t="s">
        <v>468</v>
      </c>
      <c r="F43" t="s">
        <v>58</v>
      </c>
      <c r="H43" t="s">
        <v>1279</v>
      </c>
      <c r="I43" t="s">
        <v>1146</v>
      </c>
      <c r="J43" t="s">
        <v>12014</v>
      </c>
      <c r="K43" t="s">
        <v>12056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1148</v>
      </c>
      <c r="J44" t="s">
        <v>12014</v>
      </c>
      <c r="K44" t="s">
        <v>12057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1150</v>
      </c>
      <c r="J45" t="s">
        <v>12014</v>
      </c>
      <c r="K45" t="s">
        <v>12058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226</v>
      </c>
      <c r="E46" t="s">
        <v>86</v>
      </c>
      <c r="F46" t="s">
        <v>890</v>
      </c>
      <c r="I46" t="s">
        <v>1152</v>
      </c>
      <c r="J46" t="s">
        <v>12014</v>
      </c>
      <c r="K46" t="s">
        <v>12059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226</v>
      </c>
      <c r="E47" t="s">
        <v>86</v>
      </c>
      <c r="F47" t="s">
        <v>888</v>
      </c>
      <c r="I47" t="s">
        <v>1154</v>
      </c>
      <c r="J47" t="s">
        <v>12014</v>
      </c>
      <c r="K47" t="s">
        <v>12060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470</v>
      </c>
      <c r="E48" t="s">
        <v>86</v>
      </c>
      <c r="F48" t="s">
        <v>1280</v>
      </c>
      <c r="H48" t="s">
        <v>1279</v>
      </c>
      <c r="I48" t="s">
        <v>1156</v>
      </c>
      <c r="J48" t="s">
        <v>12014</v>
      </c>
      <c r="K48" t="s">
        <v>12061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1282</v>
      </c>
      <c r="E49" t="s">
        <v>86</v>
      </c>
      <c r="F49" t="s">
        <v>1281</v>
      </c>
      <c r="I49" t="s">
        <v>1158</v>
      </c>
      <c r="J49" t="s">
        <v>12014</v>
      </c>
      <c r="K49" t="s">
        <v>12062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1273</v>
      </c>
      <c r="E50" t="s">
        <v>63</v>
      </c>
      <c r="F50" t="s">
        <v>51</v>
      </c>
      <c r="I50" t="s">
        <v>1160</v>
      </c>
      <c r="J50" t="s">
        <v>12014</v>
      </c>
      <c r="K50" t="s">
        <v>12063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226</v>
      </c>
      <c r="E51" t="s">
        <v>63</v>
      </c>
      <c r="F51" t="s">
        <v>58</v>
      </c>
      <c r="H51" t="s">
        <v>1287</v>
      </c>
      <c r="I51" t="s">
        <v>1162</v>
      </c>
      <c r="J51" t="s">
        <v>12014</v>
      </c>
      <c r="K51" t="s">
        <v>12064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1602</v>
      </c>
      <c r="E52" t="s">
        <v>63</v>
      </c>
      <c r="F52" t="s">
        <v>58</v>
      </c>
      <c r="H52" t="s">
        <v>1287</v>
      </c>
      <c r="I52" t="s">
        <v>1165</v>
      </c>
      <c r="J52" t="s">
        <v>12014</v>
      </c>
      <c r="K52" t="s">
        <v>12065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1602</v>
      </c>
      <c r="E53" t="s">
        <v>63</v>
      </c>
      <c r="F53" t="s">
        <v>58</v>
      </c>
      <c r="H53" t="s">
        <v>1287</v>
      </c>
      <c r="I53" t="s">
        <v>1168</v>
      </c>
      <c r="J53" t="s">
        <v>12014</v>
      </c>
      <c r="K53" t="s">
        <v>12066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587</v>
      </c>
      <c r="E54" t="s">
        <v>63</v>
      </c>
      <c r="F54" t="s">
        <v>58</v>
      </c>
      <c r="I54" t="s">
        <v>1171</v>
      </c>
      <c r="J54" t="s">
        <v>12014</v>
      </c>
      <c r="K54" t="s">
        <v>12067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1273</v>
      </c>
      <c r="E55" t="s">
        <v>55</v>
      </c>
      <c r="F55" t="s">
        <v>51</v>
      </c>
      <c r="I55" t="s">
        <v>1173</v>
      </c>
      <c r="J55" t="s">
        <v>12014</v>
      </c>
      <c r="K55" t="s">
        <v>12068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226</v>
      </c>
      <c r="E56" t="s">
        <v>55</v>
      </c>
      <c r="F56" t="s">
        <v>1284</v>
      </c>
      <c r="H56" t="s">
        <v>1285</v>
      </c>
      <c r="I56" t="s">
        <v>1175</v>
      </c>
      <c r="J56" t="s">
        <v>12014</v>
      </c>
      <c r="K56" t="s">
        <v>12069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1283</v>
      </c>
      <c r="E57" t="s">
        <v>55</v>
      </c>
      <c r="F57" t="s">
        <v>1284</v>
      </c>
      <c r="H57" t="s">
        <v>1285</v>
      </c>
      <c r="I57" t="s">
        <v>1178</v>
      </c>
      <c r="J57" t="s">
        <v>12014</v>
      </c>
      <c r="K57" t="s">
        <v>12070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1283</v>
      </c>
      <c r="E58" t="s">
        <v>55</v>
      </c>
      <c r="F58" t="s">
        <v>1284</v>
      </c>
      <c r="H58" t="s">
        <v>1285</v>
      </c>
      <c r="I58" t="s">
        <v>1181</v>
      </c>
      <c r="J58" t="s">
        <v>12014</v>
      </c>
      <c r="K58" t="s">
        <v>12071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1283</v>
      </c>
      <c r="E59" t="s">
        <v>55</v>
      </c>
      <c r="F59" t="s">
        <v>1286</v>
      </c>
      <c r="H59" t="s">
        <v>1287</v>
      </c>
      <c r="I59" t="s">
        <v>1184</v>
      </c>
      <c r="J59" t="s">
        <v>12014</v>
      </c>
      <c r="K59" t="s">
        <v>12072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1283</v>
      </c>
      <c r="E60" t="s">
        <v>55</v>
      </c>
      <c r="F60" t="s">
        <v>1288</v>
      </c>
      <c r="I60" t="s">
        <v>1187</v>
      </c>
      <c r="J60" t="s">
        <v>12014</v>
      </c>
      <c r="K60" t="s">
        <v>12073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1283</v>
      </c>
      <c r="E61" t="s">
        <v>55</v>
      </c>
      <c r="F61" t="s">
        <v>1289</v>
      </c>
      <c r="I61" t="s">
        <v>1190</v>
      </c>
      <c r="J61" t="s">
        <v>12014</v>
      </c>
      <c r="K61" t="s">
        <v>12074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587</v>
      </c>
      <c r="E62" t="s">
        <v>55</v>
      </c>
      <c r="F62" t="s">
        <v>1289</v>
      </c>
      <c r="G62">
        <v>6</v>
      </c>
      <c r="H62" t="s">
        <v>1287</v>
      </c>
      <c r="I62" t="s">
        <v>1193</v>
      </c>
      <c r="J62" t="s">
        <v>12014</v>
      </c>
      <c r="K62" t="s">
        <v>12075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1195</v>
      </c>
      <c r="J63" t="s">
        <v>12014</v>
      </c>
      <c r="K63" t="s">
        <v>12076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1272</v>
      </c>
      <c r="I64" t="s">
        <v>1197</v>
      </c>
      <c r="J64" t="s">
        <v>12014</v>
      </c>
      <c r="K64" t="s">
        <v>12077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1272</v>
      </c>
      <c r="I65" t="s">
        <v>1199</v>
      </c>
      <c r="J65" t="s">
        <v>12014</v>
      </c>
      <c r="K65" t="s">
        <v>12078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1272</v>
      </c>
      <c r="I66" t="s">
        <v>1201</v>
      </c>
      <c r="J66" t="s">
        <v>12014</v>
      </c>
      <c r="K66" t="s">
        <v>12079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1272</v>
      </c>
      <c r="I67" t="s">
        <v>1203</v>
      </c>
      <c r="J67" t="s">
        <v>12014</v>
      </c>
      <c r="K67" t="s">
        <v>12080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1288</v>
      </c>
      <c r="H68" t="s">
        <v>1272</v>
      </c>
      <c r="I68" t="s">
        <v>1205</v>
      </c>
      <c r="J68" t="s">
        <v>12014</v>
      </c>
      <c r="K68" t="s">
        <v>12081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1207</v>
      </c>
      <c r="J69" t="s">
        <v>12014</v>
      </c>
      <c r="K69" t="s">
        <v>12082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1290</v>
      </c>
      <c r="I70" t="s">
        <v>1209</v>
      </c>
      <c r="J70" t="s">
        <v>12014</v>
      </c>
      <c r="K70" t="s">
        <v>12083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470</v>
      </c>
      <c r="E71" t="s">
        <v>468</v>
      </c>
      <c r="F71" t="s">
        <v>1291</v>
      </c>
      <c r="I71" t="s">
        <v>1211</v>
      </c>
      <c r="J71" t="s">
        <v>12014</v>
      </c>
      <c r="K71" t="s">
        <v>12084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1273</v>
      </c>
      <c r="E72" t="s">
        <v>70</v>
      </c>
      <c r="F72" t="s">
        <v>51</v>
      </c>
      <c r="I72" t="s">
        <v>1213</v>
      </c>
      <c r="J72" t="s">
        <v>12014</v>
      </c>
      <c r="K72" t="s">
        <v>12085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403</v>
      </c>
      <c r="E73" t="s">
        <v>70</v>
      </c>
      <c r="F73" t="s">
        <v>58</v>
      </c>
      <c r="H73" t="s">
        <v>1287</v>
      </c>
      <c r="I73" t="s">
        <v>1215</v>
      </c>
      <c r="J73" t="s">
        <v>12014</v>
      </c>
      <c r="K73" t="s">
        <v>12086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403</v>
      </c>
      <c r="E74" t="s">
        <v>70</v>
      </c>
      <c r="F74" t="s">
        <v>58</v>
      </c>
      <c r="H74" t="s">
        <v>1287</v>
      </c>
      <c r="I74" t="s">
        <v>1218</v>
      </c>
      <c r="J74" t="s">
        <v>12014</v>
      </c>
      <c r="K74" t="s">
        <v>12087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1221</v>
      </c>
      <c r="J75" t="s">
        <v>12014</v>
      </c>
      <c r="K75" t="s">
        <v>12088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1272</v>
      </c>
      <c r="I76" t="s">
        <v>1223</v>
      </c>
      <c r="J76" t="s">
        <v>12014</v>
      </c>
      <c r="K76" t="s">
        <v>12089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1292</v>
      </c>
      <c r="I77" t="s">
        <v>1225</v>
      </c>
      <c r="J77" t="s">
        <v>12014</v>
      </c>
      <c r="K77" t="s">
        <v>12090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1227</v>
      </c>
      <c r="J78" t="s">
        <v>12014</v>
      </c>
      <c r="K78" t="s">
        <v>12091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1290</v>
      </c>
      <c r="I79" t="s">
        <v>1229</v>
      </c>
      <c r="J79" t="s">
        <v>12014</v>
      </c>
      <c r="K79" t="s">
        <v>12092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1231</v>
      </c>
      <c r="J80" t="s">
        <v>12014</v>
      </c>
      <c r="K80" t="s">
        <v>12093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1233</v>
      </c>
      <c r="J81" t="s">
        <v>12014</v>
      </c>
      <c r="K81" t="s">
        <v>12094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1235</v>
      </c>
      <c r="J82" t="s">
        <v>12014</v>
      </c>
      <c r="K82" t="s">
        <v>12095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1237</v>
      </c>
      <c r="J83" t="s">
        <v>12014</v>
      </c>
      <c r="K83" t="s">
        <v>12096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1239</v>
      </c>
      <c r="J84" t="s">
        <v>12014</v>
      </c>
      <c r="K84" t="s">
        <v>12097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1241</v>
      </c>
      <c r="J85" t="s">
        <v>12014</v>
      </c>
      <c r="K85" t="s">
        <v>12098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1243</v>
      </c>
      <c r="J86" t="s">
        <v>12014</v>
      </c>
      <c r="K86" t="s">
        <v>12099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1245</v>
      </c>
      <c r="J87" t="s">
        <v>12014</v>
      </c>
      <c r="K87" t="s">
        <v>12100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1293</v>
      </c>
      <c r="I88" t="s">
        <v>1247</v>
      </c>
      <c r="J88" t="s">
        <v>12014</v>
      </c>
      <c r="K88" t="s">
        <v>12101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1290</v>
      </c>
      <c r="I89" t="s">
        <v>1249</v>
      </c>
      <c r="J89" t="s">
        <v>12014</v>
      </c>
      <c r="K89" t="s">
        <v>12102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1292</v>
      </c>
      <c r="I90" t="s">
        <v>1251</v>
      </c>
      <c r="J90" t="s">
        <v>12014</v>
      </c>
      <c r="K90" t="s">
        <v>12103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1253</v>
      </c>
      <c r="J91" t="s">
        <v>12014</v>
      </c>
      <c r="K91" t="s">
        <v>12104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1290</v>
      </c>
      <c r="I92" t="s">
        <v>1255</v>
      </c>
      <c r="J92" t="s">
        <v>12014</v>
      </c>
      <c r="K92" t="s">
        <v>12105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1257</v>
      </c>
      <c r="J93" t="s">
        <v>12014</v>
      </c>
      <c r="K93" t="s">
        <v>12106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1292</v>
      </c>
      <c r="I94" t="s">
        <v>1259</v>
      </c>
      <c r="J94" t="s">
        <v>12014</v>
      </c>
      <c r="K94" t="s">
        <v>12107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1261</v>
      </c>
      <c r="J95" t="s">
        <v>12014</v>
      </c>
      <c r="K95" t="s">
        <v>12108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1290</v>
      </c>
      <c r="I96" t="s">
        <v>1263</v>
      </c>
      <c r="J96" t="s">
        <v>12014</v>
      </c>
      <c r="K96" t="s">
        <v>12109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1265</v>
      </c>
      <c r="J97" t="s">
        <v>12014</v>
      </c>
      <c r="K97" t="s">
        <v>12110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1292</v>
      </c>
      <c r="I98" t="s">
        <v>1267</v>
      </c>
      <c r="J98" t="s">
        <v>12014</v>
      </c>
      <c r="K98" t="s">
        <v>12111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1290</v>
      </c>
      <c r="I99" t="s">
        <v>1269</v>
      </c>
      <c r="J99" t="s">
        <v>12014</v>
      </c>
      <c r="K99" t="s">
        <v>12112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470</v>
      </c>
      <c r="E100" t="s">
        <v>468</v>
      </c>
      <c r="F100" t="s">
        <v>58</v>
      </c>
      <c r="H100" t="s">
        <v>2364</v>
      </c>
      <c r="I100" t="s">
        <v>2104</v>
      </c>
      <c r="J100" t="s">
        <v>12014</v>
      </c>
      <c r="K100" t="s">
        <v>12113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470</v>
      </c>
      <c r="E101" t="s">
        <v>468</v>
      </c>
      <c r="F101" t="s">
        <v>58</v>
      </c>
      <c r="H101" t="s">
        <v>2364</v>
      </c>
      <c r="I101" t="s">
        <v>2106</v>
      </c>
      <c r="J101" t="s">
        <v>12014</v>
      </c>
      <c r="K101" t="s">
        <v>12114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470</v>
      </c>
      <c r="E102" t="s">
        <v>468</v>
      </c>
      <c r="F102" t="s">
        <v>58</v>
      </c>
      <c r="H102" t="s">
        <v>1287</v>
      </c>
      <c r="I102" t="s">
        <v>2108</v>
      </c>
      <c r="J102" t="s">
        <v>12014</v>
      </c>
      <c r="K102" t="s">
        <v>12115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470</v>
      </c>
      <c r="E103" t="s">
        <v>468</v>
      </c>
      <c r="F103" t="s">
        <v>58</v>
      </c>
      <c r="H103" t="s">
        <v>1287</v>
      </c>
      <c r="I103" t="s">
        <v>2110</v>
      </c>
      <c r="J103" t="s">
        <v>12014</v>
      </c>
      <c r="K103" t="s">
        <v>12116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470</v>
      </c>
      <c r="E104" t="s">
        <v>468</v>
      </c>
      <c r="F104" t="s">
        <v>58</v>
      </c>
      <c r="H104" t="s">
        <v>1278</v>
      </c>
      <c r="I104" t="s">
        <v>2112</v>
      </c>
      <c r="J104" t="s">
        <v>12014</v>
      </c>
      <c r="K104" t="s">
        <v>12117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470</v>
      </c>
      <c r="E105" t="s">
        <v>468</v>
      </c>
      <c r="F105" t="s">
        <v>58</v>
      </c>
      <c r="H105" t="s">
        <v>1278</v>
      </c>
      <c r="I105" t="s">
        <v>2114</v>
      </c>
      <c r="J105" t="s">
        <v>12014</v>
      </c>
      <c r="K105" t="s">
        <v>12118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470</v>
      </c>
      <c r="E106" t="s">
        <v>468</v>
      </c>
      <c r="F106" t="s">
        <v>58</v>
      </c>
      <c r="H106" t="s">
        <v>2365</v>
      </c>
      <c r="I106" t="s">
        <v>2116</v>
      </c>
      <c r="J106" t="s">
        <v>12014</v>
      </c>
      <c r="K106" t="s">
        <v>12119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2118</v>
      </c>
      <c r="J107" t="s">
        <v>12014</v>
      </c>
      <c r="K107" t="s">
        <v>12120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1273</v>
      </c>
      <c r="E108" t="s">
        <v>70</v>
      </c>
      <c r="F108" t="s">
        <v>51</v>
      </c>
      <c r="I108" t="s">
        <v>2120</v>
      </c>
      <c r="J108" t="s">
        <v>12014</v>
      </c>
      <c r="K108" t="s">
        <v>12121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226</v>
      </c>
      <c r="E109" t="s">
        <v>70</v>
      </c>
      <c r="F109" t="s">
        <v>58</v>
      </c>
      <c r="H109" t="s">
        <v>2372</v>
      </c>
      <c r="I109" t="s">
        <v>2122</v>
      </c>
      <c r="J109" t="s">
        <v>12014</v>
      </c>
      <c r="K109" t="s">
        <v>12122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1602</v>
      </c>
      <c r="E110" t="s">
        <v>70</v>
      </c>
      <c r="F110" t="s">
        <v>58</v>
      </c>
      <c r="H110" t="s">
        <v>2372</v>
      </c>
      <c r="I110" t="s">
        <v>2125</v>
      </c>
      <c r="J110" t="s">
        <v>12014</v>
      </c>
      <c r="K110" t="s">
        <v>12123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1602</v>
      </c>
      <c r="E111" t="s">
        <v>70</v>
      </c>
      <c r="F111" t="s">
        <v>58</v>
      </c>
      <c r="H111" t="s">
        <v>2372</v>
      </c>
      <c r="I111" t="s">
        <v>2128</v>
      </c>
      <c r="J111" t="s">
        <v>12014</v>
      </c>
      <c r="K111" t="s">
        <v>12124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1602</v>
      </c>
      <c r="E112" t="s">
        <v>70</v>
      </c>
      <c r="F112" t="s">
        <v>58</v>
      </c>
      <c r="H112" t="s">
        <v>2372</v>
      </c>
      <c r="I112" t="s">
        <v>2131</v>
      </c>
      <c r="J112" t="s">
        <v>12014</v>
      </c>
      <c r="K112" t="s">
        <v>12125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1602</v>
      </c>
      <c r="E113" t="s">
        <v>70</v>
      </c>
      <c r="F113" t="s">
        <v>58</v>
      </c>
      <c r="H113" t="s">
        <v>2372</v>
      </c>
      <c r="I113" t="s">
        <v>2134</v>
      </c>
      <c r="J113" t="s">
        <v>12014</v>
      </c>
      <c r="K113" t="s">
        <v>12126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1602</v>
      </c>
      <c r="E114" t="s">
        <v>70</v>
      </c>
      <c r="F114" t="s">
        <v>2366</v>
      </c>
      <c r="H114" t="s">
        <v>2372</v>
      </c>
      <c r="I114" t="s">
        <v>2137</v>
      </c>
      <c r="J114" t="s">
        <v>12014</v>
      </c>
      <c r="K114" t="s">
        <v>12127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1602</v>
      </c>
      <c r="E115" t="s">
        <v>70</v>
      </c>
      <c r="F115" t="s">
        <v>2367</v>
      </c>
      <c r="H115" t="s">
        <v>2372</v>
      </c>
      <c r="I115" t="s">
        <v>2140</v>
      </c>
      <c r="J115" t="s">
        <v>12014</v>
      </c>
      <c r="K115" t="s">
        <v>12128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1602</v>
      </c>
      <c r="E116" t="s">
        <v>70</v>
      </c>
      <c r="F116" t="s">
        <v>2368</v>
      </c>
      <c r="H116" t="s">
        <v>2372</v>
      </c>
      <c r="I116" t="s">
        <v>2143</v>
      </c>
      <c r="J116" t="s">
        <v>12014</v>
      </c>
      <c r="K116" t="s">
        <v>12129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2369</v>
      </c>
      <c r="E117" t="s">
        <v>70</v>
      </c>
      <c r="I117" t="s">
        <v>2146</v>
      </c>
      <c r="J117" t="s">
        <v>12014</v>
      </c>
      <c r="K117" t="s">
        <v>12130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470</v>
      </c>
      <c r="E118" t="s">
        <v>1274</v>
      </c>
      <c r="F118" t="s">
        <v>58</v>
      </c>
      <c r="H118" t="s">
        <v>2370</v>
      </c>
      <c r="I118" t="s">
        <v>2148</v>
      </c>
      <c r="J118" t="s">
        <v>12014</v>
      </c>
      <c r="K118" t="s">
        <v>12131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470</v>
      </c>
      <c r="E119" t="s">
        <v>1274</v>
      </c>
      <c r="F119" t="s">
        <v>58</v>
      </c>
      <c r="H119" t="s">
        <v>2370</v>
      </c>
      <c r="I119" t="s">
        <v>2150</v>
      </c>
      <c r="J119" t="s">
        <v>12014</v>
      </c>
      <c r="K119" t="s">
        <v>12132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2336</v>
      </c>
      <c r="I120" t="s">
        <v>2152</v>
      </c>
      <c r="J120" t="s">
        <v>12014</v>
      </c>
      <c r="K120" t="s">
        <v>12133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1273</v>
      </c>
      <c r="E121" t="s">
        <v>2336</v>
      </c>
      <c r="H121" t="s">
        <v>2371</v>
      </c>
      <c r="I121" t="s">
        <v>2154</v>
      </c>
      <c r="J121" t="s">
        <v>12014</v>
      </c>
      <c r="K121" t="s">
        <v>12134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226</v>
      </c>
      <c r="E122" t="s">
        <v>2336</v>
      </c>
      <c r="F122" t="s">
        <v>58</v>
      </c>
      <c r="H122" t="s">
        <v>2373</v>
      </c>
      <c r="I122" t="s">
        <v>2156</v>
      </c>
      <c r="J122" t="s">
        <v>12014</v>
      </c>
      <c r="K122" t="s">
        <v>12135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1602</v>
      </c>
      <c r="E123" t="s">
        <v>2336</v>
      </c>
      <c r="F123" t="s">
        <v>58</v>
      </c>
      <c r="H123" t="s">
        <v>2373</v>
      </c>
      <c r="I123" t="s">
        <v>2158</v>
      </c>
      <c r="J123" t="s">
        <v>12014</v>
      </c>
      <c r="K123" t="s">
        <v>12136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1602</v>
      </c>
      <c r="E124" t="s">
        <v>2336</v>
      </c>
      <c r="F124" t="s">
        <v>58</v>
      </c>
      <c r="H124" t="s">
        <v>2373</v>
      </c>
      <c r="I124" t="s">
        <v>2160</v>
      </c>
      <c r="J124" t="s">
        <v>12014</v>
      </c>
      <c r="K124" t="s">
        <v>12137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470</v>
      </c>
      <c r="E125" t="s">
        <v>1274</v>
      </c>
      <c r="F125" t="s">
        <v>58</v>
      </c>
      <c r="H125" t="s">
        <v>2374</v>
      </c>
      <c r="I125" t="s">
        <v>2163</v>
      </c>
      <c r="J125" t="s">
        <v>12014</v>
      </c>
      <c r="K125" t="s">
        <v>12138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470</v>
      </c>
      <c r="E126" t="s">
        <v>1274</v>
      </c>
      <c r="F126" t="s">
        <v>58</v>
      </c>
      <c r="H126" t="s">
        <v>2374</v>
      </c>
      <c r="I126" t="s">
        <v>2165</v>
      </c>
      <c r="J126" t="s">
        <v>12014</v>
      </c>
      <c r="K126" t="s">
        <v>12139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470</v>
      </c>
      <c r="E127" t="s">
        <v>1274</v>
      </c>
      <c r="F127" t="s">
        <v>58</v>
      </c>
      <c r="H127" t="s">
        <v>2374</v>
      </c>
      <c r="I127" t="s">
        <v>2167</v>
      </c>
      <c r="J127" t="s">
        <v>12014</v>
      </c>
      <c r="K127" t="s">
        <v>12140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470</v>
      </c>
      <c r="E128" t="s">
        <v>1274</v>
      </c>
      <c r="F128" t="s">
        <v>58</v>
      </c>
      <c r="H128" t="s">
        <v>2370</v>
      </c>
      <c r="I128" t="s">
        <v>2375</v>
      </c>
      <c r="J128" t="s">
        <v>12014</v>
      </c>
      <c r="K128" t="s">
        <v>12141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470</v>
      </c>
      <c r="E129" t="s">
        <v>1274</v>
      </c>
      <c r="F129" t="s">
        <v>58</v>
      </c>
      <c r="H129" t="s">
        <v>2370</v>
      </c>
      <c r="I129" t="s">
        <v>2169</v>
      </c>
      <c r="J129" t="s">
        <v>12014</v>
      </c>
      <c r="K129" t="s">
        <v>12142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2171</v>
      </c>
      <c r="J130" t="s">
        <v>12014</v>
      </c>
      <c r="K130" t="s">
        <v>12143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470</v>
      </c>
      <c r="E131" t="s">
        <v>1274</v>
      </c>
      <c r="F131" t="s">
        <v>2377</v>
      </c>
      <c r="H131" t="s">
        <v>2370</v>
      </c>
      <c r="I131" t="s">
        <v>2173</v>
      </c>
      <c r="J131" t="s">
        <v>12014</v>
      </c>
      <c r="K131" t="s">
        <v>12144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470</v>
      </c>
      <c r="E132" t="s">
        <v>1274</v>
      </c>
      <c r="F132" t="s">
        <v>2377</v>
      </c>
      <c r="H132" t="s">
        <v>2370</v>
      </c>
      <c r="I132" t="s">
        <v>2175</v>
      </c>
      <c r="J132" t="s">
        <v>12014</v>
      </c>
      <c r="K132" t="s">
        <v>12145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470</v>
      </c>
      <c r="E133" t="s">
        <v>1274</v>
      </c>
      <c r="F133" t="s">
        <v>2377</v>
      </c>
      <c r="H133" t="s">
        <v>2370</v>
      </c>
      <c r="I133" t="s">
        <v>2177</v>
      </c>
      <c r="J133" t="s">
        <v>12014</v>
      </c>
      <c r="K133" t="s">
        <v>12146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1273</v>
      </c>
      <c r="E134" t="s">
        <v>70</v>
      </c>
      <c r="F134" t="s">
        <v>51</v>
      </c>
      <c r="I134" t="s">
        <v>2179</v>
      </c>
      <c r="J134" t="s">
        <v>12014</v>
      </c>
      <c r="K134" t="s">
        <v>12147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226</v>
      </c>
      <c r="E135" t="s">
        <v>70</v>
      </c>
      <c r="F135" t="s">
        <v>58</v>
      </c>
      <c r="H135" t="s">
        <v>2372</v>
      </c>
      <c r="I135" t="s">
        <v>2181</v>
      </c>
      <c r="J135" t="s">
        <v>12014</v>
      </c>
      <c r="K135" t="s">
        <v>12148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1602</v>
      </c>
      <c r="E136" t="s">
        <v>70</v>
      </c>
      <c r="F136" t="s">
        <v>58</v>
      </c>
      <c r="H136" t="s">
        <v>2372</v>
      </c>
      <c r="I136" t="s">
        <v>2184</v>
      </c>
      <c r="J136" t="s">
        <v>12014</v>
      </c>
      <c r="K136" t="s">
        <v>12149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1602</v>
      </c>
      <c r="E137" t="s">
        <v>70</v>
      </c>
      <c r="F137" t="s">
        <v>58</v>
      </c>
      <c r="H137" t="s">
        <v>2372</v>
      </c>
      <c r="I137" t="s">
        <v>2187</v>
      </c>
      <c r="J137" t="s">
        <v>12014</v>
      </c>
      <c r="K137" t="s">
        <v>12150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1602</v>
      </c>
      <c r="E138" t="s">
        <v>70</v>
      </c>
      <c r="F138" t="s">
        <v>58</v>
      </c>
      <c r="H138" t="s">
        <v>2372</v>
      </c>
      <c r="I138" t="s">
        <v>2190</v>
      </c>
      <c r="J138" t="s">
        <v>12014</v>
      </c>
      <c r="K138" t="s">
        <v>12151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1602</v>
      </c>
      <c r="E139" t="s">
        <v>70</v>
      </c>
      <c r="F139" t="s">
        <v>58</v>
      </c>
      <c r="H139" t="s">
        <v>2372</v>
      </c>
      <c r="I139" t="s">
        <v>2193</v>
      </c>
      <c r="J139" t="s">
        <v>12014</v>
      </c>
      <c r="K139" t="s">
        <v>12152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1602</v>
      </c>
      <c r="E140" t="s">
        <v>70</v>
      </c>
      <c r="F140" t="s">
        <v>58</v>
      </c>
      <c r="H140" t="s">
        <v>2372</v>
      </c>
      <c r="I140" t="s">
        <v>2196</v>
      </c>
      <c r="J140" t="s">
        <v>12014</v>
      </c>
      <c r="K140" t="s">
        <v>12153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1602</v>
      </c>
      <c r="E141" t="s">
        <v>70</v>
      </c>
      <c r="F141" t="s">
        <v>58</v>
      </c>
      <c r="H141" t="s">
        <v>2372</v>
      </c>
      <c r="I141" t="s">
        <v>2199</v>
      </c>
      <c r="J141" t="s">
        <v>12014</v>
      </c>
      <c r="K141" t="s">
        <v>12154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1602</v>
      </c>
      <c r="E142" t="s">
        <v>70</v>
      </c>
      <c r="F142" t="s">
        <v>58</v>
      </c>
      <c r="H142" t="s">
        <v>2372</v>
      </c>
      <c r="I142" t="s">
        <v>2202</v>
      </c>
      <c r="J142" t="s">
        <v>12014</v>
      </c>
      <c r="K142" t="s">
        <v>12155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1602</v>
      </c>
      <c r="E143" t="s">
        <v>70</v>
      </c>
      <c r="F143" t="s">
        <v>58</v>
      </c>
      <c r="H143" t="s">
        <v>2372</v>
      </c>
      <c r="I143" t="s">
        <v>2205</v>
      </c>
      <c r="J143" t="s">
        <v>12014</v>
      </c>
      <c r="K143" t="s">
        <v>12156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1602</v>
      </c>
      <c r="E144" t="s">
        <v>70</v>
      </c>
      <c r="F144" t="s">
        <v>58</v>
      </c>
      <c r="H144" t="s">
        <v>2372</v>
      </c>
      <c r="I144" t="s">
        <v>2208</v>
      </c>
      <c r="J144" t="s">
        <v>12014</v>
      </c>
      <c r="K144" t="s">
        <v>12157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1602</v>
      </c>
      <c r="E145" t="s">
        <v>70</v>
      </c>
      <c r="F145" t="s">
        <v>58</v>
      </c>
      <c r="H145" t="s">
        <v>2378</v>
      </c>
      <c r="I145" t="s">
        <v>2211</v>
      </c>
      <c r="J145" t="s">
        <v>12014</v>
      </c>
      <c r="K145" t="s">
        <v>12158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1602</v>
      </c>
      <c r="E146" t="s">
        <v>70</v>
      </c>
      <c r="F146" t="s">
        <v>2377</v>
      </c>
      <c r="H146" t="s">
        <v>2372</v>
      </c>
      <c r="I146" t="s">
        <v>2214</v>
      </c>
      <c r="J146" t="s">
        <v>12014</v>
      </c>
      <c r="K146" t="s">
        <v>12159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1602</v>
      </c>
      <c r="E147" t="s">
        <v>70</v>
      </c>
      <c r="F147" t="s">
        <v>58</v>
      </c>
      <c r="H147" t="s">
        <v>2378</v>
      </c>
      <c r="I147" t="s">
        <v>2217</v>
      </c>
      <c r="J147" t="s">
        <v>12014</v>
      </c>
      <c r="K147" t="s">
        <v>12160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1602</v>
      </c>
      <c r="E148" t="s">
        <v>70</v>
      </c>
      <c r="F148" t="s">
        <v>58</v>
      </c>
      <c r="H148" t="s">
        <v>2378</v>
      </c>
      <c r="I148" t="s">
        <v>2220</v>
      </c>
      <c r="J148" t="s">
        <v>12014</v>
      </c>
      <c r="K148" t="s">
        <v>12161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1602</v>
      </c>
      <c r="E149" t="s">
        <v>70</v>
      </c>
      <c r="F149" t="s">
        <v>58</v>
      </c>
      <c r="H149" t="s">
        <v>2378</v>
      </c>
      <c r="I149" t="s">
        <v>2223</v>
      </c>
      <c r="J149" t="s">
        <v>12014</v>
      </c>
      <c r="K149" t="s">
        <v>12162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1602</v>
      </c>
      <c r="E150" t="s">
        <v>70</v>
      </c>
      <c r="F150" t="s">
        <v>58</v>
      </c>
      <c r="H150" t="s">
        <v>2373</v>
      </c>
      <c r="I150" t="s">
        <v>2226</v>
      </c>
      <c r="J150" t="s">
        <v>12014</v>
      </c>
      <c r="K150" t="s">
        <v>12163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1602</v>
      </c>
      <c r="E151" t="s">
        <v>70</v>
      </c>
      <c r="F151" t="s">
        <v>2377</v>
      </c>
      <c r="H151" t="s">
        <v>2373</v>
      </c>
      <c r="I151" t="s">
        <v>2229</v>
      </c>
      <c r="J151" t="s">
        <v>12014</v>
      </c>
      <c r="K151" t="s">
        <v>12164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1602</v>
      </c>
      <c r="E152" t="s">
        <v>70</v>
      </c>
      <c r="F152" t="s">
        <v>2377</v>
      </c>
      <c r="H152" t="s">
        <v>2373</v>
      </c>
      <c r="I152" t="s">
        <v>2232</v>
      </c>
      <c r="J152" t="s">
        <v>12014</v>
      </c>
      <c r="K152" t="s">
        <v>12165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1602</v>
      </c>
      <c r="E153" t="s">
        <v>70</v>
      </c>
      <c r="F153" t="s">
        <v>2377</v>
      </c>
      <c r="H153" t="s">
        <v>2373</v>
      </c>
      <c r="I153" t="s">
        <v>2235</v>
      </c>
      <c r="J153" t="s">
        <v>12014</v>
      </c>
      <c r="K153" t="s">
        <v>12166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1602</v>
      </c>
      <c r="E154" t="s">
        <v>70</v>
      </c>
      <c r="F154" t="s">
        <v>2377</v>
      </c>
      <c r="H154" t="s">
        <v>2373</v>
      </c>
      <c r="I154" t="s">
        <v>2238</v>
      </c>
      <c r="J154" t="s">
        <v>12014</v>
      </c>
      <c r="K154" t="s">
        <v>12167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1602</v>
      </c>
      <c r="E155" t="s">
        <v>70</v>
      </c>
      <c r="F155" t="s">
        <v>2377</v>
      </c>
      <c r="H155" t="s">
        <v>2373</v>
      </c>
      <c r="I155" t="s">
        <v>2241</v>
      </c>
      <c r="J155" t="s">
        <v>12014</v>
      </c>
      <c r="K155" t="s">
        <v>12168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2369</v>
      </c>
      <c r="E156" t="s">
        <v>70</v>
      </c>
      <c r="I156" t="s">
        <v>2244</v>
      </c>
      <c r="J156" t="s">
        <v>12014</v>
      </c>
      <c r="K156" t="s">
        <v>12169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470</v>
      </c>
      <c r="E157" t="s">
        <v>1274</v>
      </c>
      <c r="F157" t="s">
        <v>58</v>
      </c>
      <c r="H157" t="s">
        <v>1278</v>
      </c>
      <c r="I157" t="s">
        <v>2246</v>
      </c>
      <c r="J157" t="s">
        <v>12014</v>
      </c>
      <c r="K157" t="s">
        <v>12170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470</v>
      </c>
      <c r="E158" t="s">
        <v>1274</v>
      </c>
      <c r="F158" t="s">
        <v>58</v>
      </c>
      <c r="H158" t="s">
        <v>1278</v>
      </c>
      <c r="I158" t="s">
        <v>2248</v>
      </c>
      <c r="J158" t="s">
        <v>12014</v>
      </c>
      <c r="K158" t="s">
        <v>12171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470</v>
      </c>
      <c r="E159" t="s">
        <v>1274</v>
      </c>
      <c r="F159" t="s">
        <v>58</v>
      </c>
      <c r="H159" t="s">
        <v>1278</v>
      </c>
      <c r="I159" t="s">
        <v>2250</v>
      </c>
      <c r="J159" t="s">
        <v>12014</v>
      </c>
      <c r="K159" t="s">
        <v>12172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2252</v>
      </c>
      <c r="J160" t="s">
        <v>12014</v>
      </c>
      <c r="K160" t="s">
        <v>12173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470</v>
      </c>
      <c r="E161" t="s">
        <v>1274</v>
      </c>
      <c r="F161" t="s">
        <v>2360</v>
      </c>
      <c r="H161" t="s">
        <v>2365</v>
      </c>
      <c r="I161" t="s">
        <v>2254</v>
      </c>
      <c r="J161" t="s">
        <v>12014</v>
      </c>
      <c r="K161" t="s">
        <v>12174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470</v>
      </c>
      <c r="E162" t="s">
        <v>1274</v>
      </c>
      <c r="F162" t="s">
        <v>2360</v>
      </c>
      <c r="H162" t="s">
        <v>2365</v>
      </c>
      <c r="I162" t="s">
        <v>2256</v>
      </c>
      <c r="J162" t="s">
        <v>12014</v>
      </c>
      <c r="K162" t="s">
        <v>12175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470</v>
      </c>
      <c r="E163" t="s">
        <v>468</v>
      </c>
      <c r="F163" t="s">
        <v>58</v>
      </c>
      <c r="H163" t="s">
        <v>2374</v>
      </c>
      <c r="I163" t="s">
        <v>2258</v>
      </c>
      <c r="J163" t="s">
        <v>12014</v>
      </c>
      <c r="K163" t="s">
        <v>12176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470</v>
      </c>
      <c r="E164" t="s">
        <v>468</v>
      </c>
      <c r="F164" t="s">
        <v>58</v>
      </c>
      <c r="H164" t="s">
        <v>2374</v>
      </c>
      <c r="I164" t="s">
        <v>2260</v>
      </c>
      <c r="J164" t="s">
        <v>12014</v>
      </c>
      <c r="K164" t="s">
        <v>12177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470</v>
      </c>
      <c r="E165" t="s">
        <v>468</v>
      </c>
      <c r="F165" t="s">
        <v>58</v>
      </c>
      <c r="H165" t="s">
        <v>2374</v>
      </c>
      <c r="I165" t="s">
        <v>2262</v>
      </c>
      <c r="J165" t="s">
        <v>12014</v>
      </c>
      <c r="K165" t="s">
        <v>12178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470</v>
      </c>
      <c r="E166" t="s">
        <v>468</v>
      </c>
      <c r="F166" t="s">
        <v>2379</v>
      </c>
      <c r="H166" t="s">
        <v>2374</v>
      </c>
      <c r="I166" t="s">
        <v>2264</v>
      </c>
      <c r="J166" t="s">
        <v>12014</v>
      </c>
      <c r="K166" t="s">
        <v>12179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470</v>
      </c>
      <c r="E167" t="s">
        <v>1274</v>
      </c>
      <c r="F167" t="s">
        <v>58</v>
      </c>
      <c r="H167" t="s">
        <v>2365</v>
      </c>
      <c r="I167" t="s">
        <v>2266</v>
      </c>
      <c r="J167" t="s">
        <v>12014</v>
      </c>
      <c r="K167" t="s">
        <v>12180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470</v>
      </c>
      <c r="E168" t="s">
        <v>1274</v>
      </c>
      <c r="F168" t="s">
        <v>58</v>
      </c>
      <c r="H168" t="s">
        <v>2365</v>
      </c>
      <c r="I168" t="s">
        <v>2268</v>
      </c>
      <c r="J168" t="s">
        <v>12014</v>
      </c>
      <c r="K168" t="s">
        <v>12181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2380</v>
      </c>
      <c r="I169" t="s">
        <v>2270</v>
      </c>
      <c r="J169" t="s">
        <v>12014</v>
      </c>
      <c r="K169" t="s">
        <v>12182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2380</v>
      </c>
      <c r="I170" t="s">
        <v>2272</v>
      </c>
      <c r="J170" t="s">
        <v>12014</v>
      </c>
      <c r="K170" t="s">
        <v>12183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2382</v>
      </c>
      <c r="I171" t="s">
        <v>2274</v>
      </c>
      <c r="J171" t="s">
        <v>12014</v>
      </c>
      <c r="K171" t="s">
        <v>12184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470</v>
      </c>
      <c r="E172" t="s">
        <v>468</v>
      </c>
      <c r="F172" t="s">
        <v>58</v>
      </c>
      <c r="H172" t="s">
        <v>2370</v>
      </c>
      <c r="I172" t="s">
        <v>2276</v>
      </c>
      <c r="J172" t="s">
        <v>12014</v>
      </c>
      <c r="K172" t="s">
        <v>12185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470</v>
      </c>
      <c r="E173" t="s">
        <v>468</v>
      </c>
      <c r="F173" t="s">
        <v>58</v>
      </c>
      <c r="H173" t="s">
        <v>2370</v>
      </c>
      <c r="I173" t="s">
        <v>2278</v>
      </c>
      <c r="J173" t="s">
        <v>12014</v>
      </c>
      <c r="K173" t="s">
        <v>12186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470</v>
      </c>
      <c r="E174" t="s">
        <v>468</v>
      </c>
      <c r="F174" t="s">
        <v>58</v>
      </c>
      <c r="H174" t="s">
        <v>2370</v>
      </c>
      <c r="I174" t="s">
        <v>2280</v>
      </c>
      <c r="J174" t="s">
        <v>12014</v>
      </c>
      <c r="K174" t="s">
        <v>12187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2352</v>
      </c>
      <c r="I175" t="s">
        <v>2282</v>
      </c>
      <c r="J175" t="s">
        <v>12014</v>
      </c>
      <c r="K175" t="s">
        <v>12188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2382</v>
      </c>
      <c r="I176" t="s">
        <v>2284</v>
      </c>
      <c r="J176" t="s">
        <v>12014</v>
      </c>
      <c r="K176" t="s">
        <v>12189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470</v>
      </c>
      <c r="E177" t="s">
        <v>1274</v>
      </c>
      <c r="F177" t="s">
        <v>58</v>
      </c>
      <c r="H177" t="s">
        <v>2374</v>
      </c>
      <c r="I177" t="s">
        <v>2286</v>
      </c>
      <c r="J177" t="s">
        <v>12014</v>
      </c>
      <c r="K177" t="s">
        <v>12190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2381</v>
      </c>
      <c r="E178" t="s">
        <v>1274</v>
      </c>
      <c r="F178" t="s">
        <v>58</v>
      </c>
      <c r="H178" t="s">
        <v>2374</v>
      </c>
      <c r="I178" t="s">
        <v>2288</v>
      </c>
      <c r="J178" t="s">
        <v>12014</v>
      </c>
      <c r="K178" t="s">
        <v>12191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470</v>
      </c>
      <c r="E179" t="s">
        <v>1274</v>
      </c>
      <c r="F179" t="s">
        <v>58</v>
      </c>
      <c r="H179" t="s">
        <v>2370</v>
      </c>
      <c r="I179" t="s">
        <v>2290</v>
      </c>
      <c r="J179" t="s">
        <v>12014</v>
      </c>
      <c r="K179" t="s">
        <v>12192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2381</v>
      </c>
      <c r="E180" t="s">
        <v>1274</v>
      </c>
      <c r="F180" t="s">
        <v>58</v>
      </c>
      <c r="H180" t="s">
        <v>2370</v>
      </c>
      <c r="I180" t="s">
        <v>2292</v>
      </c>
      <c r="J180" t="s">
        <v>12014</v>
      </c>
      <c r="K180" t="s">
        <v>12193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2381</v>
      </c>
      <c r="E181" t="s">
        <v>1274</v>
      </c>
      <c r="F181" t="s">
        <v>58</v>
      </c>
      <c r="H181" t="s">
        <v>2370</v>
      </c>
      <c r="I181" t="s">
        <v>2294</v>
      </c>
      <c r="J181" t="s">
        <v>12014</v>
      </c>
      <c r="K181" t="s">
        <v>12194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2381</v>
      </c>
      <c r="E182" t="s">
        <v>1274</v>
      </c>
      <c r="F182" t="s">
        <v>58</v>
      </c>
      <c r="H182" t="s">
        <v>2370</v>
      </c>
      <c r="I182" t="s">
        <v>2296</v>
      </c>
      <c r="J182" t="s">
        <v>12014</v>
      </c>
      <c r="K182" t="s">
        <v>12195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470</v>
      </c>
      <c r="E183" t="s">
        <v>1274</v>
      </c>
      <c r="F183" t="s">
        <v>58</v>
      </c>
      <c r="H183" t="s">
        <v>1278</v>
      </c>
      <c r="I183" t="s">
        <v>2298</v>
      </c>
      <c r="J183" t="s">
        <v>12014</v>
      </c>
      <c r="K183" t="s">
        <v>12196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470</v>
      </c>
      <c r="E184" t="s">
        <v>1274</v>
      </c>
      <c r="F184" t="s">
        <v>58</v>
      </c>
      <c r="H184" t="s">
        <v>1278</v>
      </c>
      <c r="I184" t="s">
        <v>2300</v>
      </c>
      <c r="J184" t="s">
        <v>12014</v>
      </c>
      <c r="K184" t="s">
        <v>12197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2302</v>
      </c>
      <c r="J185" t="s">
        <v>12014</v>
      </c>
      <c r="K185" t="s">
        <v>12198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2304</v>
      </c>
      <c r="J186" t="s">
        <v>12014</v>
      </c>
      <c r="K186" t="s">
        <v>12199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1607</v>
      </c>
      <c r="I187" t="s">
        <v>2306</v>
      </c>
      <c r="J187" t="s">
        <v>12014</v>
      </c>
      <c r="K187" t="s">
        <v>12200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2308</v>
      </c>
      <c r="J188" t="s">
        <v>12014</v>
      </c>
      <c r="K188" t="s">
        <v>12201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1607</v>
      </c>
      <c r="I189" t="s">
        <v>2310</v>
      </c>
      <c r="J189" t="s">
        <v>12014</v>
      </c>
      <c r="K189" t="s">
        <v>12202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3388</v>
      </c>
      <c r="E190" t="s">
        <v>86</v>
      </c>
      <c r="F190" t="s">
        <v>165</v>
      </c>
      <c r="H190" t="s">
        <v>3389</v>
      </c>
      <c r="I190" t="s">
        <v>3092</v>
      </c>
      <c r="J190" t="s">
        <v>12014</v>
      </c>
      <c r="K190" t="s">
        <v>12203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3390</v>
      </c>
      <c r="E191" t="s">
        <v>86</v>
      </c>
      <c r="I191" t="s">
        <v>3094</v>
      </c>
      <c r="J191" t="s">
        <v>12014</v>
      </c>
      <c r="K191" t="s">
        <v>12204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3388</v>
      </c>
      <c r="E192" t="s">
        <v>86</v>
      </c>
      <c r="F192" t="s">
        <v>165</v>
      </c>
      <c r="H192" t="s">
        <v>1272</v>
      </c>
      <c r="I192" t="s">
        <v>3096</v>
      </c>
      <c r="J192" t="s">
        <v>12014</v>
      </c>
      <c r="K192" t="s">
        <v>12205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1273</v>
      </c>
      <c r="E193" t="s">
        <v>70</v>
      </c>
      <c r="F193" t="s">
        <v>1276</v>
      </c>
      <c r="I193" t="s">
        <v>3098</v>
      </c>
      <c r="J193" t="s">
        <v>12014</v>
      </c>
      <c r="K193" t="s">
        <v>12206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3391</v>
      </c>
      <c r="E194" t="s">
        <v>70</v>
      </c>
      <c r="F194" t="s">
        <v>58</v>
      </c>
      <c r="I194" t="s">
        <v>3100</v>
      </c>
      <c r="J194" t="s">
        <v>12014</v>
      </c>
      <c r="K194" t="s">
        <v>12207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587</v>
      </c>
      <c r="E195" t="s">
        <v>70</v>
      </c>
      <c r="I195" t="s">
        <v>3102</v>
      </c>
      <c r="J195" t="s">
        <v>12014</v>
      </c>
      <c r="K195" t="s">
        <v>12208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3104</v>
      </c>
      <c r="J196" t="s">
        <v>12014</v>
      </c>
      <c r="K196" t="s">
        <v>12209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3392</v>
      </c>
      <c r="E197" t="s">
        <v>3393</v>
      </c>
      <c r="F197" t="s">
        <v>58</v>
      </c>
      <c r="H197" t="s">
        <v>3394</v>
      </c>
      <c r="I197" t="s">
        <v>3106</v>
      </c>
      <c r="J197" t="s">
        <v>12014</v>
      </c>
      <c r="K197" t="s">
        <v>12210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3108</v>
      </c>
      <c r="J198" t="s">
        <v>12014</v>
      </c>
      <c r="K198" t="s">
        <v>12211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2352</v>
      </c>
      <c r="I199" t="s">
        <v>3110</v>
      </c>
      <c r="J199" t="s">
        <v>12014</v>
      </c>
      <c r="K199" t="s">
        <v>12212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2352</v>
      </c>
      <c r="I200" t="s">
        <v>3112</v>
      </c>
      <c r="J200" t="s">
        <v>12014</v>
      </c>
      <c r="K200" t="s">
        <v>12213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3388</v>
      </c>
      <c r="E201" t="s">
        <v>86</v>
      </c>
      <c r="F201" t="s">
        <v>465</v>
      </c>
      <c r="H201" t="s">
        <v>1272</v>
      </c>
      <c r="I201" t="s">
        <v>3114</v>
      </c>
      <c r="J201" t="s">
        <v>12014</v>
      </c>
      <c r="K201" t="s">
        <v>12214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1273</v>
      </c>
      <c r="E202" t="s">
        <v>70</v>
      </c>
      <c r="F202" t="s">
        <v>1276</v>
      </c>
      <c r="I202" t="s">
        <v>3116</v>
      </c>
      <c r="J202" t="s">
        <v>12014</v>
      </c>
      <c r="K202" t="s">
        <v>12215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3395</v>
      </c>
      <c r="I203" t="s">
        <v>3118</v>
      </c>
      <c r="J203" t="s">
        <v>12014</v>
      </c>
      <c r="K203" t="s">
        <v>12216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470</v>
      </c>
      <c r="E204" t="s">
        <v>1274</v>
      </c>
      <c r="F204" t="s">
        <v>58</v>
      </c>
      <c r="H204" t="s">
        <v>1272</v>
      </c>
      <c r="I204" t="s">
        <v>3120</v>
      </c>
      <c r="J204" t="s">
        <v>12014</v>
      </c>
      <c r="K204" t="s">
        <v>12217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470</v>
      </c>
      <c r="E205" t="s">
        <v>1274</v>
      </c>
      <c r="F205" t="s">
        <v>58</v>
      </c>
      <c r="H205" t="s">
        <v>1272</v>
      </c>
      <c r="I205" t="s">
        <v>3122</v>
      </c>
      <c r="J205" t="s">
        <v>12014</v>
      </c>
      <c r="K205" t="s">
        <v>12218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227</v>
      </c>
      <c r="E206" t="s">
        <v>70</v>
      </c>
      <c r="F206" t="s">
        <v>3396</v>
      </c>
      <c r="H206" t="s">
        <v>1278</v>
      </c>
      <c r="I206" t="s">
        <v>3124</v>
      </c>
      <c r="J206" t="s">
        <v>12014</v>
      </c>
      <c r="K206" t="s">
        <v>12219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227</v>
      </c>
      <c r="E207" t="s">
        <v>70</v>
      </c>
      <c r="F207" t="s">
        <v>3396</v>
      </c>
      <c r="H207" t="s">
        <v>2352</v>
      </c>
      <c r="I207" t="s">
        <v>3126</v>
      </c>
      <c r="J207" t="s">
        <v>12014</v>
      </c>
      <c r="K207" t="s">
        <v>12220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227</v>
      </c>
      <c r="E208" t="s">
        <v>70</v>
      </c>
      <c r="F208" t="s">
        <v>3396</v>
      </c>
      <c r="H208" t="s">
        <v>1278</v>
      </c>
      <c r="I208" t="s">
        <v>3128</v>
      </c>
      <c r="J208" t="s">
        <v>12014</v>
      </c>
      <c r="K208" t="s">
        <v>12221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227</v>
      </c>
      <c r="E209" t="s">
        <v>70</v>
      </c>
      <c r="F209" t="s">
        <v>3396</v>
      </c>
      <c r="H209" t="s">
        <v>2370</v>
      </c>
      <c r="I209" t="s">
        <v>3130</v>
      </c>
      <c r="J209" t="s">
        <v>12014</v>
      </c>
      <c r="K209" t="s">
        <v>12222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226</v>
      </c>
      <c r="E210" t="s">
        <v>70</v>
      </c>
      <c r="F210" t="s">
        <v>58</v>
      </c>
      <c r="H210" t="s">
        <v>1287</v>
      </c>
      <c r="I210" t="s">
        <v>3132</v>
      </c>
      <c r="J210" t="s">
        <v>12014</v>
      </c>
      <c r="K210" t="s">
        <v>12223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226</v>
      </c>
      <c r="E211" t="s">
        <v>70</v>
      </c>
      <c r="F211" t="s">
        <v>58</v>
      </c>
      <c r="H211" t="s">
        <v>2352</v>
      </c>
      <c r="I211" t="s">
        <v>3135</v>
      </c>
      <c r="J211" t="s">
        <v>12014</v>
      </c>
      <c r="K211" t="s">
        <v>12224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226</v>
      </c>
      <c r="E212" t="s">
        <v>70</v>
      </c>
      <c r="F212" t="s">
        <v>58</v>
      </c>
      <c r="H212" t="s">
        <v>2352</v>
      </c>
      <c r="I212" t="s">
        <v>3138</v>
      </c>
      <c r="J212" t="s">
        <v>12014</v>
      </c>
      <c r="K212" t="s">
        <v>12225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226</v>
      </c>
      <c r="E213" t="s">
        <v>70</v>
      </c>
      <c r="F213" t="s">
        <v>58</v>
      </c>
      <c r="H213" t="s">
        <v>2352</v>
      </c>
      <c r="I213" t="s">
        <v>3141</v>
      </c>
      <c r="J213" t="s">
        <v>12014</v>
      </c>
      <c r="K213" t="s">
        <v>12226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226</v>
      </c>
      <c r="E214" t="s">
        <v>70</v>
      </c>
      <c r="F214" t="s">
        <v>58</v>
      </c>
      <c r="H214" t="s">
        <v>2352</v>
      </c>
      <c r="I214" t="s">
        <v>3144</v>
      </c>
      <c r="J214" t="s">
        <v>12014</v>
      </c>
      <c r="K214" t="s">
        <v>12227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226</v>
      </c>
      <c r="E215" t="s">
        <v>70</v>
      </c>
      <c r="F215" t="s">
        <v>58</v>
      </c>
      <c r="H215" t="s">
        <v>2352</v>
      </c>
      <c r="I215" t="s">
        <v>3147</v>
      </c>
      <c r="J215" t="s">
        <v>12014</v>
      </c>
      <c r="K215" t="s">
        <v>12228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226</v>
      </c>
      <c r="E216" t="s">
        <v>70</v>
      </c>
      <c r="F216" t="s">
        <v>58</v>
      </c>
      <c r="H216" t="s">
        <v>2352</v>
      </c>
      <c r="I216" t="s">
        <v>3150</v>
      </c>
      <c r="J216" t="s">
        <v>12014</v>
      </c>
      <c r="K216" t="s">
        <v>12229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226</v>
      </c>
      <c r="E217" t="s">
        <v>70</v>
      </c>
      <c r="F217" t="s">
        <v>58</v>
      </c>
      <c r="H217" t="s">
        <v>2352</v>
      </c>
      <c r="I217" t="s">
        <v>3153</v>
      </c>
      <c r="J217" t="s">
        <v>12014</v>
      </c>
      <c r="K217" t="s">
        <v>12230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3397</v>
      </c>
      <c r="E218" t="s">
        <v>70</v>
      </c>
      <c r="F218" t="s">
        <v>58</v>
      </c>
      <c r="I218" t="s">
        <v>3156</v>
      </c>
      <c r="J218" t="s">
        <v>12014</v>
      </c>
      <c r="K218" t="s">
        <v>12231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226</v>
      </c>
      <c r="E219" t="s">
        <v>70</v>
      </c>
      <c r="F219" t="s">
        <v>3398</v>
      </c>
      <c r="H219" t="s">
        <v>1285</v>
      </c>
      <c r="I219" t="s">
        <v>3158</v>
      </c>
      <c r="J219" t="s">
        <v>12014</v>
      </c>
      <c r="K219" t="s">
        <v>12232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3400</v>
      </c>
      <c r="E220" t="s">
        <v>70</v>
      </c>
      <c r="F220" t="s">
        <v>3398</v>
      </c>
      <c r="I220" t="s">
        <v>3161</v>
      </c>
      <c r="J220" t="s">
        <v>12014</v>
      </c>
      <c r="K220" t="s">
        <v>12233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1273</v>
      </c>
      <c r="E221" t="s">
        <v>3357</v>
      </c>
      <c r="I221" t="s">
        <v>3164</v>
      </c>
      <c r="J221" t="s">
        <v>12014</v>
      </c>
      <c r="K221" t="s">
        <v>12234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226</v>
      </c>
      <c r="E222" t="s">
        <v>3357</v>
      </c>
      <c r="F222" t="s">
        <v>58</v>
      </c>
      <c r="H222" t="s">
        <v>1287</v>
      </c>
      <c r="I222" t="s">
        <v>3166</v>
      </c>
      <c r="J222" t="s">
        <v>12014</v>
      </c>
      <c r="K222" t="s">
        <v>12235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226</v>
      </c>
      <c r="E223" t="s">
        <v>3357</v>
      </c>
      <c r="F223" t="s">
        <v>58</v>
      </c>
      <c r="H223" t="s">
        <v>2352</v>
      </c>
      <c r="I223" t="s">
        <v>3169</v>
      </c>
      <c r="J223" t="s">
        <v>12014</v>
      </c>
      <c r="K223" t="s">
        <v>12236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226</v>
      </c>
      <c r="E224" t="s">
        <v>3357</v>
      </c>
      <c r="F224" t="s">
        <v>58</v>
      </c>
      <c r="H224" t="s">
        <v>2352</v>
      </c>
      <c r="I224" t="s">
        <v>3172</v>
      </c>
      <c r="J224" t="s">
        <v>12014</v>
      </c>
      <c r="K224" t="s">
        <v>12237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226</v>
      </c>
      <c r="E225" t="s">
        <v>3357</v>
      </c>
      <c r="F225" t="s">
        <v>58</v>
      </c>
      <c r="H225" t="s">
        <v>2352</v>
      </c>
      <c r="I225" t="s">
        <v>3175</v>
      </c>
      <c r="J225" t="s">
        <v>12014</v>
      </c>
      <c r="K225" t="s">
        <v>12238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226</v>
      </c>
      <c r="E226" t="s">
        <v>3357</v>
      </c>
      <c r="F226" t="s">
        <v>58</v>
      </c>
      <c r="H226" t="s">
        <v>2352</v>
      </c>
      <c r="I226" t="s">
        <v>3178</v>
      </c>
      <c r="J226" t="s">
        <v>12014</v>
      </c>
      <c r="K226" t="s">
        <v>12239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226</v>
      </c>
      <c r="E227" t="s">
        <v>3357</v>
      </c>
      <c r="F227" t="s">
        <v>58</v>
      </c>
      <c r="H227" t="s">
        <v>2352</v>
      </c>
      <c r="I227" t="s">
        <v>3181</v>
      </c>
      <c r="J227" t="s">
        <v>12014</v>
      </c>
      <c r="K227" t="s">
        <v>12240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226</v>
      </c>
      <c r="E228" t="s">
        <v>3357</v>
      </c>
      <c r="F228" t="s">
        <v>58</v>
      </c>
      <c r="H228" t="s">
        <v>2352</v>
      </c>
      <c r="I228" t="s">
        <v>3184</v>
      </c>
      <c r="J228" t="s">
        <v>12014</v>
      </c>
      <c r="K228" t="s">
        <v>12241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1616</v>
      </c>
      <c r="E229" t="s">
        <v>3357</v>
      </c>
      <c r="H229" t="s">
        <v>3401</v>
      </c>
      <c r="I229" t="s">
        <v>3187</v>
      </c>
      <c r="J229" t="s">
        <v>12014</v>
      </c>
      <c r="K229" t="s">
        <v>12242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226</v>
      </c>
      <c r="E230" t="s">
        <v>3357</v>
      </c>
      <c r="F230" t="s">
        <v>58</v>
      </c>
      <c r="I230" t="s">
        <v>3189</v>
      </c>
      <c r="J230" t="s">
        <v>12014</v>
      </c>
      <c r="K230" t="s">
        <v>12243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226</v>
      </c>
      <c r="E231" t="s">
        <v>3357</v>
      </c>
      <c r="F231" t="s">
        <v>58</v>
      </c>
      <c r="H231" t="s">
        <v>2352</v>
      </c>
      <c r="I231" t="s">
        <v>3192</v>
      </c>
      <c r="J231" t="s">
        <v>12014</v>
      </c>
      <c r="K231" t="s">
        <v>12244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226</v>
      </c>
      <c r="E232" t="s">
        <v>3357</v>
      </c>
      <c r="F232" t="s">
        <v>58</v>
      </c>
      <c r="H232" t="s">
        <v>2352</v>
      </c>
      <c r="I232" t="s">
        <v>3195</v>
      </c>
      <c r="J232" t="s">
        <v>12014</v>
      </c>
      <c r="K232" t="s">
        <v>12245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3397</v>
      </c>
      <c r="E233" t="s">
        <v>3357</v>
      </c>
      <c r="F233" t="s">
        <v>58</v>
      </c>
      <c r="I233" t="s">
        <v>3198</v>
      </c>
      <c r="J233" t="s">
        <v>12014</v>
      </c>
      <c r="K233" t="s">
        <v>12246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1616</v>
      </c>
      <c r="E234" t="s">
        <v>3357</v>
      </c>
      <c r="H234" t="s">
        <v>3402</v>
      </c>
      <c r="I234" t="s">
        <v>3200</v>
      </c>
      <c r="J234" t="s">
        <v>12014</v>
      </c>
      <c r="K234" t="s">
        <v>12247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226</v>
      </c>
      <c r="E235" t="s">
        <v>3357</v>
      </c>
      <c r="F235" t="s">
        <v>58</v>
      </c>
      <c r="I235" t="s">
        <v>3202</v>
      </c>
      <c r="J235" t="s">
        <v>12014</v>
      </c>
      <c r="K235" t="s">
        <v>12248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226</v>
      </c>
      <c r="E236" t="s">
        <v>3357</v>
      </c>
      <c r="F236" t="s">
        <v>58</v>
      </c>
      <c r="H236" t="s">
        <v>2352</v>
      </c>
      <c r="I236" t="s">
        <v>3205</v>
      </c>
      <c r="J236" t="s">
        <v>12014</v>
      </c>
      <c r="K236" t="s">
        <v>12249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226</v>
      </c>
      <c r="E237" t="s">
        <v>3357</v>
      </c>
      <c r="F237" t="s">
        <v>58</v>
      </c>
      <c r="H237" t="s">
        <v>2352</v>
      </c>
      <c r="I237" t="s">
        <v>3208</v>
      </c>
      <c r="J237" t="s">
        <v>12014</v>
      </c>
      <c r="K237" t="s">
        <v>12250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226</v>
      </c>
      <c r="E238" t="s">
        <v>3357</v>
      </c>
      <c r="F238" t="s">
        <v>58</v>
      </c>
      <c r="H238" t="s">
        <v>2352</v>
      </c>
      <c r="I238" t="s">
        <v>3211</v>
      </c>
      <c r="J238" t="s">
        <v>12014</v>
      </c>
      <c r="K238" t="s">
        <v>12251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3400</v>
      </c>
      <c r="E239" t="s">
        <v>3357</v>
      </c>
      <c r="F239" t="s">
        <v>58</v>
      </c>
      <c r="I239" t="s">
        <v>3214</v>
      </c>
      <c r="J239" t="s">
        <v>12014</v>
      </c>
      <c r="K239" t="s">
        <v>12252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3403</v>
      </c>
      <c r="H240" t="s">
        <v>3404</v>
      </c>
      <c r="I240" t="s">
        <v>3216</v>
      </c>
      <c r="J240" t="s">
        <v>12014</v>
      </c>
      <c r="K240" t="s">
        <v>12253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226</v>
      </c>
      <c r="E241" t="s">
        <v>86</v>
      </c>
      <c r="F241" t="s">
        <v>3405</v>
      </c>
      <c r="I241" t="s">
        <v>3218</v>
      </c>
      <c r="J241" t="s">
        <v>12014</v>
      </c>
      <c r="K241" t="s">
        <v>12254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3406</v>
      </c>
      <c r="E242" t="s">
        <v>86</v>
      </c>
      <c r="F242" t="s">
        <v>3405</v>
      </c>
      <c r="H242" t="s">
        <v>3401</v>
      </c>
      <c r="I242" t="s">
        <v>3220</v>
      </c>
      <c r="J242" t="s">
        <v>12014</v>
      </c>
      <c r="K242" t="s">
        <v>12255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2459</v>
      </c>
      <c r="E243" t="s">
        <v>86</v>
      </c>
      <c r="F243" t="s">
        <v>58</v>
      </c>
      <c r="H243" t="s">
        <v>1287</v>
      </c>
      <c r="I243" t="s">
        <v>3222</v>
      </c>
      <c r="J243" t="s">
        <v>12014</v>
      </c>
      <c r="K243" t="s">
        <v>12256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887</v>
      </c>
      <c r="E244" t="s">
        <v>86</v>
      </c>
      <c r="F244" t="s">
        <v>58</v>
      </c>
      <c r="H244" t="s">
        <v>2370</v>
      </c>
      <c r="I244" t="s">
        <v>3224</v>
      </c>
      <c r="J244" t="s">
        <v>12014</v>
      </c>
      <c r="K244" t="s">
        <v>12257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470</v>
      </c>
      <c r="E245" t="s">
        <v>1274</v>
      </c>
      <c r="F245" t="s">
        <v>58</v>
      </c>
      <c r="H245" t="s">
        <v>2374</v>
      </c>
      <c r="I245" t="s">
        <v>3226</v>
      </c>
      <c r="J245" t="s">
        <v>12014</v>
      </c>
      <c r="K245" t="s">
        <v>12258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470</v>
      </c>
      <c r="E246" t="s">
        <v>1274</v>
      </c>
      <c r="F246" t="s">
        <v>58</v>
      </c>
      <c r="H246" t="s">
        <v>2374</v>
      </c>
      <c r="I246" t="s">
        <v>3228</v>
      </c>
      <c r="J246" t="s">
        <v>12014</v>
      </c>
      <c r="K246" t="s">
        <v>12259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470</v>
      </c>
      <c r="E247" t="s">
        <v>1274</v>
      </c>
      <c r="F247" t="s">
        <v>58</v>
      </c>
      <c r="H247" t="s">
        <v>2374</v>
      </c>
      <c r="I247" t="s">
        <v>3230</v>
      </c>
      <c r="J247" t="s">
        <v>12014</v>
      </c>
      <c r="K247" t="s">
        <v>12260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470</v>
      </c>
      <c r="E248" t="s">
        <v>1274</v>
      </c>
      <c r="F248" t="s">
        <v>58</v>
      </c>
      <c r="H248" t="s">
        <v>2374</v>
      </c>
      <c r="I248" t="s">
        <v>3232</v>
      </c>
      <c r="J248" t="s">
        <v>12014</v>
      </c>
      <c r="K248" t="s">
        <v>12261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470</v>
      </c>
      <c r="E249" t="s">
        <v>1274</v>
      </c>
      <c r="F249" t="s">
        <v>58</v>
      </c>
      <c r="H249" t="s">
        <v>2374</v>
      </c>
      <c r="I249" t="s">
        <v>3234</v>
      </c>
      <c r="J249" t="s">
        <v>12014</v>
      </c>
      <c r="K249" t="s">
        <v>12262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470</v>
      </c>
      <c r="E250" t="s">
        <v>1274</v>
      </c>
      <c r="F250" t="s">
        <v>58</v>
      </c>
      <c r="H250" t="s">
        <v>2374</v>
      </c>
      <c r="I250" t="s">
        <v>3236</v>
      </c>
      <c r="J250" t="s">
        <v>12014</v>
      </c>
      <c r="K250" t="s">
        <v>12263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470</v>
      </c>
      <c r="E251" t="s">
        <v>1274</v>
      </c>
      <c r="F251" t="s">
        <v>58</v>
      </c>
      <c r="H251" t="s">
        <v>2374</v>
      </c>
      <c r="I251" t="s">
        <v>3238</v>
      </c>
      <c r="J251" t="s">
        <v>12014</v>
      </c>
      <c r="K251" t="s">
        <v>12264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470</v>
      </c>
      <c r="E252" t="s">
        <v>1274</v>
      </c>
      <c r="F252" t="s">
        <v>58</v>
      </c>
      <c r="H252" t="s">
        <v>2374</v>
      </c>
      <c r="I252" t="s">
        <v>3240</v>
      </c>
      <c r="J252" t="s">
        <v>12014</v>
      </c>
      <c r="K252" t="s">
        <v>12265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470</v>
      </c>
      <c r="E253" t="s">
        <v>1274</v>
      </c>
      <c r="F253" t="s">
        <v>58</v>
      </c>
      <c r="H253" t="s">
        <v>2374</v>
      </c>
      <c r="I253" t="s">
        <v>3242</v>
      </c>
      <c r="J253" t="s">
        <v>12014</v>
      </c>
      <c r="K253" t="s">
        <v>12266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470</v>
      </c>
      <c r="E254" t="s">
        <v>1274</v>
      </c>
      <c r="F254" t="s">
        <v>58</v>
      </c>
      <c r="H254" t="s">
        <v>2374</v>
      </c>
      <c r="I254" t="s">
        <v>3244</v>
      </c>
      <c r="J254" t="s">
        <v>12014</v>
      </c>
      <c r="K254" t="s">
        <v>12267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470</v>
      </c>
      <c r="E255" t="s">
        <v>1274</v>
      </c>
      <c r="F255" t="s">
        <v>58</v>
      </c>
      <c r="H255" t="s">
        <v>2374</v>
      </c>
      <c r="I255" t="s">
        <v>3246</v>
      </c>
      <c r="J255" t="s">
        <v>12014</v>
      </c>
      <c r="K255" t="s">
        <v>12268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470</v>
      </c>
      <c r="E256" t="s">
        <v>1274</v>
      </c>
      <c r="F256" t="s">
        <v>892</v>
      </c>
      <c r="H256" t="s">
        <v>1287</v>
      </c>
      <c r="I256" t="s">
        <v>3248</v>
      </c>
      <c r="J256" t="s">
        <v>12014</v>
      </c>
      <c r="K256" t="s">
        <v>12269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1607</v>
      </c>
      <c r="I257" t="s">
        <v>3444</v>
      </c>
      <c r="J257" t="s">
        <v>12014</v>
      </c>
      <c r="K257" t="s">
        <v>12270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470</v>
      </c>
      <c r="E258" t="s">
        <v>1274</v>
      </c>
      <c r="F258" t="s">
        <v>892</v>
      </c>
      <c r="H258" t="s">
        <v>1287</v>
      </c>
      <c r="I258" t="s">
        <v>3855</v>
      </c>
      <c r="J258" t="s">
        <v>12014</v>
      </c>
      <c r="K258" t="s">
        <v>12271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3857</v>
      </c>
      <c r="J259" t="s">
        <v>12014</v>
      </c>
      <c r="K259" t="s">
        <v>12272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470</v>
      </c>
      <c r="E260" t="s">
        <v>468</v>
      </c>
      <c r="F260" t="s">
        <v>58</v>
      </c>
      <c r="H260" t="s">
        <v>3401</v>
      </c>
      <c r="I260" t="s">
        <v>3859</v>
      </c>
      <c r="J260" t="s">
        <v>12014</v>
      </c>
      <c r="K260" t="s">
        <v>12273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3861</v>
      </c>
      <c r="J261" t="s">
        <v>12014</v>
      </c>
      <c r="K261" t="s">
        <v>12274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470</v>
      </c>
      <c r="E262" t="s">
        <v>468</v>
      </c>
      <c r="F262" t="s">
        <v>58</v>
      </c>
      <c r="H262" t="s">
        <v>3401</v>
      </c>
      <c r="I262" t="s">
        <v>3863</v>
      </c>
      <c r="J262" t="s">
        <v>12014</v>
      </c>
      <c r="K262" t="s">
        <v>12275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226</v>
      </c>
      <c r="E263" t="s">
        <v>86</v>
      </c>
      <c r="F263" t="s">
        <v>3405</v>
      </c>
      <c r="I263" t="s">
        <v>3865</v>
      </c>
      <c r="J263" t="s">
        <v>12014</v>
      </c>
      <c r="K263" t="s">
        <v>12276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226</v>
      </c>
      <c r="E264" t="s">
        <v>86</v>
      </c>
      <c r="F264" t="s">
        <v>3405</v>
      </c>
      <c r="H264" t="s">
        <v>2352</v>
      </c>
      <c r="I264" t="s">
        <v>3867</v>
      </c>
      <c r="J264" t="s">
        <v>12014</v>
      </c>
      <c r="K264" t="s">
        <v>12277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226</v>
      </c>
      <c r="E265" t="s">
        <v>86</v>
      </c>
      <c r="F265" t="s">
        <v>3405</v>
      </c>
      <c r="I265" t="s">
        <v>3869</v>
      </c>
      <c r="J265" t="s">
        <v>12014</v>
      </c>
      <c r="K265" t="s">
        <v>12278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3406</v>
      </c>
      <c r="E266" t="s">
        <v>86</v>
      </c>
      <c r="F266" t="s">
        <v>3405</v>
      </c>
      <c r="H266" t="s">
        <v>3401</v>
      </c>
      <c r="I266" t="s">
        <v>3871</v>
      </c>
      <c r="J266" t="s">
        <v>12014</v>
      </c>
      <c r="K266" t="s">
        <v>12279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470</v>
      </c>
      <c r="E267" t="s">
        <v>468</v>
      </c>
      <c r="F267" t="s">
        <v>58</v>
      </c>
      <c r="H267" t="s">
        <v>3401</v>
      </c>
      <c r="I267" t="s">
        <v>3873</v>
      </c>
      <c r="J267" t="s">
        <v>12014</v>
      </c>
      <c r="K267" t="s">
        <v>12280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470</v>
      </c>
      <c r="E268" t="s">
        <v>468</v>
      </c>
      <c r="F268" t="s">
        <v>58</v>
      </c>
      <c r="H268" t="s">
        <v>3401</v>
      </c>
      <c r="I268" t="s">
        <v>3875</v>
      </c>
      <c r="J268" t="s">
        <v>12014</v>
      </c>
      <c r="K268" t="s">
        <v>12281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470</v>
      </c>
      <c r="E269" t="s">
        <v>468</v>
      </c>
      <c r="F269" t="s">
        <v>58</v>
      </c>
      <c r="H269" t="s">
        <v>3401</v>
      </c>
      <c r="I269" t="s">
        <v>3877</v>
      </c>
      <c r="J269" t="s">
        <v>12014</v>
      </c>
      <c r="K269" t="s">
        <v>12282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226</v>
      </c>
      <c r="E270" t="s">
        <v>86</v>
      </c>
      <c r="F270" t="s">
        <v>3405</v>
      </c>
      <c r="I270" t="s">
        <v>3879</v>
      </c>
      <c r="J270" t="s">
        <v>12014</v>
      </c>
      <c r="K270" t="s">
        <v>12283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3406</v>
      </c>
      <c r="E271" t="s">
        <v>86</v>
      </c>
      <c r="F271" t="s">
        <v>3405</v>
      </c>
      <c r="H271" t="s">
        <v>3401</v>
      </c>
      <c r="I271" t="s">
        <v>3881</v>
      </c>
      <c r="J271" t="s">
        <v>12014</v>
      </c>
      <c r="K271" t="s">
        <v>12284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470</v>
      </c>
      <c r="E272" t="s">
        <v>468</v>
      </c>
      <c r="F272" t="s">
        <v>58</v>
      </c>
      <c r="H272" t="s">
        <v>3401</v>
      </c>
      <c r="I272" t="s">
        <v>3883</v>
      </c>
      <c r="J272" t="s">
        <v>12014</v>
      </c>
      <c r="K272" t="s">
        <v>12285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470</v>
      </c>
      <c r="E273" t="s">
        <v>468</v>
      </c>
      <c r="F273" t="s">
        <v>58</v>
      </c>
      <c r="H273" t="s">
        <v>3401</v>
      </c>
      <c r="I273" t="s">
        <v>3885</v>
      </c>
      <c r="J273" t="s">
        <v>12014</v>
      </c>
      <c r="K273" t="s">
        <v>12286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226</v>
      </c>
      <c r="E274" t="s">
        <v>86</v>
      </c>
      <c r="F274" t="s">
        <v>3405</v>
      </c>
      <c r="I274" t="s">
        <v>3887</v>
      </c>
      <c r="J274" t="s">
        <v>12014</v>
      </c>
      <c r="K274" t="s">
        <v>12287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3406</v>
      </c>
      <c r="E275" t="s">
        <v>86</v>
      </c>
      <c r="F275" t="s">
        <v>3405</v>
      </c>
      <c r="H275" t="s">
        <v>3401</v>
      </c>
      <c r="I275" t="s">
        <v>3889</v>
      </c>
      <c r="J275" t="s">
        <v>12014</v>
      </c>
      <c r="K275" t="s">
        <v>12288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470</v>
      </c>
      <c r="E276" t="s">
        <v>468</v>
      </c>
      <c r="F276" t="s">
        <v>892</v>
      </c>
      <c r="H276" t="s">
        <v>3401</v>
      </c>
      <c r="I276" t="s">
        <v>3891</v>
      </c>
      <c r="J276" t="s">
        <v>12014</v>
      </c>
      <c r="K276" t="s">
        <v>12289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470</v>
      </c>
      <c r="E277" t="s">
        <v>468</v>
      </c>
      <c r="F277" t="s">
        <v>58</v>
      </c>
      <c r="H277" t="s">
        <v>3401</v>
      </c>
      <c r="I277" t="s">
        <v>3893</v>
      </c>
      <c r="J277" t="s">
        <v>12014</v>
      </c>
      <c r="K277" t="s">
        <v>12290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3392</v>
      </c>
      <c r="E278" t="s">
        <v>468</v>
      </c>
      <c r="F278" t="s">
        <v>3398</v>
      </c>
      <c r="H278" t="s">
        <v>2373</v>
      </c>
      <c r="I278" t="s">
        <v>3895</v>
      </c>
      <c r="J278" t="s">
        <v>12014</v>
      </c>
      <c r="K278" t="s">
        <v>12291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3897</v>
      </c>
      <c r="J279" t="s">
        <v>12014</v>
      </c>
      <c r="K279" t="s">
        <v>12292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1607</v>
      </c>
      <c r="E280" t="s">
        <v>8</v>
      </c>
      <c r="I280" t="s">
        <v>3899</v>
      </c>
      <c r="J280" t="s">
        <v>12014</v>
      </c>
      <c r="K280" t="s">
        <v>12293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4173</v>
      </c>
      <c r="J281" t="s">
        <v>12014</v>
      </c>
      <c r="K281" t="s">
        <v>12294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1273</v>
      </c>
      <c r="E282" t="s">
        <v>4236</v>
      </c>
      <c r="F282" t="s">
        <v>51</v>
      </c>
      <c r="I282" t="s">
        <v>4175</v>
      </c>
      <c r="J282" t="s">
        <v>12014</v>
      </c>
      <c r="K282" t="s">
        <v>12295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226</v>
      </c>
      <c r="E283" t="s">
        <v>4236</v>
      </c>
      <c r="F283" t="s">
        <v>3398</v>
      </c>
      <c r="I283" t="s">
        <v>4177</v>
      </c>
      <c r="J283" t="s">
        <v>12014</v>
      </c>
      <c r="K283" t="s">
        <v>12296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226</v>
      </c>
      <c r="E284" t="s">
        <v>4236</v>
      </c>
      <c r="F284" t="s">
        <v>3398</v>
      </c>
      <c r="H284" t="s">
        <v>2352</v>
      </c>
      <c r="I284" t="s">
        <v>4180</v>
      </c>
      <c r="J284" t="s">
        <v>12014</v>
      </c>
      <c r="K284" t="s">
        <v>12297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3397</v>
      </c>
      <c r="E285" t="s">
        <v>4236</v>
      </c>
      <c r="F285" t="s">
        <v>3398</v>
      </c>
      <c r="I285" t="s">
        <v>4183</v>
      </c>
      <c r="J285" t="s">
        <v>12014</v>
      </c>
      <c r="K285" t="s">
        <v>12298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226</v>
      </c>
      <c r="E286" t="s">
        <v>86</v>
      </c>
      <c r="F286" t="s">
        <v>3405</v>
      </c>
      <c r="I286" t="s">
        <v>4326</v>
      </c>
      <c r="J286" t="s">
        <v>12014</v>
      </c>
      <c r="K286" t="s">
        <v>12299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3406</v>
      </c>
      <c r="E287" t="s">
        <v>86</v>
      </c>
      <c r="F287" t="s">
        <v>3405</v>
      </c>
      <c r="I287" t="s">
        <v>4328</v>
      </c>
      <c r="J287" t="s">
        <v>12014</v>
      </c>
      <c r="K287" t="s">
        <v>12300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470</v>
      </c>
      <c r="E288" t="s">
        <v>468</v>
      </c>
      <c r="F288" t="s">
        <v>892</v>
      </c>
      <c r="H288" t="s">
        <v>1287</v>
      </c>
      <c r="I288" t="s">
        <v>4330</v>
      </c>
      <c r="J288" t="s">
        <v>12014</v>
      </c>
      <c r="K288" t="s">
        <v>12301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4332</v>
      </c>
      <c r="J289" t="s">
        <v>12014</v>
      </c>
      <c r="K289" t="s">
        <v>12302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470</v>
      </c>
      <c r="E290" t="s">
        <v>468</v>
      </c>
      <c r="F290" t="s">
        <v>58</v>
      </c>
      <c r="H290" t="s">
        <v>3401</v>
      </c>
      <c r="I290" t="s">
        <v>4333</v>
      </c>
      <c r="J290" t="s">
        <v>12014</v>
      </c>
      <c r="K290" t="s">
        <v>12303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470</v>
      </c>
      <c r="E291" t="s">
        <v>468</v>
      </c>
      <c r="F291" t="s">
        <v>58</v>
      </c>
      <c r="H291" t="s">
        <v>3401</v>
      </c>
      <c r="I291" t="s">
        <v>4335</v>
      </c>
      <c r="J291" t="s">
        <v>12014</v>
      </c>
      <c r="K291" t="s">
        <v>12304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470</v>
      </c>
      <c r="E292" t="s">
        <v>468</v>
      </c>
      <c r="F292" t="s">
        <v>58</v>
      </c>
      <c r="H292" t="s">
        <v>3401</v>
      </c>
      <c r="I292" t="s">
        <v>4337</v>
      </c>
      <c r="J292" t="s">
        <v>12014</v>
      </c>
      <c r="K292" t="s">
        <v>12305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470</v>
      </c>
      <c r="E293" t="s">
        <v>468</v>
      </c>
      <c r="F293" t="s">
        <v>58</v>
      </c>
      <c r="H293" t="s">
        <v>3401</v>
      </c>
      <c r="I293" t="s">
        <v>4339</v>
      </c>
      <c r="J293" t="s">
        <v>12014</v>
      </c>
      <c r="K293" t="s">
        <v>12306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470</v>
      </c>
      <c r="E294" t="s">
        <v>468</v>
      </c>
      <c r="F294" t="s">
        <v>58</v>
      </c>
      <c r="H294" t="s">
        <v>3401</v>
      </c>
      <c r="I294" t="s">
        <v>4341</v>
      </c>
      <c r="J294" t="s">
        <v>12014</v>
      </c>
      <c r="K294" t="s">
        <v>12307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3388</v>
      </c>
      <c r="E295" t="s">
        <v>86</v>
      </c>
      <c r="F295" t="s">
        <v>58</v>
      </c>
      <c r="I295" t="s">
        <v>4343</v>
      </c>
      <c r="J295" t="s">
        <v>12014</v>
      </c>
      <c r="K295" t="s">
        <v>12308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3388</v>
      </c>
      <c r="E296" t="s">
        <v>86</v>
      </c>
      <c r="F296" t="s">
        <v>58</v>
      </c>
      <c r="H296" t="s">
        <v>2370</v>
      </c>
      <c r="I296" t="s">
        <v>4345</v>
      </c>
      <c r="J296" t="s">
        <v>12014</v>
      </c>
      <c r="K296" t="s">
        <v>12309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3388</v>
      </c>
      <c r="E297" t="s">
        <v>86</v>
      </c>
      <c r="F297" t="s">
        <v>58</v>
      </c>
      <c r="I297" t="s">
        <v>4347</v>
      </c>
      <c r="J297" t="s">
        <v>12014</v>
      </c>
      <c r="K297" t="s">
        <v>12310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3388</v>
      </c>
      <c r="E298" t="s">
        <v>86</v>
      </c>
      <c r="F298" t="s">
        <v>58</v>
      </c>
      <c r="H298" t="s">
        <v>2370</v>
      </c>
      <c r="I298" t="s">
        <v>4349</v>
      </c>
      <c r="J298" t="s">
        <v>12014</v>
      </c>
      <c r="K298" t="s">
        <v>12311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3388</v>
      </c>
      <c r="E299" t="s">
        <v>86</v>
      </c>
      <c r="F299" t="s">
        <v>58</v>
      </c>
      <c r="I299" t="s">
        <v>4351</v>
      </c>
      <c r="J299" t="s">
        <v>12014</v>
      </c>
      <c r="K299" t="s">
        <v>12312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3388</v>
      </c>
      <c r="E300" t="s">
        <v>86</v>
      </c>
      <c r="F300" t="s">
        <v>58</v>
      </c>
      <c r="H300" t="s">
        <v>2352</v>
      </c>
      <c r="I300" t="s">
        <v>4353</v>
      </c>
      <c r="J300" t="s">
        <v>12014</v>
      </c>
      <c r="K300" t="s">
        <v>12313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3388</v>
      </c>
      <c r="E301" t="s">
        <v>86</v>
      </c>
      <c r="F301" t="s">
        <v>58</v>
      </c>
      <c r="H301" t="s">
        <v>3401</v>
      </c>
      <c r="I301" t="s">
        <v>4355</v>
      </c>
      <c r="J301" t="s">
        <v>12014</v>
      </c>
      <c r="K301" t="s">
        <v>12314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3388</v>
      </c>
      <c r="E302" t="s">
        <v>86</v>
      </c>
      <c r="F302" t="s">
        <v>58</v>
      </c>
      <c r="I302" t="s">
        <v>4357</v>
      </c>
      <c r="J302" t="s">
        <v>12014</v>
      </c>
      <c r="K302" t="s">
        <v>12315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3388</v>
      </c>
      <c r="E303" t="s">
        <v>86</v>
      </c>
      <c r="F303" t="s">
        <v>58</v>
      </c>
      <c r="H303" t="s">
        <v>2370</v>
      </c>
      <c r="I303" t="s">
        <v>4359</v>
      </c>
      <c r="J303" t="s">
        <v>12014</v>
      </c>
      <c r="K303" t="s">
        <v>12316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470</v>
      </c>
      <c r="E304" t="s">
        <v>468</v>
      </c>
      <c r="F304" t="s">
        <v>58</v>
      </c>
      <c r="H304" t="s">
        <v>3401</v>
      </c>
      <c r="I304" t="s">
        <v>4361</v>
      </c>
      <c r="J304" t="s">
        <v>12014</v>
      </c>
      <c r="K304" t="s">
        <v>12317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470</v>
      </c>
      <c r="E305" t="s">
        <v>468</v>
      </c>
      <c r="F305" t="s">
        <v>58</v>
      </c>
      <c r="H305" t="s">
        <v>3401</v>
      </c>
      <c r="I305" t="s">
        <v>4363</v>
      </c>
      <c r="J305" t="s">
        <v>12014</v>
      </c>
      <c r="K305" t="s">
        <v>12318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3388</v>
      </c>
      <c r="E306" t="s">
        <v>86</v>
      </c>
      <c r="F306" t="s">
        <v>165</v>
      </c>
      <c r="H306" t="s">
        <v>1272</v>
      </c>
      <c r="I306" t="s">
        <v>4365</v>
      </c>
      <c r="J306" t="s">
        <v>12014</v>
      </c>
      <c r="K306" t="s">
        <v>12319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3388</v>
      </c>
      <c r="E307" t="s">
        <v>86</v>
      </c>
      <c r="F307" t="s">
        <v>165</v>
      </c>
      <c r="H307" t="s">
        <v>1272</v>
      </c>
      <c r="I307" t="s">
        <v>4367</v>
      </c>
      <c r="J307" t="s">
        <v>12014</v>
      </c>
      <c r="K307" t="s">
        <v>12320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4369</v>
      </c>
      <c r="J308" t="s">
        <v>12014</v>
      </c>
      <c r="K308" t="s">
        <v>12321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4595</v>
      </c>
      <c r="J309" t="s">
        <v>12014</v>
      </c>
      <c r="K309" t="s">
        <v>12322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3388</v>
      </c>
      <c r="E310" t="s">
        <v>86</v>
      </c>
      <c r="F310" t="s">
        <v>5697</v>
      </c>
      <c r="I310" t="s">
        <v>4597</v>
      </c>
      <c r="J310" t="s">
        <v>12014</v>
      </c>
      <c r="K310" t="s">
        <v>12323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470</v>
      </c>
      <c r="E311" t="s">
        <v>468</v>
      </c>
      <c r="F311" t="s">
        <v>58</v>
      </c>
      <c r="H311" t="s">
        <v>3401</v>
      </c>
      <c r="I311" t="s">
        <v>4599</v>
      </c>
      <c r="J311" t="s">
        <v>12014</v>
      </c>
      <c r="K311" t="s">
        <v>12324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465</v>
      </c>
      <c r="G312">
        <v>1</v>
      </c>
      <c r="H312" t="s">
        <v>1272</v>
      </c>
      <c r="I312" t="s">
        <v>4601</v>
      </c>
      <c r="J312" t="s">
        <v>12014</v>
      </c>
      <c r="K312" t="s">
        <v>12325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465</v>
      </c>
      <c r="G313">
        <v>1</v>
      </c>
      <c r="H313" t="s">
        <v>1272</v>
      </c>
      <c r="I313" t="s">
        <v>4603</v>
      </c>
      <c r="J313" t="s">
        <v>12014</v>
      </c>
      <c r="K313" t="s">
        <v>12326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465</v>
      </c>
      <c r="G314">
        <v>1</v>
      </c>
      <c r="H314" t="s">
        <v>1272</v>
      </c>
      <c r="I314" t="s">
        <v>4605</v>
      </c>
      <c r="J314" t="s">
        <v>12014</v>
      </c>
      <c r="K314" t="s">
        <v>12327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470</v>
      </c>
      <c r="E315" t="s">
        <v>468</v>
      </c>
      <c r="F315" t="s">
        <v>2360</v>
      </c>
      <c r="H315" t="s">
        <v>1287</v>
      </c>
      <c r="I315" t="s">
        <v>4607</v>
      </c>
      <c r="J315" t="s">
        <v>12014</v>
      </c>
      <c r="K315" t="s">
        <v>12328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3388</v>
      </c>
      <c r="E316" t="s">
        <v>86</v>
      </c>
      <c r="F316" t="s">
        <v>4933</v>
      </c>
      <c r="I316" t="s">
        <v>4609</v>
      </c>
      <c r="J316" t="s">
        <v>12014</v>
      </c>
      <c r="K316" t="s">
        <v>12329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3388</v>
      </c>
      <c r="E317" t="s">
        <v>86</v>
      </c>
      <c r="F317" t="s">
        <v>4933</v>
      </c>
      <c r="H317" t="s">
        <v>2352</v>
      </c>
      <c r="I317" t="s">
        <v>4611</v>
      </c>
      <c r="J317" t="s">
        <v>12014</v>
      </c>
      <c r="K317" t="s">
        <v>12330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470</v>
      </c>
      <c r="E318" t="s">
        <v>468</v>
      </c>
      <c r="F318" t="s">
        <v>2360</v>
      </c>
      <c r="H318" t="s">
        <v>1287</v>
      </c>
      <c r="I318" t="s">
        <v>4613</v>
      </c>
      <c r="J318" t="s">
        <v>12014</v>
      </c>
      <c r="K318" t="s">
        <v>12331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3388</v>
      </c>
      <c r="E319" t="s">
        <v>86</v>
      </c>
      <c r="F319" t="s">
        <v>4933</v>
      </c>
      <c r="I319" t="s">
        <v>4615</v>
      </c>
      <c r="J319" t="s">
        <v>12014</v>
      </c>
      <c r="K319" t="s">
        <v>12332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226</v>
      </c>
      <c r="E320" t="s">
        <v>86</v>
      </c>
      <c r="F320" t="s">
        <v>5697</v>
      </c>
      <c r="I320" t="s">
        <v>4617</v>
      </c>
      <c r="J320" t="s">
        <v>12014</v>
      </c>
      <c r="K320" t="s">
        <v>12333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587</v>
      </c>
      <c r="E321" t="s">
        <v>86</v>
      </c>
      <c r="F321" t="s">
        <v>5697</v>
      </c>
      <c r="I321" t="s">
        <v>4619</v>
      </c>
      <c r="J321" t="s">
        <v>12014</v>
      </c>
      <c r="K321" t="s">
        <v>12334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470</v>
      </c>
      <c r="E322" t="s">
        <v>468</v>
      </c>
      <c r="F322" t="s">
        <v>58</v>
      </c>
      <c r="H322" t="s">
        <v>3401</v>
      </c>
      <c r="I322" t="s">
        <v>4621</v>
      </c>
      <c r="J322" t="s">
        <v>12014</v>
      </c>
      <c r="K322" t="s">
        <v>12335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465</v>
      </c>
      <c r="G323">
        <v>1</v>
      </c>
      <c r="H323" t="s">
        <v>1272</v>
      </c>
      <c r="I323" t="s">
        <v>4623</v>
      </c>
      <c r="J323" t="s">
        <v>12014</v>
      </c>
      <c r="K323" t="s">
        <v>12336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465</v>
      </c>
      <c r="G324">
        <v>1</v>
      </c>
      <c r="H324" t="s">
        <v>1272</v>
      </c>
      <c r="I324" t="s">
        <v>4625</v>
      </c>
      <c r="J324" t="s">
        <v>12014</v>
      </c>
      <c r="K324" t="s">
        <v>12337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4627</v>
      </c>
      <c r="J325" t="s">
        <v>12014</v>
      </c>
      <c r="K325" t="s">
        <v>12338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4629</v>
      </c>
      <c r="J326" t="s">
        <v>12014</v>
      </c>
      <c r="K326" t="s">
        <v>12339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4631</v>
      </c>
      <c r="J327" t="s">
        <v>12014</v>
      </c>
      <c r="K327" t="s">
        <v>12340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4696</v>
      </c>
      <c r="J328" t="s">
        <v>12014</v>
      </c>
      <c r="K328" t="s">
        <v>12341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3405</v>
      </c>
      <c r="H329" t="s">
        <v>1287</v>
      </c>
      <c r="I329" t="s">
        <v>4698</v>
      </c>
      <c r="J329" t="s">
        <v>12014</v>
      </c>
      <c r="K329" t="s">
        <v>12342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3388</v>
      </c>
      <c r="E330" t="s">
        <v>86</v>
      </c>
      <c r="F330" t="s">
        <v>4922</v>
      </c>
      <c r="I330" t="s">
        <v>4700</v>
      </c>
      <c r="J330" t="s">
        <v>12014</v>
      </c>
      <c r="K330" t="s">
        <v>12343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3386</v>
      </c>
      <c r="E331" t="s">
        <v>86</v>
      </c>
      <c r="F331" t="s">
        <v>58</v>
      </c>
      <c r="H331" t="s">
        <v>1287</v>
      </c>
      <c r="I331" t="s">
        <v>4702</v>
      </c>
      <c r="J331" t="s">
        <v>12014</v>
      </c>
      <c r="K331" t="s">
        <v>12344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3386</v>
      </c>
      <c r="E332" t="s">
        <v>86</v>
      </c>
      <c r="F332" t="s">
        <v>58</v>
      </c>
      <c r="H332" t="s">
        <v>2352</v>
      </c>
      <c r="I332" t="s">
        <v>4704</v>
      </c>
      <c r="J332" t="s">
        <v>12014</v>
      </c>
      <c r="K332" t="s">
        <v>12345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470</v>
      </c>
      <c r="E333" t="s">
        <v>468</v>
      </c>
      <c r="F333" t="s">
        <v>892</v>
      </c>
      <c r="H333" t="s">
        <v>1287</v>
      </c>
      <c r="I333" t="s">
        <v>4706</v>
      </c>
      <c r="J333" t="s">
        <v>12014</v>
      </c>
      <c r="K333" t="s">
        <v>12346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470</v>
      </c>
      <c r="E334" t="s">
        <v>468</v>
      </c>
      <c r="F334" t="s">
        <v>892</v>
      </c>
      <c r="H334" t="s">
        <v>1287</v>
      </c>
      <c r="I334" t="s">
        <v>4708</v>
      </c>
      <c r="J334" t="s">
        <v>12014</v>
      </c>
      <c r="K334" t="s">
        <v>12347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3388</v>
      </c>
      <c r="E335" t="s">
        <v>86</v>
      </c>
      <c r="F335" t="s">
        <v>165</v>
      </c>
      <c r="I335" t="s">
        <v>4710</v>
      </c>
      <c r="J335" t="s">
        <v>12014</v>
      </c>
      <c r="K335" t="s">
        <v>12348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3388</v>
      </c>
      <c r="E336" t="s">
        <v>86</v>
      </c>
      <c r="F336" t="s">
        <v>165</v>
      </c>
      <c r="I336" t="s">
        <v>4712</v>
      </c>
      <c r="J336" t="s">
        <v>12014</v>
      </c>
      <c r="K336" t="s">
        <v>12349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3388</v>
      </c>
      <c r="E337" t="s">
        <v>86</v>
      </c>
      <c r="F337" t="s">
        <v>165</v>
      </c>
      <c r="I337" t="s">
        <v>4714</v>
      </c>
      <c r="J337" t="s">
        <v>12014</v>
      </c>
      <c r="K337" t="s">
        <v>12350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3388</v>
      </c>
      <c r="E338" t="s">
        <v>86</v>
      </c>
      <c r="F338" t="s">
        <v>165</v>
      </c>
      <c r="I338" t="s">
        <v>4716</v>
      </c>
      <c r="J338" t="s">
        <v>12014</v>
      </c>
      <c r="K338" t="s">
        <v>12351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3388</v>
      </c>
      <c r="E339" t="s">
        <v>86</v>
      </c>
      <c r="F339" t="s">
        <v>165</v>
      </c>
      <c r="I339" t="s">
        <v>4718</v>
      </c>
      <c r="J339" t="s">
        <v>12014</v>
      </c>
      <c r="K339" t="s">
        <v>12352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3388</v>
      </c>
      <c r="E340" t="s">
        <v>86</v>
      </c>
      <c r="F340" t="s">
        <v>165</v>
      </c>
      <c r="I340" t="s">
        <v>4720</v>
      </c>
      <c r="J340" t="s">
        <v>12014</v>
      </c>
      <c r="K340" t="s">
        <v>12353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3388</v>
      </c>
      <c r="E341" t="s">
        <v>86</v>
      </c>
      <c r="F341" t="s">
        <v>165</v>
      </c>
      <c r="I341" t="s">
        <v>4722</v>
      </c>
      <c r="J341" t="s">
        <v>12014</v>
      </c>
      <c r="K341" t="s">
        <v>12354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4724</v>
      </c>
      <c r="J342" t="s">
        <v>12014</v>
      </c>
      <c r="K342" t="s">
        <v>12355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4917</v>
      </c>
      <c r="I343" t="s">
        <v>4859</v>
      </c>
      <c r="J343" t="s">
        <v>12014</v>
      </c>
      <c r="K343" t="s">
        <v>12356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4861</v>
      </c>
      <c r="J344" t="s">
        <v>12014</v>
      </c>
      <c r="K344" t="s">
        <v>12357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4917</v>
      </c>
      <c r="I345" t="s">
        <v>4863</v>
      </c>
      <c r="J345" t="s">
        <v>12014</v>
      </c>
      <c r="K345" t="s">
        <v>12358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4865</v>
      </c>
      <c r="J346" t="s">
        <v>12014</v>
      </c>
      <c r="K346" t="s">
        <v>12359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1607</v>
      </c>
      <c r="E347" t="s">
        <v>8</v>
      </c>
      <c r="I347" t="s">
        <v>4983</v>
      </c>
      <c r="J347" t="s">
        <v>12014</v>
      </c>
      <c r="K347" t="s">
        <v>12360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3388</v>
      </c>
      <c r="E348" t="s">
        <v>86</v>
      </c>
      <c r="F348" t="s">
        <v>3405</v>
      </c>
      <c r="H348" t="s">
        <v>5209</v>
      </c>
      <c r="I348" t="s">
        <v>5092</v>
      </c>
      <c r="J348" t="s">
        <v>12014</v>
      </c>
      <c r="K348" t="s">
        <v>12361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3388</v>
      </c>
      <c r="E349" t="s">
        <v>86</v>
      </c>
      <c r="F349" t="s">
        <v>5210</v>
      </c>
      <c r="I349" t="s">
        <v>5095</v>
      </c>
      <c r="J349" t="s">
        <v>12014</v>
      </c>
      <c r="K349" t="s">
        <v>12362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3388</v>
      </c>
      <c r="E350" t="s">
        <v>86</v>
      </c>
      <c r="F350" t="s">
        <v>5210</v>
      </c>
      <c r="I350" t="s">
        <v>5097</v>
      </c>
      <c r="J350" t="s">
        <v>12014</v>
      </c>
      <c r="K350" t="s">
        <v>12363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1273</v>
      </c>
      <c r="E351" t="s">
        <v>5045</v>
      </c>
      <c r="I351" t="s">
        <v>5099</v>
      </c>
      <c r="J351" t="s">
        <v>12014</v>
      </c>
      <c r="K351" t="s">
        <v>12364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226</v>
      </c>
      <c r="E352" t="s">
        <v>5045</v>
      </c>
      <c r="F352" t="s">
        <v>58</v>
      </c>
      <c r="H352" t="s">
        <v>1287</v>
      </c>
      <c r="I352" t="s">
        <v>5101</v>
      </c>
      <c r="J352" t="s">
        <v>12014</v>
      </c>
      <c r="K352" t="s">
        <v>12365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226</v>
      </c>
      <c r="E353" t="s">
        <v>5045</v>
      </c>
      <c r="F353" t="s">
        <v>58</v>
      </c>
      <c r="H353" t="s">
        <v>2352</v>
      </c>
      <c r="I353" t="s">
        <v>5104</v>
      </c>
      <c r="J353" t="s">
        <v>12014</v>
      </c>
      <c r="K353" t="s">
        <v>12366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226</v>
      </c>
      <c r="E354" t="s">
        <v>5045</v>
      </c>
      <c r="F354" t="s">
        <v>58</v>
      </c>
      <c r="H354" t="s">
        <v>2352</v>
      </c>
      <c r="I354" t="s">
        <v>5107</v>
      </c>
      <c r="J354" t="s">
        <v>12014</v>
      </c>
      <c r="K354" t="s">
        <v>12367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226</v>
      </c>
      <c r="E355" t="s">
        <v>5045</v>
      </c>
      <c r="F355" t="s">
        <v>58</v>
      </c>
      <c r="H355" t="s">
        <v>2352</v>
      </c>
      <c r="I355" t="s">
        <v>5110</v>
      </c>
      <c r="J355" t="s">
        <v>12014</v>
      </c>
      <c r="K355" t="s">
        <v>12368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226</v>
      </c>
      <c r="E356" t="s">
        <v>5045</v>
      </c>
      <c r="F356" t="s">
        <v>58</v>
      </c>
      <c r="H356" t="s">
        <v>2352</v>
      </c>
      <c r="I356" t="s">
        <v>5113</v>
      </c>
      <c r="J356" t="s">
        <v>12014</v>
      </c>
      <c r="K356" t="s">
        <v>12369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226</v>
      </c>
      <c r="E357" t="s">
        <v>5045</v>
      </c>
      <c r="F357" t="s">
        <v>58</v>
      </c>
      <c r="H357" t="s">
        <v>2352</v>
      </c>
      <c r="I357" t="s">
        <v>5116</v>
      </c>
      <c r="J357" t="s">
        <v>12014</v>
      </c>
      <c r="K357" t="s">
        <v>12370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226</v>
      </c>
      <c r="E358" t="s">
        <v>5045</v>
      </c>
      <c r="F358" t="s">
        <v>58</v>
      </c>
      <c r="H358" t="s">
        <v>2352</v>
      </c>
      <c r="I358" t="s">
        <v>5119</v>
      </c>
      <c r="J358" t="s">
        <v>12014</v>
      </c>
      <c r="K358" t="s">
        <v>12371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226</v>
      </c>
      <c r="E359" t="s">
        <v>5045</v>
      </c>
      <c r="F359" t="s">
        <v>58</v>
      </c>
      <c r="H359" t="s">
        <v>2352</v>
      </c>
      <c r="I359" t="s">
        <v>5122</v>
      </c>
      <c r="J359" t="s">
        <v>12014</v>
      </c>
      <c r="K359" t="s">
        <v>12372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226</v>
      </c>
      <c r="E360" t="s">
        <v>5045</v>
      </c>
      <c r="F360" t="s">
        <v>58</v>
      </c>
      <c r="H360" t="s">
        <v>2352</v>
      </c>
      <c r="I360" t="s">
        <v>5125</v>
      </c>
      <c r="J360" t="s">
        <v>12014</v>
      </c>
      <c r="K360" t="s">
        <v>12373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226</v>
      </c>
      <c r="E361" t="s">
        <v>5045</v>
      </c>
      <c r="F361" t="s">
        <v>58</v>
      </c>
      <c r="H361" t="s">
        <v>2352</v>
      </c>
      <c r="I361" t="s">
        <v>5128</v>
      </c>
      <c r="J361" t="s">
        <v>12014</v>
      </c>
      <c r="K361" t="s">
        <v>12374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226</v>
      </c>
      <c r="E362" t="s">
        <v>5045</v>
      </c>
      <c r="F362" t="s">
        <v>58</v>
      </c>
      <c r="H362" t="s">
        <v>2352</v>
      </c>
      <c r="I362" t="s">
        <v>5131</v>
      </c>
      <c r="J362" t="s">
        <v>12014</v>
      </c>
      <c r="K362" t="s">
        <v>12375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226</v>
      </c>
      <c r="E363" t="s">
        <v>5045</v>
      </c>
      <c r="F363" t="s">
        <v>58</v>
      </c>
      <c r="H363" t="s">
        <v>2352</v>
      </c>
      <c r="I363" t="s">
        <v>5134</v>
      </c>
      <c r="J363" t="s">
        <v>12014</v>
      </c>
      <c r="K363" t="s">
        <v>12376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226</v>
      </c>
      <c r="E364" t="s">
        <v>5045</v>
      </c>
      <c r="F364" t="s">
        <v>58</v>
      </c>
      <c r="H364" t="s">
        <v>2352</v>
      </c>
      <c r="I364" t="s">
        <v>5137</v>
      </c>
      <c r="J364" t="s">
        <v>12014</v>
      </c>
      <c r="K364" t="s">
        <v>12377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226</v>
      </c>
      <c r="E365" t="s">
        <v>5045</v>
      </c>
      <c r="F365" t="s">
        <v>58</v>
      </c>
      <c r="H365" t="s">
        <v>2352</v>
      </c>
      <c r="I365" t="s">
        <v>5140</v>
      </c>
      <c r="J365" t="s">
        <v>12014</v>
      </c>
      <c r="K365" t="s">
        <v>12378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226</v>
      </c>
      <c r="E366" t="s">
        <v>5045</v>
      </c>
      <c r="F366" t="s">
        <v>58</v>
      </c>
      <c r="H366" t="s">
        <v>5211</v>
      </c>
      <c r="I366" t="s">
        <v>5143</v>
      </c>
      <c r="J366" t="s">
        <v>12014</v>
      </c>
      <c r="K366" t="s">
        <v>12379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226</v>
      </c>
      <c r="E367" t="s">
        <v>5045</v>
      </c>
      <c r="F367" t="s">
        <v>58</v>
      </c>
      <c r="H367" t="s">
        <v>2352</v>
      </c>
      <c r="I367" t="s">
        <v>5146</v>
      </c>
      <c r="J367" t="s">
        <v>12014</v>
      </c>
      <c r="K367" t="s">
        <v>12380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226</v>
      </c>
      <c r="E368" t="s">
        <v>5045</v>
      </c>
      <c r="F368" t="s">
        <v>58</v>
      </c>
      <c r="H368" t="s">
        <v>2352</v>
      </c>
      <c r="I368" t="s">
        <v>5149</v>
      </c>
      <c r="J368" t="s">
        <v>12014</v>
      </c>
      <c r="K368" t="s">
        <v>12381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226</v>
      </c>
      <c r="E369" t="s">
        <v>5045</v>
      </c>
      <c r="F369" t="s">
        <v>58</v>
      </c>
      <c r="H369" t="s">
        <v>2352</v>
      </c>
      <c r="I369" t="s">
        <v>5152</v>
      </c>
      <c r="J369" t="s">
        <v>12014</v>
      </c>
      <c r="K369" t="s">
        <v>12382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226</v>
      </c>
      <c r="E370" t="s">
        <v>5045</v>
      </c>
      <c r="F370" t="s">
        <v>58</v>
      </c>
      <c r="H370" t="s">
        <v>1287</v>
      </c>
      <c r="I370" t="s">
        <v>5155</v>
      </c>
      <c r="J370" t="s">
        <v>12014</v>
      </c>
      <c r="K370" t="s">
        <v>12383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226</v>
      </c>
      <c r="E371" t="s">
        <v>5045</v>
      </c>
      <c r="F371" t="s">
        <v>58</v>
      </c>
      <c r="H371" t="s">
        <v>2352</v>
      </c>
      <c r="I371" t="s">
        <v>5158</v>
      </c>
      <c r="J371" t="s">
        <v>12014</v>
      </c>
      <c r="K371" t="s">
        <v>12384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226</v>
      </c>
      <c r="E372" t="s">
        <v>5045</v>
      </c>
      <c r="F372" t="s">
        <v>58</v>
      </c>
      <c r="H372" t="s">
        <v>2352</v>
      </c>
      <c r="I372" t="s">
        <v>5161</v>
      </c>
      <c r="J372" t="s">
        <v>12014</v>
      </c>
      <c r="K372" t="s">
        <v>12385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226</v>
      </c>
      <c r="E373" t="s">
        <v>5045</v>
      </c>
      <c r="F373" t="s">
        <v>58</v>
      </c>
      <c r="H373" t="s">
        <v>2352</v>
      </c>
      <c r="I373" t="s">
        <v>5164</v>
      </c>
      <c r="J373" t="s">
        <v>12014</v>
      </c>
      <c r="K373" t="s">
        <v>12386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587</v>
      </c>
      <c r="E374" t="s">
        <v>5045</v>
      </c>
      <c r="F374" t="s">
        <v>58</v>
      </c>
      <c r="I374" t="s">
        <v>5167</v>
      </c>
      <c r="J374" t="s">
        <v>12014</v>
      </c>
      <c r="K374" t="s">
        <v>12387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1273</v>
      </c>
      <c r="E375" t="s">
        <v>5212</v>
      </c>
      <c r="I375" t="s">
        <v>5169</v>
      </c>
      <c r="J375" t="s">
        <v>12014</v>
      </c>
      <c r="K375" t="s">
        <v>12388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5213</v>
      </c>
      <c r="I376" t="s">
        <v>5171</v>
      </c>
      <c r="J376" t="s">
        <v>12014</v>
      </c>
      <c r="K376" t="s">
        <v>12389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226</v>
      </c>
      <c r="E377" t="s">
        <v>5212</v>
      </c>
      <c r="F377" t="s">
        <v>892</v>
      </c>
      <c r="G377">
        <v>2</v>
      </c>
      <c r="I377" t="s">
        <v>5173</v>
      </c>
      <c r="J377" t="s">
        <v>12014</v>
      </c>
      <c r="K377" t="s">
        <v>12390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587</v>
      </c>
      <c r="E378" t="s">
        <v>5212</v>
      </c>
      <c r="F378" t="s">
        <v>892</v>
      </c>
      <c r="I378" t="s">
        <v>5176</v>
      </c>
      <c r="J378" t="s">
        <v>12014</v>
      </c>
      <c r="K378" t="s">
        <v>12391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3388</v>
      </c>
      <c r="E379" t="s">
        <v>86</v>
      </c>
      <c r="F379" t="s">
        <v>465</v>
      </c>
      <c r="H379" t="s">
        <v>4098</v>
      </c>
      <c r="I379" t="s">
        <v>5178</v>
      </c>
      <c r="J379" t="s">
        <v>12014</v>
      </c>
      <c r="K379" t="s">
        <v>12392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3388</v>
      </c>
      <c r="E380" t="s">
        <v>86</v>
      </c>
      <c r="F380" t="s">
        <v>465</v>
      </c>
      <c r="H380" t="s">
        <v>4098</v>
      </c>
      <c r="I380" t="s">
        <v>5180</v>
      </c>
      <c r="J380" t="s">
        <v>12014</v>
      </c>
      <c r="K380" t="s">
        <v>12393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3388</v>
      </c>
      <c r="E381" t="s">
        <v>86</v>
      </c>
      <c r="F381" t="s">
        <v>1288</v>
      </c>
      <c r="H381" t="s">
        <v>4098</v>
      </c>
      <c r="I381" t="s">
        <v>5182</v>
      </c>
      <c r="J381" t="s">
        <v>12014</v>
      </c>
      <c r="K381" t="s">
        <v>12394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5214</v>
      </c>
      <c r="I382" t="s">
        <v>5184</v>
      </c>
      <c r="J382" t="s">
        <v>12014</v>
      </c>
      <c r="K382" t="s">
        <v>12395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5215</v>
      </c>
      <c r="H383" t="s">
        <v>5216</v>
      </c>
      <c r="I383" t="s">
        <v>5186</v>
      </c>
      <c r="J383" t="s">
        <v>12014</v>
      </c>
      <c r="K383" t="s">
        <v>12396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470</v>
      </c>
      <c r="E384" t="s">
        <v>468</v>
      </c>
      <c r="F384" t="s">
        <v>58</v>
      </c>
      <c r="H384" t="s">
        <v>3401</v>
      </c>
      <c r="I384" t="s">
        <v>5273</v>
      </c>
      <c r="J384" t="s">
        <v>12014</v>
      </c>
      <c r="K384" t="s">
        <v>12397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470</v>
      </c>
      <c r="E385" t="s">
        <v>468</v>
      </c>
      <c r="F385" t="s">
        <v>58</v>
      </c>
      <c r="H385" t="s">
        <v>3401</v>
      </c>
      <c r="I385" t="s">
        <v>5275</v>
      </c>
      <c r="J385" t="s">
        <v>12014</v>
      </c>
      <c r="K385" t="s">
        <v>12398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5277</v>
      </c>
      <c r="J386" t="s">
        <v>12014</v>
      </c>
      <c r="K386" t="s">
        <v>12399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5279</v>
      </c>
      <c r="J387" t="s">
        <v>12014</v>
      </c>
      <c r="K387" t="s">
        <v>12400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5281</v>
      </c>
      <c r="J388" t="s">
        <v>12014</v>
      </c>
      <c r="K388" t="s">
        <v>12401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5283</v>
      </c>
      <c r="J389" t="s">
        <v>12014</v>
      </c>
      <c r="K389" t="s">
        <v>12402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5285</v>
      </c>
      <c r="J390" t="s">
        <v>12014</v>
      </c>
      <c r="K390" t="s">
        <v>12403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470</v>
      </c>
      <c r="E391" t="s">
        <v>468</v>
      </c>
      <c r="F391" t="s">
        <v>892</v>
      </c>
      <c r="I391" t="s">
        <v>5287</v>
      </c>
      <c r="J391" t="s">
        <v>12014</v>
      </c>
      <c r="K391" t="s">
        <v>12404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5289</v>
      </c>
      <c r="J392" t="s">
        <v>12014</v>
      </c>
      <c r="K392" t="s">
        <v>12405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5291</v>
      </c>
      <c r="J393" t="s">
        <v>12014</v>
      </c>
      <c r="K393" t="s">
        <v>12406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470</v>
      </c>
      <c r="E394" t="s">
        <v>468</v>
      </c>
      <c r="F394" t="s">
        <v>58</v>
      </c>
      <c r="H394" t="s">
        <v>3401</v>
      </c>
      <c r="I394" t="s">
        <v>5399</v>
      </c>
      <c r="J394" t="s">
        <v>12014</v>
      </c>
      <c r="K394" t="s">
        <v>12407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470</v>
      </c>
      <c r="E395" t="s">
        <v>468</v>
      </c>
      <c r="F395" t="s">
        <v>5475</v>
      </c>
      <c r="H395" t="s">
        <v>3401</v>
      </c>
      <c r="I395" t="s">
        <v>5401</v>
      </c>
      <c r="J395" t="s">
        <v>12014</v>
      </c>
      <c r="K395" t="s">
        <v>12408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470</v>
      </c>
      <c r="E396" t="s">
        <v>468</v>
      </c>
      <c r="F396" t="s">
        <v>58</v>
      </c>
      <c r="H396" t="s">
        <v>3401</v>
      </c>
      <c r="I396" t="s">
        <v>5403</v>
      </c>
      <c r="J396" t="s">
        <v>12014</v>
      </c>
      <c r="K396" t="s">
        <v>12409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470</v>
      </c>
      <c r="E397" t="s">
        <v>468</v>
      </c>
      <c r="F397" t="s">
        <v>892</v>
      </c>
      <c r="H397" t="s">
        <v>3401</v>
      </c>
      <c r="I397" t="s">
        <v>5405</v>
      </c>
      <c r="J397" t="s">
        <v>12014</v>
      </c>
      <c r="K397" t="s">
        <v>12410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470</v>
      </c>
      <c r="E398" t="s">
        <v>468</v>
      </c>
      <c r="F398" t="s">
        <v>58</v>
      </c>
      <c r="H398" t="s">
        <v>3401</v>
      </c>
      <c r="I398" t="s">
        <v>5407</v>
      </c>
      <c r="J398" t="s">
        <v>12014</v>
      </c>
      <c r="K398" t="s">
        <v>12411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470</v>
      </c>
      <c r="E399" t="s">
        <v>468</v>
      </c>
      <c r="F399" t="s">
        <v>892</v>
      </c>
      <c r="H399" t="s">
        <v>3401</v>
      </c>
      <c r="I399" t="s">
        <v>5409</v>
      </c>
      <c r="J399" t="s">
        <v>12014</v>
      </c>
      <c r="K399" t="s">
        <v>12412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470</v>
      </c>
      <c r="E400" t="s">
        <v>468</v>
      </c>
      <c r="F400" t="s">
        <v>58</v>
      </c>
      <c r="H400" t="s">
        <v>3401</v>
      </c>
      <c r="I400" t="s">
        <v>5411</v>
      </c>
      <c r="J400" t="s">
        <v>12014</v>
      </c>
      <c r="K400" t="s">
        <v>12413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470</v>
      </c>
      <c r="E401" t="s">
        <v>468</v>
      </c>
      <c r="F401" t="s">
        <v>58</v>
      </c>
      <c r="H401" t="s">
        <v>3401</v>
      </c>
      <c r="I401" t="s">
        <v>5413</v>
      </c>
      <c r="J401" t="s">
        <v>12014</v>
      </c>
      <c r="K401" t="s">
        <v>12414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470</v>
      </c>
      <c r="E402" t="s">
        <v>468</v>
      </c>
      <c r="F402" t="s">
        <v>892</v>
      </c>
      <c r="H402" t="s">
        <v>3401</v>
      </c>
      <c r="I402" t="s">
        <v>5415</v>
      </c>
      <c r="J402" t="s">
        <v>12014</v>
      </c>
      <c r="K402" t="s">
        <v>12415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470</v>
      </c>
      <c r="E403" t="s">
        <v>468</v>
      </c>
      <c r="F403" t="s">
        <v>892</v>
      </c>
      <c r="H403" t="s">
        <v>3401</v>
      </c>
      <c r="I403" t="s">
        <v>5417</v>
      </c>
      <c r="J403" t="s">
        <v>12014</v>
      </c>
      <c r="K403" t="s">
        <v>12416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470</v>
      </c>
      <c r="E404" t="s">
        <v>468</v>
      </c>
      <c r="F404" t="s">
        <v>5697</v>
      </c>
      <c r="H404" t="s">
        <v>5055</v>
      </c>
      <c r="I404" t="s">
        <v>5419</v>
      </c>
      <c r="J404" t="s">
        <v>12014</v>
      </c>
      <c r="K404" t="s">
        <v>12417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5421</v>
      </c>
      <c r="J405" t="s">
        <v>12014</v>
      </c>
      <c r="K405" t="s">
        <v>12418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470</v>
      </c>
      <c r="E406" t="s">
        <v>468</v>
      </c>
      <c r="F406" t="s">
        <v>58</v>
      </c>
      <c r="H406" t="s">
        <v>3401</v>
      </c>
      <c r="I406" t="s">
        <v>5423</v>
      </c>
      <c r="J406" t="s">
        <v>12014</v>
      </c>
      <c r="K406" t="s">
        <v>12419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5587</v>
      </c>
      <c r="J407" t="s">
        <v>12014</v>
      </c>
      <c r="K407" t="s">
        <v>12420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470</v>
      </c>
      <c r="E408" t="s">
        <v>468</v>
      </c>
      <c r="F408" t="s">
        <v>58</v>
      </c>
      <c r="H408" t="s">
        <v>2365</v>
      </c>
      <c r="I408" t="s">
        <v>5589</v>
      </c>
      <c r="J408" t="s">
        <v>12014</v>
      </c>
      <c r="K408" t="s">
        <v>12421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470</v>
      </c>
      <c r="E409" t="s">
        <v>468</v>
      </c>
      <c r="F409" t="s">
        <v>58</v>
      </c>
      <c r="H409" t="s">
        <v>2352</v>
      </c>
      <c r="I409" t="s">
        <v>5591</v>
      </c>
      <c r="J409" t="s">
        <v>12014</v>
      </c>
      <c r="K409" t="s">
        <v>12422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470</v>
      </c>
      <c r="E410" t="s">
        <v>468</v>
      </c>
      <c r="F410" t="s">
        <v>58</v>
      </c>
      <c r="H410" t="s">
        <v>3401</v>
      </c>
      <c r="I410" t="s">
        <v>5593</v>
      </c>
      <c r="J410" t="s">
        <v>12014</v>
      </c>
      <c r="K410" t="s">
        <v>12423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3388</v>
      </c>
      <c r="E411" t="s">
        <v>4396</v>
      </c>
      <c r="F411" t="s">
        <v>2360</v>
      </c>
      <c r="I411" t="s">
        <v>5595</v>
      </c>
      <c r="J411" t="s">
        <v>12014</v>
      </c>
      <c r="K411" t="s">
        <v>12424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2360</v>
      </c>
      <c r="H412" t="s">
        <v>2370</v>
      </c>
      <c r="I412" t="s">
        <v>5597</v>
      </c>
      <c r="J412" t="s">
        <v>12014</v>
      </c>
      <c r="K412" t="s">
        <v>12425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3388</v>
      </c>
      <c r="E413" t="s">
        <v>4396</v>
      </c>
      <c r="F413" t="s">
        <v>465</v>
      </c>
      <c r="I413" t="s">
        <v>5599</v>
      </c>
      <c r="J413" t="s">
        <v>12014</v>
      </c>
      <c r="K413" t="s">
        <v>12426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470</v>
      </c>
      <c r="E414" t="s">
        <v>468</v>
      </c>
      <c r="F414" t="s">
        <v>58</v>
      </c>
      <c r="H414" t="s">
        <v>3401</v>
      </c>
      <c r="I414" t="s">
        <v>5601</v>
      </c>
      <c r="J414" t="s">
        <v>12014</v>
      </c>
      <c r="K414" t="s">
        <v>12427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470</v>
      </c>
      <c r="E415" t="s">
        <v>468</v>
      </c>
      <c r="F415" t="s">
        <v>58</v>
      </c>
      <c r="H415" t="s">
        <v>3401</v>
      </c>
      <c r="I415" t="s">
        <v>5603</v>
      </c>
      <c r="J415" t="s">
        <v>12014</v>
      </c>
      <c r="K415" t="s">
        <v>12428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470</v>
      </c>
      <c r="E416" t="s">
        <v>468</v>
      </c>
      <c r="F416" t="s">
        <v>5475</v>
      </c>
      <c r="H416" t="s">
        <v>3401</v>
      </c>
      <c r="I416" t="s">
        <v>5605</v>
      </c>
      <c r="J416" t="s">
        <v>12014</v>
      </c>
      <c r="K416" t="s">
        <v>12429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468</v>
      </c>
      <c r="F417" t="s">
        <v>5475</v>
      </c>
      <c r="H417" t="s">
        <v>3401</v>
      </c>
      <c r="I417" t="s">
        <v>5607</v>
      </c>
      <c r="J417" t="s">
        <v>12014</v>
      </c>
      <c r="K417" t="s">
        <v>12430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470</v>
      </c>
      <c r="E418" t="s">
        <v>468</v>
      </c>
      <c r="F418" t="s">
        <v>2360</v>
      </c>
      <c r="H418" t="s">
        <v>3401</v>
      </c>
      <c r="I418" t="s">
        <v>5609</v>
      </c>
      <c r="J418" t="s">
        <v>12014</v>
      </c>
      <c r="K418" t="s">
        <v>12431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470</v>
      </c>
      <c r="E419" t="s">
        <v>468</v>
      </c>
      <c r="F419" t="s">
        <v>5698</v>
      </c>
      <c r="I419" t="s">
        <v>5611</v>
      </c>
      <c r="J419" t="s">
        <v>12014</v>
      </c>
      <c r="K419" t="s">
        <v>12432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470</v>
      </c>
      <c r="E420" t="s">
        <v>468</v>
      </c>
      <c r="F420" t="s">
        <v>5697</v>
      </c>
      <c r="H420" t="s">
        <v>5055</v>
      </c>
      <c r="I420" t="s">
        <v>5613</v>
      </c>
      <c r="J420" t="s">
        <v>12014</v>
      </c>
      <c r="K420" t="s">
        <v>12433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3386</v>
      </c>
      <c r="E421" t="s">
        <v>86</v>
      </c>
      <c r="F421" t="s">
        <v>58</v>
      </c>
      <c r="H421" t="s">
        <v>1287</v>
      </c>
      <c r="I421" t="s">
        <v>5615</v>
      </c>
      <c r="J421" t="s">
        <v>12014</v>
      </c>
      <c r="K421" t="s">
        <v>12434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2370</v>
      </c>
      <c r="I422" t="s">
        <v>5617</v>
      </c>
      <c r="J422" t="s">
        <v>12014</v>
      </c>
      <c r="K422" t="s">
        <v>12435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3386</v>
      </c>
      <c r="E423" t="s">
        <v>86</v>
      </c>
      <c r="F423" t="s">
        <v>2377</v>
      </c>
      <c r="H423" t="s">
        <v>1287</v>
      </c>
      <c r="I423" t="s">
        <v>5619</v>
      </c>
      <c r="J423" t="s">
        <v>12014</v>
      </c>
      <c r="K423" t="s">
        <v>12436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3386</v>
      </c>
      <c r="E424" t="s">
        <v>86</v>
      </c>
      <c r="F424" t="s">
        <v>2377</v>
      </c>
      <c r="H424" t="s">
        <v>2352</v>
      </c>
      <c r="I424" t="s">
        <v>5621</v>
      </c>
      <c r="J424" t="s">
        <v>12014</v>
      </c>
      <c r="K424" t="s">
        <v>12437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3386</v>
      </c>
      <c r="E425" t="s">
        <v>86</v>
      </c>
      <c r="F425" t="s">
        <v>2377</v>
      </c>
      <c r="H425" t="s">
        <v>2352</v>
      </c>
      <c r="I425" t="s">
        <v>5623</v>
      </c>
      <c r="J425" t="s">
        <v>12014</v>
      </c>
      <c r="K425" t="s">
        <v>12438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470</v>
      </c>
      <c r="E426" t="s">
        <v>468</v>
      </c>
      <c r="F426" t="s">
        <v>5697</v>
      </c>
      <c r="H426" t="s">
        <v>5055</v>
      </c>
      <c r="I426" t="s">
        <v>5625</v>
      </c>
      <c r="J426" t="s">
        <v>12014</v>
      </c>
      <c r="K426" t="s">
        <v>12439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470</v>
      </c>
      <c r="E427" t="s">
        <v>468</v>
      </c>
      <c r="F427" t="s">
        <v>58</v>
      </c>
      <c r="H427" t="s">
        <v>2370</v>
      </c>
      <c r="I427" t="s">
        <v>5627</v>
      </c>
      <c r="J427" t="s">
        <v>12014</v>
      </c>
      <c r="K427" t="s">
        <v>12440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470</v>
      </c>
      <c r="E428" t="s">
        <v>468</v>
      </c>
      <c r="F428" t="s">
        <v>58</v>
      </c>
      <c r="H428" t="s">
        <v>2352</v>
      </c>
      <c r="I428" t="s">
        <v>5629</v>
      </c>
      <c r="J428" t="s">
        <v>12014</v>
      </c>
      <c r="K428" t="s">
        <v>12441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470</v>
      </c>
      <c r="E429" t="s">
        <v>468</v>
      </c>
      <c r="F429" t="s">
        <v>58</v>
      </c>
      <c r="H429" t="s">
        <v>2370</v>
      </c>
      <c r="I429" t="s">
        <v>5631</v>
      </c>
      <c r="J429" t="s">
        <v>12014</v>
      </c>
      <c r="K429" t="s">
        <v>12442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470</v>
      </c>
      <c r="E430" t="s">
        <v>468</v>
      </c>
      <c r="F430" t="s">
        <v>5696</v>
      </c>
      <c r="H430" t="s">
        <v>3401</v>
      </c>
      <c r="I430" t="s">
        <v>5633</v>
      </c>
      <c r="J430" t="s">
        <v>12014</v>
      </c>
      <c r="K430" t="s">
        <v>12443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470</v>
      </c>
      <c r="E431" t="s">
        <v>468</v>
      </c>
      <c r="F431" t="s">
        <v>2462</v>
      </c>
      <c r="H431" t="s">
        <v>3401</v>
      </c>
      <c r="I431" t="s">
        <v>5635</v>
      </c>
      <c r="J431" t="s">
        <v>12014</v>
      </c>
      <c r="K431" t="s">
        <v>12444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5637</v>
      </c>
      <c r="J432" t="s">
        <v>12014</v>
      </c>
      <c r="K432" t="s">
        <v>12445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1607</v>
      </c>
      <c r="E433" t="s">
        <v>8</v>
      </c>
      <c r="I433" t="s">
        <v>5639</v>
      </c>
      <c r="J433" t="s">
        <v>12014</v>
      </c>
      <c r="K433" t="s">
        <v>12446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1607</v>
      </c>
      <c r="E434" t="s">
        <v>8</v>
      </c>
      <c r="I434" t="s">
        <v>5723</v>
      </c>
      <c r="J434" t="s">
        <v>12014</v>
      </c>
      <c r="K434" t="s">
        <v>12447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1607</v>
      </c>
      <c r="E435" t="s">
        <v>8</v>
      </c>
      <c r="I435" t="s">
        <v>5798</v>
      </c>
      <c r="J435" t="s">
        <v>12014</v>
      </c>
      <c r="K435" t="s">
        <v>12448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1607</v>
      </c>
      <c r="E436" t="s">
        <v>8</v>
      </c>
      <c r="I436" t="s">
        <v>5800</v>
      </c>
      <c r="J436" t="s">
        <v>12014</v>
      </c>
      <c r="K436" t="s">
        <v>12449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1607</v>
      </c>
      <c r="E437" t="s">
        <v>8</v>
      </c>
      <c r="I437" t="s">
        <v>5959</v>
      </c>
      <c r="J437" t="s">
        <v>12014</v>
      </c>
      <c r="K437" t="s">
        <v>12450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6159</v>
      </c>
      <c r="E438" t="s">
        <v>1274</v>
      </c>
      <c r="I438" t="s">
        <v>5961</v>
      </c>
      <c r="J438" t="s">
        <v>12014</v>
      </c>
      <c r="K438" t="s">
        <v>12451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6159</v>
      </c>
      <c r="E439" t="s">
        <v>1274</v>
      </c>
      <c r="I439" t="s">
        <v>5963</v>
      </c>
      <c r="J439" t="s">
        <v>12014</v>
      </c>
      <c r="K439" t="s">
        <v>12452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1607</v>
      </c>
      <c r="E440" t="s">
        <v>8</v>
      </c>
      <c r="I440" t="s">
        <v>5965</v>
      </c>
      <c r="J440" t="s">
        <v>12014</v>
      </c>
      <c r="K440" t="s">
        <v>12453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226</v>
      </c>
      <c r="E441" t="s">
        <v>70</v>
      </c>
      <c r="F441" t="s">
        <v>58</v>
      </c>
      <c r="H441" t="s">
        <v>1285</v>
      </c>
      <c r="I441" t="s">
        <v>5967</v>
      </c>
      <c r="J441" t="s">
        <v>12014</v>
      </c>
      <c r="K441" t="s">
        <v>12454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226</v>
      </c>
      <c r="E442" t="s">
        <v>70</v>
      </c>
      <c r="F442" t="s">
        <v>58</v>
      </c>
      <c r="H442" t="s">
        <v>2352</v>
      </c>
      <c r="I442" t="s">
        <v>5970</v>
      </c>
      <c r="J442" t="s">
        <v>12014</v>
      </c>
      <c r="K442" t="s">
        <v>12455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226</v>
      </c>
      <c r="E443" t="s">
        <v>70</v>
      </c>
      <c r="F443" t="s">
        <v>58</v>
      </c>
      <c r="H443" t="s">
        <v>2352</v>
      </c>
      <c r="I443" t="s">
        <v>5973</v>
      </c>
      <c r="J443" t="s">
        <v>12014</v>
      </c>
      <c r="K443" t="s">
        <v>12456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226</v>
      </c>
      <c r="E444" t="s">
        <v>70</v>
      </c>
      <c r="F444" t="s">
        <v>58</v>
      </c>
      <c r="H444" t="s">
        <v>2352</v>
      </c>
      <c r="I444" t="s">
        <v>5976</v>
      </c>
      <c r="J444" t="s">
        <v>12014</v>
      </c>
      <c r="K444" t="s">
        <v>12457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226</v>
      </c>
      <c r="E445" t="s">
        <v>70</v>
      </c>
      <c r="F445" t="s">
        <v>58</v>
      </c>
      <c r="H445" t="s">
        <v>2352</v>
      </c>
      <c r="I445" t="s">
        <v>5979</v>
      </c>
      <c r="J445" t="s">
        <v>12014</v>
      </c>
      <c r="K445" t="s">
        <v>12458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587</v>
      </c>
      <c r="E446" t="s">
        <v>70</v>
      </c>
      <c r="F446" t="s">
        <v>58</v>
      </c>
      <c r="I446" t="s">
        <v>5982</v>
      </c>
      <c r="J446" t="s">
        <v>12014</v>
      </c>
      <c r="K446" t="s">
        <v>12459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6160</v>
      </c>
      <c r="E447" t="s">
        <v>468</v>
      </c>
      <c r="I447" t="s">
        <v>5984</v>
      </c>
      <c r="J447" t="s">
        <v>12014</v>
      </c>
      <c r="K447" t="s">
        <v>12460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3388</v>
      </c>
      <c r="E448" t="s">
        <v>86</v>
      </c>
      <c r="F448" t="s">
        <v>6161</v>
      </c>
      <c r="I448" t="s">
        <v>5986</v>
      </c>
      <c r="J448" t="s">
        <v>12014</v>
      </c>
      <c r="K448" t="s">
        <v>12461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3388</v>
      </c>
      <c r="E449" t="s">
        <v>86</v>
      </c>
      <c r="F449" t="s">
        <v>6161</v>
      </c>
      <c r="H449" t="s">
        <v>2352</v>
      </c>
      <c r="I449" t="s">
        <v>5988</v>
      </c>
      <c r="J449" t="s">
        <v>12014</v>
      </c>
      <c r="K449" t="s">
        <v>12462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3388</v>
      </c>
      <c r="E450" t="s">
        <v>86</v>
      </c>
      <c r="F450" t="s">
        <v>6161</v>
      </c>
      <c r="I450" t="s">
        <v>5990</v>
      </c>
      <c r="J450" t="s">
        <v>12014</v>
      </c>
      <c r="K450" t="s">
        <v>12463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1607</v>
      </c>
      <c r="E451" t="s">
        <v>8</v>
      </c>
      <c r="I451" t="s">
        <v>5992</v>
      </c>
      <c r="J451" t="s">
        <v>12014</v>
      </c>
      <c r="K451" t="s">
        <v>12464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1607</v>
      </c>
      <c r="E452" t="s">
        <v>8</v>
      </c>
      <c r="I452" t="s">
        <v>5994</v>
      </c>
      <c r="J452" t="s">
        <v>12014</v>
      </c>
      <c r="K452" t="s">
        <v>12465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1607</v>
      </c>
      <c r="E453" t="s">
        <v>8</v>
      </c>
      <c r="I453" t="s">
        <v>6184</v>
      </c>
      <c r="J453" t="s">
        <v>12014</v>
      </c>
      <c r="K453" t="s">
        <v>12466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1273</v>
      </c>
      <c r="E454" t="s">
        <v>5310</v>
      </c>
      <c r="F454" t="s">
        <v>4070</v>
      </c>
      <c r="I454" t="s">
        <v>6426</v>
      </c>
      <c r="J454" t="s">
        <v>12014</v>
      </c>
      <c r="K454" t="s">
        <v>12467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6436</v>
      </c>
      <c r="E455" t="s">
        <v>5310</v>
      </c>
      <c r="F455" t="s">
        <v>4070</v>
      </c>
      <c r="H455" t="s">
        <v>6446</v>
      </c>
      <c r="I455" t="s">
        <v>6428</v>
      </c>
      <c r="J455" t="s">
        <v>12014</v>
      </c>
      <c r="K455" t="s">
        <v>12468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587</v>
      </c>
      <c r="E456" t="s">
        <v>5310</v>
      </c>
      <c r="F456" t="s">
        <v>4070</v>
      </c>
      <c r="I456" t="s">
        <v>6430</v>
      </c>
      <c r="J456" t="s">
        <v>12014</v>
      </c>
      <c r="K456" t="s">
        <v>12469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1274</v>
      </c>
      <c r="F457" t="s">
        <v>6447</v>
      </c>
      <c r="I457" t="s">
        <v>6432</v>
      </c>
      <c r="J457" t="s">
        <v>12014</v>
      </c>
      <c r="K457" t="s">
        <v>12470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1273</v>
      </c>
      <c r="E458" t="s">
        <v>70</v>
      </c>
      <c r="I458" t="s">
        <v>6550</v>
      </c>
      <c r="J458" t="s">
        <v>12014</v>
      </c>
      <c r="K458" t="s">
        <v>12471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227</v>
      </c>
      <c r="E459" t="s">
        <v>70</v>
      </c>
      <c r="F459" t="s">
        <v>4087</v>
      </c>
      <c r="H459" t="s">
        <v>2365</v>
      </c>
      <c r="I459" t="s">
        <v>6552</v>
      </c>
      <c r="J459" t="s">
        <v>12014</v>
      </c>
      <c r="K459" t="s">
        <v>12472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227</v>
      </c>
      <c r="E460" t="s">
        <v>70</v>
      </c>
      <c r="F460" t="s">
        <v>4087</v>
      </c>
      <c r="H460" t="s">
        <v>2365</v>
      </c>
      <c r="I460" t="s">
        <v>6554</v>
      </c>
      <c r="J460" t="s">
        <v>12014</v>
      </c>
      <c r="K460" t="s">
        <v>12473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227</v>
      </c>
      <c r="E461" t="s">
        <v>70</v>
      </c>
      <c r="F461" t="s">
        <v>4087</v>
      </c>
      <c r="H461" t="s">
        <v>2365</v>
      </c>
      <c r="I461" t="s">
        <v>6556</v>
      </c>
      <c r="J461" t="s">
        <v>12014</v>
      </c>
      <c r="K461" t="s">
        <v>12474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587</v>
      </c>
      <c r="E462" t="s">
        <v>70</v>
      </c>
      <c r="I462" t="s">
        <v>6558</v>
      </c>
      <c r="J462" t="s">
        <v>12014</v>
      </c>
      <c r="K462" t="s">
        <v>12475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470</v>
      </c>
      <c r="E463" t="s">
        <v>468</v>
      </c>
      <c r="F463" t="s">
        <v>6677</v>
      </c>
      <c r="I463" t="s">
        <v>6560</v>
      </c>
      <c r="J463" t="s">
        <v>12014</v>
      </c>
      <c r="K463" t="s">
        <v>12476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468</v>
      </c>
      <c r="I464" t="s">
        <v>6562</v>
      </c>
      <c r="J464" t="s">
        <v>12014</v>
      </c>
      <c r="K464" t="s">
        <v>12477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6678</v>
      </c>
      <c r="I465" t="s">
        <v>6564</v>
      </c>
      <c r="J465" t="s">
        <v>12014</v>
      </c>
      <c r="K465" t="s">
        <v>12478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6678</v>
      </c>
      <c r="I466" t="s">
        <v>6566</v>
      </c>
      <c r="J466" t="s">
        <v>12014</v>
      </c>
      <c r="K466" t="s">
        <v>12479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6680</v>
      </c>
      <c r="I467" t="s">
        <v>6568</v>
      </c>
      <c r="J467" t="s">
        <v>12014</v>
      </c>
      <c r="K467" t="s">
        <v>12480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226</v>
      </c>
      <c r="E468" t="s">
        <v>6679</v>
      </c>
      <c r="F468" t="s">
        <v>1288</v>
      </c>
      <c r="I468" t="s">
        <v>6570</v>
      </c>
      <c r="J468" t="s">
        <v>12014</v>
      </c>
      <c r="K468" t="s">
        <v>12481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6573</v>
      </c>
      <c r="J469" t="s">
        <v>12014</v>
      </c>
      <c r="K469" t="s">
        <v>12482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6575</v>
      </c>
      <c r="J470" t="s">
        <v>12014</v>
      </c>
      <c r="K470" t="s">
        <v>12483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6577</v>
      </c>
      <c r="J471" t="s">
        <v>12014</v>
      </c>
      <c r="K471" t="s">
        <v>12484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1273</v>
      </c>
      <c r="E472" t="s">
        <v>70</v>
      </c>
      <c r="I472" t="s">
        <v>6579</v>
      </c>
      <c r="J472" t="s">
        <v>12014</v>
      </c>
      <c r="K472" t="s">
        <v>12485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227</v>
      </c>
      <c r="E473" t="s">
        <v>70</v>
      </c>
      <c r="F473" t="s">
        <v>4087</v>
      </c>
      <c r="I473" t="s">
        <v>6581</v>
      </c>
      <c r="J473" t="s">
        <v>12014</v>
      </c>
      <c r="K473" t="s">
        <v>12486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227</v>
      </c>
      <c r="E474" t="s">
        <v>70</v>
      </c>
      <c r="F474" t="s">
        <v>4087</v>
      </c>
      <c r="I474" t="s">
        <v>6583</v>
      </c>
      <c r="J474" t="s">
        <v>12014</v>
      </c>
      <c r="K474" t="s">
        <v>12487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227</v>
      </c>
      <c r="E475" t="s">
        <v>70</v>
      </c>
      <c r="F475" t="s">
        <v>4087</v>
      </c>
      <c r="I475" t="s">
        <v>6585</v>
      </c>
      <c r="J475" t="s">
        <v>12014</v>
      </c>
      <c r="K475" t="s">
        <v>12488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587</v>
      </c>
      <c r="E476" t="s">
        <v>70</v>
      </c>
      <c r="I476" t="s">
        <v>6587</v>
      </c>
      <c r="J476" t="s">
        <v>12014</v>
      </c>
      <c r="K476" t="s">
        <v>12489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1273</v>
      </c>
      <c r="E477" t="s">
        <v>6681</v>
      </c>
      <c r="H477" t="s">
        <v>6682</v>
      </c>
      <c r="I477" t="s">
        <v>6589</v>
      </c>
      <c r="J477" t="s">
        <v>12014</v>
      </c>
      <c r="K477" t="s">
        <v>12490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4921</v>
      </c>
      <c r="E478" t="s">
        <v>6681</v>
      </c>
      <c r="H478" t="s">
        <v>6683</v>
      </c>
      <c r="I478" t="s">
        <v>6591</v>
      </c>
      <c r="J478" t="s">
        <v>12014</v>
      </c>
      <c r="K478" t="s">
        <v>12491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587</v>
      </c>
      <c r="E479" t="s">
        <v>6681</v>
      </c>
      <c r="I479" t="s">
        <v>6593</v>
      </c>
      <c r="J479" t="s">
        <v>12014</v>
      </c>
      <c r="K479" t="s">
        <v>12492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6684</v>
      </c>
      <c r="E480" t="s">
        <v>4087</v>
      </c>
      <c r="H480" t="s">
        <v>6685</v>
      </c>
      <c r="I480" t="s">
        <v>6595</v>
      </c>
      <c r="J480" t="s">
        <v>12014</v>
      </c>
      <c r="K480" t="s">
        <v>12493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1607</v>
      </c>
      <c r="E481" t="s">
        <v>8</v>
      </c>
      <c r="I481" t="s">
        <v>6597</v>
      </c>
      <c r="J481" t="s">
        <v>12014</v>
      </c>
      <c r="K481" t="s">
        <v>12494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1607</v>
      </c>
      <c r="E482" t="s">
        <v>8</v>
      </c>
      <c r="I482" t="s">
        <v>6599</v>
      </c>
      <c r="J482" t="s">
        <v>12014</v>
      </c>
      <c r="K482" t="s">
        <v>12495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1607</v>
      </c>
      <c r="E483" t="s">
        <v>8</v>
      </c>
      <c r="I483" t="s">
        <v>6749</v>
      </c>
      <c r="J483" t="s">
        <v>12014</v>
      </c>
      <c r="K483" t="s">
        <v>12496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1607</v>
      </c>
      <c r="E484" t="s">
        <v>8</v>
      </c>
      <c r="I484" t="s">
        <v>6751</v>
      </c>
      <c r="J484" t="s">
        <v>12014</v>
      </c>
      <c r="K484" t="s">
        <v>12497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1607</v>
      </c>
      <c r="E485" t="s">
        <v>8</v>
      </c>
      <c r="I485" t="s">
        <v>6753</v>
      </c>
      <c r="J485" t="s">
        <v>12014</v>
      </c>
      <c r="K485" t="s">
        <v>12498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1607</v>
      </c>
      <c r="E486" t="s">
        <v>8</v>
      </c>
      <c r="I486" t="s">
        <v>6963</v>
      </c>
      <c r="J486" t="s">
        <v>12014</v>
      </c>
      <c r="K486" t="s">
        <v>12499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1607</v>
      </c>
      <c r="E487" t="s">
        <v>7068</v>
      </c>
      <c r="I487" t="s">
        <v>6965</v>
      </c>
      <c r="J487" t="s">
        <v>12014</v>
      </c>
      <c r="K487" t="s">
        <v>12500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1607</v>
      </c>
      <c r="E488" t="s">
        <v>7068</v>
      </c>
      <c r="I488" t="s">
        <v>6967</v>
      </c>
      <c r="J488" t="s">
        <v>12014</v>
      </c>
      <c r="K488" t="s">
        <v>12501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1607</v>
      </c>
      <c r="E489" t="s">
        <v>8</v>
      </c>
      <c r="I489" t="s">
        <v>6969</v>
      </c>
      <c r="J489" t="s">
        <v>12014</v>
      </c>
      <c r="K489" t="s">
        <v>12502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1607</v>
      </c>
      <c r="E490" t="s">
        <v>7068</v>
      </c>
      <c r="I490" t="s">
        <v>6971</v>
      </c>
      <c r="J490" t="s">
        <v>12014</v>
      </c>
      <c r="K490" t="s">
        <v>12503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1607</v>
      </c>
      <c r="E491" t="s">
        <v>7068</v>
      </c>
      <c r="I491" t="s">
        <v>6973</v>
      </c>
      <c r="J491" t="s">
        <v>12014</v>
      </c>
      <c r="K491" t="s">
        <v>12504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7047</v>
      </c>
      <c r="I492" t="s">
        <v>6975</v>
      </c>
      <c r="J492" t="s">
        <v>12014</v>
      </c>
      <c r="K492" t="s">
        <v>12505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7221</v>
      </c>
      <c r="J493" t="s">
        <v>12014</v>
      </c>
      <c r="K493" t="s">
        <v>12506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226</v>
      </c>
      <c r="E494" t="s">
        <v>86</v>
      </c>
      <c r="F494" t="s">
        <v>7344</v>
      </c>
      <c r="I494" t="s">
        <v>7223</v>
      </c>
      <c r="J494" t="s">
        <v>12014</v>
      </c>
      <c r="K494" t="s">
        <v>12507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3386</v>
      </c>
      <c r="E495" t="s">
        <v>86</v>
      </c>
      <c r="F495" t="s">
        <v>7344</v>
      </c>
      <c r="I495" t="s">
        <v>7225</v>
      </c>
      <c r="J495" t="s">
        <v>12014</v>
      </c>
      <c r="K495" t="s">
        <v>12508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3386</v>
      </c>
      <c r="E496" t="s">
        <v>7361</v>
      </c>
      <c r="F496" t="s">
        <v>7344</v>
      </c>
      <c r="I496" t="s">
        <v>7227</v>
      </c>
      <c r="J496" t="s">
        <v>12014</v>
      </c>
      <c r="K496" t="s">
        <v>12509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3388</v>
      </c>
      <c r="E497" t="s">
        <v>86</v>
      </c>
      <c r="F497" t="s">
        <v>60</v>
      </c>
      <c r="H497" t="s">
        <v>1272</v>
      </c>
      <c r="I497" t="s">
        <v>7229</v>
      </c>
      <c r="J497" t="s">
        <v>12014</v>
      </c>
      <c r="K497" t="s">
        <v>12510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3388</v>
      </c>
      <c r="E498" t="s">
        <v>86</v>
      </c>
      <c r="F498" t="s">
        <v>7356</v>
      </c>
      <c r="I498" t="s">
        <v>7231</v>
      </c>
      <c r="J498" t="s">
        <v>12014</v>
      </c>
      <c r="K498" t="s">
        <v>12511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3388</v>
      </c>
      <c r="E499" t="s">
        <v>86</v>
      </c>
      <c r="F499" t="s">
        <v>7356</v>
      </c>
      <c r="H499" t="s">
        <v>2352</v>
      </c>
      <c r="I499" t="s">
        <v>7233</v>
      </c>
      <c r="J499" t="s">
        <v>12014</v>
      </c>
      <c r="K499" t="s">
        <v>12512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3388</v>
      </c>
      <c r="E500" t="s">
        <v>86</v>
      </c>
      <c r="F500" t="s">
        <v>7357</v>
      </c>
      <c r="I500" t="s">
        <v>7235</v>
      </c>
      <c r="J500" t="s">
        <v>12014</v>
      </c>
      <c r="K500" t="s">
        <v>12513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3388</v>
      </c>
      <c r="E501" t="s">
        <v>86</v>
      </c>
      <c r="F501" t="s">
        <v>7357</v>
      </c>
      <c r="I501" t="s">
        <v>7237</v>
      </c>
      <c r="J501" t="s">
        <v>12014</v>
      </c>
      <c r="K501" t="s">
        <v>12514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3388</v>
      </c>
      <c r="E502" t="s">
        <v>86</v>
      </c>
      <c r="F502" t="s">
        <v>7357</v>
      </c>
      <c r="I502" t="s">
        <v>7239</v>
      </c>
      <c r="J502" t="s">
        <v>12014</v>
      </c>
      <c r="K502" t="s">
        <v>12515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3388</v>
      </c>
      <c r="E503" t="s">
        <v>86</v>
      </c>
      <c r="F503" t="s">
        <v>7357</v>
      </c>
      <c r="I503" t="s">
        <v>7241</v>
      </c>
      <c r="J503" t="s">
        <v>12014</v>
      </c>
      <c r="K503" t="s">
        <v>12516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3388</v>
      </c>
      <c r="E504" t="s">
        <v>86</v>
      </c>
      <c r="F504" t="s">
        <v>7357</v>
      </c>
      <c r="I504" t="s">
        <v>7243</v>
      </c>
      <c r="J504" t="s">
        <v>12014</v>
      </c>
      <c r="K504" t="s">
        <v>12517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3388</v>
      </c>
      <c r="E505" t="s">
        <v>86</v>
      </c>
      <c r="F505" t="s">
        <v>60</v>
      </c>
      <c r="H505" t="s">
        <v>1272</v>
      </c>
      <c r="I505" t="s">
        <v>7245</v>
      </c>
      <c r="J505" t="s">
        <v>12014</v>
      </c>
      <c r="K505" t="s">
        <v>12518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3388</v>
      </c>
      <c r="E506" t="s">
        <v>86</v>
      </c>
      <c r="F506" t="s">
        <v>60</v>
      </c>
      <c r="H506" t="s">
        <v>1272</v>
      </c>
      <c r="I506" t="s">
        <v>7247</v>
      </c>
      <c r="J506" t="s">
        <v>12014</v>
      </c>
      <c r="K506" t="s">
        <v>12519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3388</v>
      </c>
      <c r="E507" t="s">
        <v>86</v>
      </c>
      <c r="F507" t="s">
        <v>7357</v>
      </c>
      <c r="I507" t="s">
        <v>7249</v>
      </c>
      <c r="J507" t="s">
        <v>12014</v>
      </c>
      <c r="K507" t="s">
        <v>12520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470</v>
      </c>
      <c r="E508" t="s">
        <v>468</v>
      </c>
      <c r="F508" t="s">
        <v>58</v>
      </c>
      <c r="I508" t="s">
        <v>7251</v>
      </c>
      <c r="J508" t="s">
        <v>12014</v>
      </c>
      <c r="K508" t="s">
        <v>12521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470</v>
      </c>
      <c r="E509" t="s">
        <v>468</v>
      </c>
      <c r="F509" t="s">
        <v>58</v>
      </c>
      <c r="I509" t="s">
        <v>7253</v>
      </c>
      <c r="J509" t="s">
        <v>12014</v>
      </c>
      <c r="K509" t="s">
        <v>12522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470</v>
      </c>
      <c r="E510" t="s">
        <v>468</v>
      </c>
      <c r="F510" t="s">
        <v>58</v>
      </c>
      <c r="I510" t="s">
        <v>7255</v>
      </c>
      <c r="J510" t="s">
        <v>12014</v>
      </c>
      <c r="K510" t="s">
        <v>12523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470</v>
      </c>
      <c r="E511" t="s">
        <v>468</v>
      </c>
      <c r="F511" t="s">
        <v>58</v>
      </c>
      <c r="I511" t="s">
        <v>7257</v>
      </c>
      <c r="J511" t="s">
        <v>12014</v>
      </c>
      <c r="K511" t="s">
        <v>12524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470</v>
      </c>
      <c r="E512" t="s">
        <v>468</v>
      </c>
      <c r="F512" t="s">
        <v>58</v>
      </c>
      <c r="I512" t="s">
        <v>7259</v>
      </c>
      <c r="J512" t="s">
        <v>12014</v>
      </c>
      <c r="K512" t="s">
        <v>12525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470</v>
      </c>
      <c r="E513" t="s">
        <v>468</v>
      </c>
      <c r="F513" t="s">
        <v>7362</v>
      </c>
      <c r="I513" t="s">
        <v>7261</v>
      </c>
      <c r="J513" t="s">
        <v>12014</v>
      </c>
      <c r="K513" t="s">
        <v>12526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470</v>
      </c>
      <c r="E514" t="s">
        <v>468</v>
      </c>
      <c r="F514" t="s">
        <v>58</v>
      </c>
      <c r="I514" t="s">
        <v>7263</v>
      </c>
      <c r="J514" t="s">
        <v>12014</v>
      </c>
      <c r="K514" t="s">
        <v>12527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470</v>
      </c>
      <c r="E515" t="s">
        <v>468</v>
      </c>
      <c r="F515" t="s">
        <v>7356</v>
      </c>
      <c r="I515" t="s">
        <v>7265</v>
      </c>
      <c r="J515" t="s">
        <v>12014</v>
      </c>
      <c r="K515" t="s">
        <v>12528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3388</v>
      </c>
      <c r="E516" t="s">
        <v>86</v>
      </c>
      <c r="F516" t="s">
        <v>465</v>
      </c>
      <c r="I516" t="s">
        <v>7267</v>
      </c>
      <c r="J516" t="s">
        <v>12014</v>
      </c>
      <c r="K516" t="s">
        <v>12529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3388</v>
      </c>
      <c r="E517" t="s">
        <v>86</v>
      </c>
      <c r="F517" t="s">
        <v>465</v>
      </c>
      <c r="H517" t="s">
        <v>2352</v>
      </c>
      <c r="I517" t="s">
        <v>7269</v>
      </c>
      <c r="J517" t="s">
        <v>12014</v>
      </c>
      <c r="K517" t="s">
        <v>12530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470</v>
      </c>
      <c r="E518" t="s">
        <v>468</v>
      </c>
      <c r="F518" t="s">
        <v>58</v>
      </c>
      <c r="I518" t="s">
        <v>7271</v>
      </c>
      <c r="J518" t="s">
        <v>12014</v>
      </c>
      <c r="K518" t="s">
        <v>12531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470</v>
      </c>
      <c r="E519" t="s">
        <v>468</v>
      </c>
      <c r="F519" t="s">
        <v>58</v>
      </c>
      <c r="I519" t="s">
        <v>7273</v>
      </c>
      <c r="J519" t="s">
        <v>12014</v>
      </c>
      <c r="K519" t="s">
        <v>12532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470</v>
      </c>
      <c r="E520" t="s">
        <v>468</v>
      </c>
      <c r="F520" t="s">
        <v>7363</v>
      </c>
      <c r="I520" t="s">
        <v>7275</v>
      </c>
      <c r="J520" t="s">
        <v>12014</v>
      </c>
      <c r="K520" t="s">
        <v>12533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470</v>
      </c>
      <c r="E521" t="s">
        <v>468</v>
      </c>
      <c r="F521" t="s">
        <v>7364</v>
      </c>
      <c r="I521" t="s">
        <v>7277</v>
      </c>
      <c r="J521" t="s">
        <v>12014</v>
      </c>
      <c r="K521" t="s">
        <v>12534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6436</v>
      </c>
      <c r="E522" t="s">
        <v>3358</v>
      </c>
      <c r="I522" t="s">
        <v>7430</v>
      </c>
      <c r="J522" t="s">
        <v>12014</v>
      </c>
      <c r="K522" t="s">
        <v>12535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470</v>
      </c>
      <c r="E523" t="s">
        <v>1274</v>
      </c>
      <c r="F523" t="s">
        <v>58</v>
      </c>
      <c r="I523" t="s">
        <v>7432</v>
      </c>
      <c r="J523" t="s">
        <v>12014</v>
      </c>
      <c r="K523" t="s">
        <v>12536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6436</v>
      </c>
      <c r="E524" t="s">
        <v>3358</v>
      </c>
      <c r="I524" t="s">
        <v>7434</v>
      </c>
      <c r="J524" t="s">
        <v>12014</v>
      </c>
      <c r="K524" t="s">
        <v>12537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7436</v>
      </c>
      <c r="J525" t="s">
        <v>12014</v>
      </c>
      <c r="K525" t="s">
        <v>12538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470</v>
      </c>
      <c r="E526" t="s">
        <v>1274</v>
      </c>
      <c r="F526" t="s">
        <v>58</v>
      </c>
      <c r="H526" t="s">
        <v>7607</v>
      </c>
      <c r="I526" t="s">
        <v>7584</v>
      </c>
      <c r="J526" t="s">
        <v>12014</v>
      </c>
      <c r="K526" t="s">
        <v>12539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470</v>
      </c>
      <c r="E527" t="s">
        <v>1274</v>
      </c>
      <c r="F527" t="s">
        <v>58</v>
      </c>
      <c r="H527" t="s">
        <v>7607</v>
      </c>
      <c r="I527" t="s">
        <v>7586</v>
      </c>
      <c r="J527" t="s">
        <v>12014</v>
      </c>
      <c r="K527" t="s">
        <v>12540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470</v>
      </c>
      <c r="E528" t="s">
        <v>1274</v>
      </c>
      <c r="F528" t="s">
        <v>58</v>
      </c>
      <c r="H528" t="s">
        <v>2365</v>
      </c>
      <c r="I528" t="s">
        <v>7588</v>
      </c>
      <c r="J528" t="s">
        <v>12014</v>
      </c>
      <c r="K528" t="s">
        <v>12541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1273</v>
      </c>
      <c r="E529" t="s">
        <v>7608</v>
      </c>
      <c r="I529" t="s">
        <v>7590</v>
      </c>
      <c r="J529" t="s">
        <v>12014</v>
      </c>
      <c r="K529" t="s">
        <v>12542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587</v>
      </c>
      <c r="E530" t="s">
        <v>7608</v>
      </c>
      <c r="I530" t="s">
        <v>7592</v>
      </c>
      <c r="J530" t="s">
        <v>12014</v>
      </c>
      <c r="K530" t="s">
        <v>12543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470</v>
      </c>
      <c r="E531" t="s">
        <v>1274</v>
      </c>
      <c r="F531" t="s">
        <v>58</v>
      </c>
      <c r="H531" t="s">
        <v>7607</v>
      </c>
      <c r="I531" t="s">
        <v>7594</v>
      </c>
      <c r="J531" t="s">
        <v>12014</v>
      </c>
      <c r="K531" t="s">
        <v>12544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1273</v>
      </c>
      <c r="E532" t="s">
        <v>7609</v>
      </c>
      <c r="I532" t="s">
        <v>7596</v>
      </c>
      <c r="J532" t="s">
        <v>12014</v>
      </c>
      <c r="K532" t="s">
        <v>12545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226</v>
      </c>
      <c r="E533" t="s">
        <v>7609</v>
      </c>
      <c r="F533" t="s">
        <v>2360</v>
      </c>
      <c r="I533" t="s">
        <v>7598</v>
      </c>
      <c r="J533" t="s">
        <v>12014</v>
      </c>
      <c r="K533" t="s">
        <v>12546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587</v>
      </c>
      <c r="E534" t="s">
        <v>7609</v>
      </c>
      <c r="F534" t="s">
        <v>2360</v>
      </c>
      <c r="I534" t="s">
        <v>7601</v>
      </c>
      <c r="J534" t="s">
        <v>12014</v>
      </c>
      <c r="K534" t="s">
        <v>12547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470</v>
      </c>
      <c r="E535" t="s">
        <v>1274</v>
      </c>
      <c r="F535" t="s">
        <v>58</v>
      </c>
      <c r="H535" t="s">
        <v>7607</v>
      </c>
      <c r="I535" t="s">
        <v>7603</v>
      </c>
      <c r="J535" t="s">
        <v>12014</v>
      </c>
      <c r="K535" t="s">
        <v>12548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7605</v>
      </c>
      <c r="J536" t="s">
        <v>12014</v>
      </c>
      <c r="K536" t="s">
        <v>12549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5310</v>
      </c>
      <c r="F537" t="s">
        <v>7464</v>
      </c>
      <c r="I537" t="s">
        <v>7716</v>
      </c>
      <c r="J537" t="s">
        <v>12014</v>
      </c>
      <c r="K537" t="s">
        <v>12550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5310</v>
      </c>
      <c r="F538" t="s">
        <v>7464</v>
      </c>
      <c r="I538" t="s">
        <v>7718</v>
      </c>
      <c r="J538" t="s">
        <v>12014</v>
      </c>
      <c r="K538" t="s">
        <v>12551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470</v>
      </c>
      <c r="E539" t="s">
        <v>1274</v>
      </c>
      <c r="F539" t="s">
        <v>58</v>
      </c>
      <c r="I539" t="s">
        <v>7720</v>
      </c>
      <c r="J539" t="s">
        <v>12014</v>
      </c>
      <c r="K539" t="s">
        <v>12552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1607</v>
      </c>
      <c r="E540" t="s">
        <v>8</v>
      </c>
      <c r="I540" t="s">
        <v>7845</v>
      </c>
      <c r="J540" t="s">
        <v>12014</v>
      </c>
      <c r="K540" t="s">
        <v>12553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470</v>
      </c>
      <c r="E541" t="s">
        <v>1274</v>
      </c>
      <c r="F541" t="s">
        <v>58</v>
      </c>
      <c r="I541" t="s">
        <v>7847</v>
      </c>
      <c r="J541" t="s">
        <v>12014</v>
      </c>
      <c r="K541" t="s">
        <v>12554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3388</v>
      </c>
      <c r="E542" t="s">
        <v>86</v>
      </c>
      <c r="F542" t="s">
        <v>7356</v>
      </c>
      <c r="I542" t="s">
        <v>7849</v>
      </c>
      <c r="J542" t="s">
        <v>12014</v>
      </c>
      <c r="K542" t="s">
        <v>12555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3388</v>
      </c>
      <c r="E543" t="s">
        <v>86</v>
      </c>
      <c r="F543" t="s">
        <v>7356</v>
      </c>
      <c r="I543" t="s">
        <v>7851</v>
      </c>
      <c r="J543" t="s">
        <v>12014</v>
      </c>
      <c r="K543" t="s">
        <v>12556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3388</v>
      </c>
      <c r="E544" t="s">
        <v>86</v>
      </c>
      <c r="F544" t="s">
        <v>7356</v>
      </c>
      <c r="I544" t="s">
        <v>7853</v>
      </c>
      <c r="J544" t="s">
        <v>12014</v>
      </c>
      <c r="K544" t="s">
        <v>12557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1273</v>
      </c>
      <c r="E545" t="s">
        <v>8099</v>
      </c>
      <c r="I545" t="s">
        <v>8023</v>
      </c>
      <c r="J545" t="s">
        <v>12014</v>
      </c>
      <c r="K545" t="s">
        <v>12558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587</v>
      </c>
      <c r="E546" t="s">
        <v>8099</v>
      </c>
      <c r="I546" t="s">
        <v>8025</v>
      </c>
      <c r="J546" t="s">
        <v>12014</v>
      </c>
      <c r="K546" t="s">
        <v>12559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8099</v>
      </c>
      <c r="I547" t="s">
        <v>8027</v>
      </c>
      <c r="J547" t="s">
        <v>12014</v>
      </c>
      <c r="K547" t="s">
        <v>12560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470</v>
      </c>
      <c r="E548" t="s">
        <v>1274</v>
      </c>
      <c r="F548" t="s">
        <v>58</v>
      </c>
      <c r="I548" t="s">
        <v>8029</v>
      </c>
      <c r="J548" t="s">
        <v>12014</v>
      </c>
      <c r="K548" t="s">
        <v>12561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8100</v>
      </c>
      <c r="E549" t="s">
        <v>8099</v>
      </c>
      <c r="I549" t="s">
        <v>8031</v>
      </c>
      <c r="J549" t="s">
        <v>12014</v>
      </c>
      <c r="K549" t="s">
        <v>12562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470</v>
      </c>
      <c r="E550" t="s">
        <v>1274</v>
      </c>
      <c r="F550" t="s">
        <v>58</v>
      </c>
      <c r="I550" t="s">
        <v>8033</v>
      </c>
      <c r="J550" t="s">
        <v>12014</v>
      </c>
      <c r="K550" t="s">
        <v>12563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3388</v>
      </c>
      <c r="E551" t="s">
        <v>86</v>
      </c>
      <c r="F551" t="s">
        <v>7356</v>
      </c>
      <c r="I551" t="s">
        <v>8035</v>
      </c>
      <c r="J551" t="s">
        <v>12014</v>
      </c>
      <c r="K551" t="s">
        <v>12564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3358</v>
      </c>
      <c r="I552" t="s">
        <v>8037</v>
      </c>
      <c r="J552" t="s">
        <v>12014</v>
      </c>
      <c r="K552" t="s">
        <v>12565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470</v>
      </c>
      <c r="E553" t="s">
        <v>1274</v>
      </c>
      <c r="F553" t="s">
        <v>58</v>
      </c>
      <c r="I553" t="s">
        <v>8039</v>
      </c>
      <c r="J553" t="s">
        <v>12014</v>
      </c>
      <c r="K553" t="s">
        <v>12566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8101</v>
      </c>
      <c r="E554" t="s">
        <v>3358</v>
      </c>
      <c r="I554" t="s">
        <v>8041</v>
      </c>
      <c r="J554" t="s">
        <v>12014</v>
      </c>
      <c r="K554" t="s">
        <v>12567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470</v>
      </c>
      <c r="E555" t="s">
        <v>1274</v>
      </c>
      <c r="F555" t="s">
        <v>58</v>
      </c>
      <c r="I555" t="s">
        <v>8043</v>
      </c>
      <c r="J555" t="s">
        <v>12014</v>
      </c>
      <c r="K555" t="s">
        <v>12568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3388</v>
      </c>
      <c r="E556" t="s">
        <v>86</v>
      </c>
      <c r="F556" t="s">
        <v>7356</v>
      </c>
      <c r="H556" t="s">
        <v>3401</v>
      </c>
      <c r="I556" t="s">
        <v>8045</v>
      </c>
      <c r="J556" t="s">
        <v>12014</v>
      </c>
      <c r="K556" t="s">
        <v>12569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3388</v>
      </c>
      <c r="E557" t="s">
        <v>86</v>
      </c>
      <c r="F557" t="s">
        <v>7356</v>
      </c>
      <c r="H557" t="s">
        <v>3401</v>
      </c>
      <c r="I557" t="s">
        <v>8047</v>
      </c>
      <c r="J557" t="s">
        <v>12014</v>
      </c>
      <c r="K557" t="s">
        <v>12570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470</v>
      </c>
      <c r="E558" t="s">
        <v>1274</v>
      </c>
      <c r="F558" t="s">
        <v>53</v>
      </c>
      <c r="I558" t="s">
        <v>8049</v>
      </c>
      <c r="J558" t="s">
        <v>12014</v>
      </c>
      <c r="K558" t="s">
        <v>12571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8371</v>
      </c>
      <c r="E559" t="s">
        <v>1274</v>
      </c>
      <c r="I559" t="s">
        <v>8325</v>
      </c>
      <c r="J559" t="s">
        <v>12014</v>
      </c>
      <c r="K559" t="s">
        <v>12572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226</v>
      </c>
      <c r="E560" t="s">
        <v>7609</v>
      </c>
      <c r="F560" t="s">
        <v>58</v>
      </c>
      <c r="H560" t="s">
        <v>8372</v>
      </c>
      <c r="I560" t="s">
        <v>8332</v>
      </c>
      <c r="J560" t="s">
        <v>12014</v>
      </c>
      <c r="K560" t="s">
        <v>12573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587</v>
      </c>
      <c r="E561" t="s">
        <v>7609</v>
      </c>
      <c r="F561" t="s">
        <v>58</v>
      </c>
      <c r="H561" t="s">
        <v>8373</v>
      </c>
      <c r="I561" t="s">
        <v>8335</v>
      </c>
      <c r="J561" t="s">
        <v>12014</v>
      </c>
      <c r="K561" t="s">
        <v>12574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8439</v>
      </c>
      <c r="I562" t="s">
        <v>8437</v>
      </c>
      <c r="J562" t="s">
        <v>12014</v>
      </c>
      <c r="K562" t="s">
        <v>12575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399</v>
      </c>
      <c r="I563" t="s">
        <v>8391</v>
      </c>
      <c r="J563" t="s">
        <v>12014</v>
      </c>
      <c r="K563" t="s">
        <v>12576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8528</v>
      </c>
      <c r="I564" t="s">
        <v>8496</v>
      </c>
      <c r="J564" t="s">
        <v>12014</v>
      </c>
      <c r="K564" t="s">
        <v>12577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8528</v>
      </c>
      <c r="I565" t="s">
        <v>8498</v>
      </c>
      <c r="J565" t="s">
        <v>12014</v>
      </c>
      <c r="K565" t="s">
        <v>12578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8528</v>
      </c>
      <c r="I566" t="s">
        <v>8500</v>
      </c>
      <c r="J566" t="s">
        <v>12014</v>
      </c>
      <c r="K566" t="s">
        <v>12579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8439</v>
      </c>
      <c r="I567" t="s">
        <v>8502</v>
      </c>
      <c r="J567" t="s">
        <v>12014</v>
      </c>
      <c r="K567" t="s">
        <v>12580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3388</v>
      </c>
      <c r="E568" t="s">
        <v>86</v>
      </c>
      <c r="F568" t="s">
        <v>7356</v>
      </c>
      <c r="I568" t="s">
        <v>8666</v>
      </c>
      <c r="J568" t="s">
        <v>12014</v>
      </c>
      <c r="K568" t="s">
        <v>12581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470</v>
      </c>
      <c r="E569" t="s">
        <v>1274</v>
      </c>
      <c r="F569" t="s">
        <v>2345</v>
      </c>
      <c r="I569" t="s">
        <v>8668</v>
      </c>
      <c r="J569" t="s">
        <v>12014</v>
      </c>
      <c r="K569" t="s">
        <v>12582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3388</v>
      </c>
      <c r="E570" t="s">
        <v>86</v>
      </c>
      <c r="F570" t="s">
        <v>7356</v>
      </c>
      <c r="I570" t="s">
        <v>8670</v>
      </c>
      <c r="J570" t="s">
        <v>12014</v>
      </c>
      <c r="K570" t="s">
        <v>12583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470</v>
      </c>
      <c r="E571" t="s">
        <v>1274</v>
      </c>
      <c r="F571" t="s">
        <v>2345</v>
      </c>
      <c r="H571" t="s">
        <v>5055</v>
      </c>
      <c r="I571" t="s">
        <v>8672</v>
      </c>
      <c r="J571" t="s">
        <v>12014</v>
      </c>
      <c r="K571" t="s">
        <v>12584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470</v>
      </c>
      <c r="E572" t="s">
        <v>1274</v>
      </c>
      <c r="F572" t="s">
        <v>2345</v>
      </c>
      <c r="I572" t="s">
        <v>8674</v>
      </c>
      <c r="J572" t="s">
        <v>12014</v>
      </c>
      <c r="K572" t="s">
        <v>12585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470</v>
      </c>
      <c r="E573" t="s">
        <v>1274</v>
      </c>
      <c r="F573" t="s">
        <v>2345</v>
      </c>
      <c r="I573" t="s">
        <v>8676</v>
      </c>
      <c r="J573" t="s">
        <v>12014</v>
      </c>
      <c r="K573" t="s">
        <v>12586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470</v>
      </c>
      <c r="E574" t="s">
        <v>1274</v>
      </c>
      <c r="F574" t="s">
        <v>2345</v>
      </c>
      <c r="I574" t="s">
        <v>8678</v>
      </c>
      <c r="J574" t="s">
        <v>12014</v>
      </c>
      <c r="K574" t="s">
        <v>12587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470</v>
      </c>
      <c r="E575" t="s">
        <v>1274</v>
      </c>
      <c r="F575" t="s">
        <v>2345</v>
      </c>
      <c r="I575" t="s">
        <v>8680</v>
      </c>
      <c r="J575" t="s">
        <v>12014</v>
      </c>
      <c r="K575" t="s">
        <v>12588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470</v>
      </c>
      <c r="E576" t="s">
        <v>1274</v>
      </c>
      <c r="F576" t="s">
        <v>2345</v>
      </c>
      <c r="I576" t="s">
        <v>8682</v>
      </c>
      <c r="J576" t="s">
        <v>12014</v>
      </c>
      <c r="K576" t="s">
        <v>12589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470</v>
      </c>
      <c r="E577" t="s">
        <v>1274</v>
      </c>
      <c r="F577" t="s">
        <v>2345</v>
      </c>
      <c r="I577" t="s">
        <v>8684</v>
      </c>
      <c r="J577" t="s">
        <v>12014</v>
      </c>
      <c r="K577" t="s">
        <v>12590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1273</v>
      </c>
      <c r="E578" t="s">
        <v>70</v>
      </c>
      <c r="I578" t="s">
        <v>8769</v>
      </c>
      <c r="J578" t="s">
        <v>12014</v>
      </c>
      <c r="K578" t="s">
        <v>12591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226</v>
      </c>
      <c r="E579" t="s">
        <v>70</v>
      </c>
      <c r="F579" t="s">
        <v>8811</v>
      </c>
      <c r="I579" t="s">
        <v>8771</v>
      </c>
      <c r="J579" t="s">
        <v>12014</v>
      </c>
      <c r="K579" t="s">
        <v>12592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226</v>
      </c>
      <c r="E580" t="s">
        <v>70</v>
      </c>
      <c r="F580" t="s">
        <v>8811</v>
      </c>
      <c r="H580" t="s">
        <v>2352</v>
      </c>
      <c r="I580" t="s">
        <v>8774</v>
      </c>
      <c r="J580" t="s">
        <v>12014</v>
      </c>
      <c r="K580" t="s">
        <v>12593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226</v>
      </c>
      <c r="E581" t="s">
        <v>70</v>
      </c>
      <c r="F581" t="s">
        <v>8811</v>
      </c>
      <c r="H581" t="s">
        <v>2352</v>
      </c>
      <c r="I581" t="s">
        <v>8777</v>
      </c>
      <c r="J581" t="s">
        <v>12014</v>
      </c>
      <c r="K581" t="s">
        <v>12594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226</v>
      </c>
      <c r="E582" t="s">
        <v>70</v>
      </c>
      <c r="F582" t="s">
        <v>8811</v>
      </c>
      <c r="H582" t="s">
        <v>2352</v>
      </c>
      <c r="I582" t="s">
        <v>8780</v>
      </c>
      <c r="J582" t="s">
        <v>12014</v>
      </c>
      <c r="K582" t="s">
        <v>12595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587</v>
      </c>
      <c r="E583" t="s">
        <v>70</v>
      </c>
      <c r="I583" t="s">
        <v>8783</v>
      </c>
      <c r="J583" t="s">
        <v>12014</v>
      </c>
      <c r="K583" t="s">
        <v>12596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3388</v>
      </c>
      <c r="E584" t="s">
        <v>86</v>
      </c>
      <c r="F584" t="s">
        <v>7356</v>
      </c>
      <c r="I584" t="s">
        <v>8785</v>
      </c>
      <c r="J584" t="s">
        <v>12014</v>
      </c>
      <c r="K584" t="s">
        <v>12597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8099</v>
      </c>
      <c r="I585" t="s">
        <v>8787</v>
      </c>
      <c r="J585" t="s">
        <v>12014</v>
      </c>
      <c r="K585" t="s">
        <v>12598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1273</v>
      </c>
      <c r="E586" t="s">
        <v>8099</v>
      </c>
      <c r="I586" t="s">
        <v>8789</v>
      </c>
      <c r="J586" t="s">
        <v>12014</v>
      </c>
      <c r="K586" t="s">
        <v>12599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8812</v>
      </c>
      <c r="I587" t="s">
        <v>8791</v>
      </c>
      <c r="J587" t="s">
        <v>12014</v>
      </c>
      <c r="K587" t="s">
        <v>12600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587</v>
      </c>
      <c r="E588" t="s">
        <v>8099</v>
      </c>
      <c r="I588" t="s">
        <v>8793</v>
      </c>
      <c r="J588" t="s">
        <v>12014</v>
      </c>
      <c r="K588" t="s">
        <v>12601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226</v>
      </c>
      <c r="E589" t="s">
        <v>8912</v>
      </c>
      <c r="F589" t="s">
        <v>5695</v>
      </c>
      <c r="G589">
        <v>1</v>
      </c>
      <c r="I589" t="s">
        <v>8867</v>
      </c>
      <c r="J589" t="s">
        <v>12014</v>
      </c>
      <c r="K589" t="s">
        <v>12602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226</v>
      </c>
      <c r="E590" t="s">
        <v>8912</v>
      </c>
      <c r="F590" t="s">
        <v>5695</v>
      </c>
      <c r="G590">
        <v>1</v>
      </c>
      <c r="I590" t="s">
        <v>8870</v>
      </c>
      <c r="J590" t="s">
        <v>12014</v>
      </c>
      <c r="K590" t="s">
        <v>12603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226</v>
      </c>
      <c r="E591" t="s">
        <v>8912</v>
      </c>
      <c r="F591" t="s">
        <v>5695</v>
      </c>
      <c r="G591">
        <v>1</v>
      </c>
      <c r="I591" t="s">
        <v>8873</v>
      </c>
      <c r="J591" t="s">
        <v>12014</v>
      </c>
      <c r="K591" t="s">
        <v>12604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226</v>
      </c>
      <c r="E592" t="s">
        <v>8912</v>
      </c>
      <c r="F592" t="s">
        <v>5695</v>
      </c>
      <c r="G592">
        <v>1</v>
      </c>
      <c r="I592" t="s">
        <v>8876</v>
      </c>
      <c r="J592" t="s">
        <v>12014</v>
      </c>
      <c r="K592" t="s">
        <v>12605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226</v>
      </c>
      <c r="E593" t="s">
        <v>8912</v>
      </c>
      <c r="F593" t="s">
        <v>5695</v>
      </c>
      <c r="G593">
        <v>1</v>
      </c>
      <c r="I593" t="s">
        <v>8879</v>
      </c>
      <c r="J593" t="s">
        <v>12014</v>
      </c>
      <c r="K593" t="s">
        <v>12606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226</v>
      </c>
      <c r="E594" t="s">
        <v>8912</v>
      </c>
      <c r="F594" t="s">
        <v>5695</v>
      </c>
      <c r="G594">
        <v>1</v>
      </c>
      <c r="I594" t="s">
        <v>8882</v>
      </c>
      <c r="J594" t="s">
        <v>12014</v>
      </c>
      <c r="K594" t="s">
        <v>12607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226</v>
      </c>
      <c r="E595" t="s">
        <v>8912</v>
      </c>
      <c r="F595" t="s">
        <v>5695</v>
      </c>
      <c r="G595">
        <v>1</v>
      </c>
      <c r="I595" t="s">
        <v>8885</v>
      </c>
      <c r="J595" t="s">
        <v>12014</v>
      </c>
      <c r="K595" t="s">
        <v>12608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226</v>
      </c>
      <c r="E596" t="s">
        <v>8912</v>
      </c>
      <c r="F596" t="s">
        <v>5695</v>
      </c>
      <c r="G596">
        <v>1</v>
      </c>
      <c r="I596" t="s">
        <v>8888</v>
      </c>
      <c r="J596" t="s">
        <v>12014</v>
      </c>
      <c r="K596" t="s">
        <v>12609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226</v>
      </c>
      <c r="E597" t="s">
        <v>8912</v>
      </c>
      <c r="F597" t="s">
        <v>5695</v>
      </c>
      <c r="G597">
        <v>1</v>
      </c>
      <c r="I597" t="s">
        <v>8891</v>
      </c>
      <c r="J597" t="s">
        <v>12014</v>
      </c>
      <c r="K597" t="s">
        <v>12610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226</v>
      </c>
      <c r="E598" t="s">
        <v>8912</v>
      </c>
      <c r="F598" t="s">
        <v>5695</v>
      </c>
      <c r="G598">
        <v>1</v>
      </c>
      <c r="I598" t="s">
        <v>8894</v>
      </c>
      <c r="J598" t="s">
        <v>12014</v>
      </c>
      <c r="K598" t="s">
        <v>12611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226</v>
      </c>
      <c r="E599" t="s">
        <v>8912</v>
      </c>
      <c r="F599" t="s">
        <v>5695</v>
      </c>
      <c r="G599">
        <v>1</v>
      </c>
      <c r="I599" t="s">
        <v>8897</v>
      </c>
      <c r="J599" t="s">
        <v>12014</v>
      </c>
      <c r="K599" t="s">
        <v>12612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587</v>
      </c>
      <c r="E600" t="s">
        <v>8912</v>
      </c>
      <c r="I600" t="s">
        <v>8900</v>
      </c>
      <c r="J600" t="s">
        <v>12014</v>
      </c>
      <c r="K600" t="s">
        <v>12613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470</v>
      </c>
      <c r="E601" t="s">
        <v>1274</v>
      </c>
      <c r="F601" t="s">
        <v>2345</v>
      </c>
      <c r="I601" t="s">
        <v>8902</v>
      </c>
      <c r="J601" t="s">
        <v>12014</v>
      </c>
      <c r="K601" t="s">
        <v>12614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470</v>
      </c>
      <c r="E602" t="s">
        <v>1274</v>
      </c>
      <c r="F602" t="s">
        <v>2345</v>
      </c>
      <c r="I602" t="s">
        <v>8904</v>
      </c>
      <c r="J602" t="s">
        <v>12014</v>
      </c>
      <c r="K602" t="s">
        <v>12615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470</v>
      </c>
      <c r="E603" t="s">
        <v>1274</v>
      </c>
      <c r="F603" t="s">
        <v>2345</v>
      </c>
      <c r="I603" t="s">
        <v>9012</v>
      </c>
      <c r="J603" t="s">
        <v>12014</v>
      </c>
      <c r="K603" t="s">
        <v>12616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9137</v>
      </c>
      <c r="E604" t="s">
        <v>86</v>
      </c>
      <c r="I604" t="s">
        <v>9014</v>
      </c>
      <c r="J604" t="s">
        <v>12014</v>
      </c>
      <c r="K604" t="s">
        <v>12617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9138</v>
      </c>
      <c r="E605" t="s">
        <v>86</v>
      </c>
      <c r="I605" t="s">
        <v>9016</v>
      </c>
      <c r="J605" t="s">
        <v>12014</v>
      </c>
      <c r="K605" t="s">
        <v>12618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470</v>
      </c>
      <c r="E606" t="s">
        <v>1274</v>
      </c>
      <c r="F606" t="s">
        <v>2345</v>
      </c>
      <c r="I606" t="s">
        <v>9018</v>
      </c>
      <c r="J606" t="s">
        <v>12014</v>
      </c>
      <c r="K606" t="s">
        <v>12619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470</v>
      </c>
      <c r="E607" t="s">
        <v>468</v>
      </c>
      <c r="F607" t="s">
        <v>7356</v>
      </c>
      <c r="I607" t="s">
        <v>9020</v>
      </c>
      <c r="J607" t="s">
        <v>12014</v>
      </c>
      <c r="K607" t="s">
        <v>12620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1273</v>
      </c>
      <c r="E608" t="s">
        <v>8099</v>
      </c>
      <c r="I608" t="s">
        <v>9022</v>
      </c>
      <c r="J608" t="s">
        <v>12014</v>
      </c>
      <c r="K608" t="s">
        <v>12621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9139</v>
      </c>
      <c r="E609" t="s">
        <v>8099</v>
      </c>
      <c r="I609" t="s">
        <v>9024</v>
      </c>
      <c r="J609" t="s">
        <v>12014</v>
      </c>
      <c r="K609" t="s">
        <v>12622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9140</v>
      </c>
      <c r="E610" t="s">
        <v>86</v>
      </c>
      <c r="I610" t="s">
        <v>9026</v>
      </c>
      <c r="J610" t="s">
        <v>12014</v>
      </c>
      <c r="K610" t="s">
        <v>12623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470</v>
      </c>
      <c r="E611" t="s">
        <v>1274</v>
      </c>
      <c r="F611" t="s">
        <v>2345</v>
      </c>
      <c r="I611" t="s">
        <v>9028</v>
      </c>
      <c r="J611" t="s">
        <v>12014</v>
      </c>
      <c r="K611" t="s">
        <v>12624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587</v>
      </c>
      <c r="E612" t="s">
        <v>8099</v>
      </c>
      <c r="I612" t="s">
        <v>9030</v>
      </c>
      <c r="J612" t="s">
        <v>12014</v>
      </c>
      <c r="K612" t="s">
        <v>12625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3388</v>
      </c>
      <c r="E613" t="s">
        <v>86</v>
      </c>
      <c r="F613" t="s">
        <v>9319</v>
      </c>
      <c r="I613" t="s">
        <v>9207</v>
      </c>
      <c r="J613" t="s">
        <v>12014</v>
      </c>
      <c r="K613" t="s">
        <v>12626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9320</v>
      </c>
      <c r="I614" t="s">
        <v>9209</v>
      </c>
      <c r="J614" t="s">
        <v>12014</v>
      </c>
      <c r="K614" t="s">
        <v>12627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9321</v>
      </c>
      <c r="E615" t="s">
        <v>1274</v>
      </c>
      <c r="I615" t="s">
        <v>9211</v>
      </c>
      <c r="J615" t="s">
        <v>12014</v>
      </c>
      <c r="K615" t="s">
        <v>12628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9322</v>
      </c>
      <c r="E616" t="s">
        <v>1274</v>
      </c>
      <c r="I616" t="s">
        <v>9213</v>
      </c>
      <c r="J616" t="s">
        <v>12014</v>
      </c>
      <c r="K616" t="s">
        <v>12629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9323</v>
      </c>
      <c r="E617" t="s">
        <v>1274</v>
      </c>
      <c r="I617" t="s">
        <v>9215</v>
      </c>
      <c r="J617" t="s">
        <v>12014</v>
      </c>
      <c r="K617" t="s">
        <v>12630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9323</v>
      </c>
      <c r="E618" t="s">
        <v>1274</v>
      </c>
      <c r="I618" t="s">
        <v>9217</v>
      </c>
      <c r="J618" t="s">
        <v>12014</v>
      </c>
      <c r="K618" t="s">
        <v>12631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9323</v>
      </c>
      <c r="E619" t="s">
        <v>1274</v>
      </c>
      <c r="I619" t="s">
        <v>9219</v>
      </c>
      <c r="J619" t="s">
        <v>12014</v>
      </c>
      <c r="K619" t="s">
        <v>12632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1607</v>
      </c>
      <c r="E620" t="s">
        <v>8</v>
      </c>
      <c r="I620" t="s">
        <v>9384</v>
      </c>
      <c r="J620" t="s">
        <v>12014</v>
      </c>
      <c r="K620" t="s">
        <v>12633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470</v>
      </c>
      <c r="E621" t="s">
        <v>1274</v>
      </c>
      <c r="F621" t="s">
        <v>58</v>
      </c>
      <c r="I621" t="s">
        <v>9386</v>
      </c>
      <c r="J621" t="s">
        <v>12014</v>
      </c>
      <c r="K621" t="s">
        <v>12634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470</v>
      </c>
      <c r="E622" t="s">
        <v>1274</v>
      </c>
      <c r="F622" t="s">
        <v>58</v>
      </c>
      <c r="I622" t="s">
        <v>9388</v>
      </c>
      <c r="J622" t="s">
        <v>12014</v>
      </c>
      <c r="K622" t="s">
        <v>12635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9137</v>
      </c>
      <c r="E623" t="s">
        <v>86</v>
      </c>
      <c r="I623" t="s">
        <v>10801</v>
      </c>
      <c r="J623" t="s">
        <v>12014</v>
      </c>
      <c r="K623" t="s">
        <v>12636</v>
      </c>
      <c r="L623" t="s">
        <v>10802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10803</v>
      </c>
      <c r="J624" t="s">
        <v>12014</v>
      </c>
      <c r="K624" t="s">
        <v>12637</v>
      </c>
      <c r="L624" t="s">
        <v>10804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10805</v>
      </c>
      <c r="J625" t="s">
        <v>12014</v>
      </c>
      <c r="K625" t="s">
        <v>12638</v>
      </c>
      <c r="L625" t="s">
        <v>10806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1273</v>
      </c>
      <c r="E626" t="s">
        <v>11075</v>
      </c>
      <c r="I626" t="s">
        <v>10807</v>
      </c>
      <c r="J626" t="s">
        <v>12014</v>
      </c>
      <c r="K626" t="s">
        <v>12639</v>
      </c>
      <c r="L626" t="s">
        <v>10808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226</v>
      </c>
      <c r="E627" t="s">
        <v>11075</v>
      </c>
      <c r="F627" t="s">
        <v>58</v>
      </c>
      <c r="G627">
        <v>1</v>
      </c>
      <c r="I627" t="s">
        <v>10809</v>
      </c>
      <c r="J627" t="s">
        <v>12014</v>
      </c>
      <c r="K627" t="s">
        <v>12640</v>
      </c>
      <c r="L627" t="s">
        <v>10811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226</v>
      </c>
      <c r="E628" t="s">
        <v>11075</v>
      </c>
      <c r="F628" t="s">
        <v>58</v>
      </c>
      <c r="G628">
        <v>2</v>
      </c>
      <c r="I628" t="s">
        <v>10812</v>
      </c>
      <c r="J628" t="s">
        <v>12014</v>
      </c>
      <c r="K628" t="s">
        <v>12641</v>
      </c>
      <c r="L628" t="s">
        <v>10814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587</v>
      </c>
      <c r="E629" t="s">
        <v>11075</v>
      </c>
      <c r="I629" t="s">
        <v>10815</v>
      </c>
      <c r="J629" t="s">
        <v>12014</v>
      </c>
      <c r="K629" t="s">
        <v>12642</v>
      </c>
      <c r="L629" t="s">
        <v>10816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7354</v>
      </c>
      <c r="E630" t="s">
        <v>468</v>
      </c>
      <c r="I630" t="s">
        <v>10817</v>
      </c>
      <c r="J630" t="s">
        <v>12014</v>
      </c>
      <c r="K630" t="s">
        <v>12643</v>
      </c>
      <c r="L630" t="s">
        <v>10818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7354</v>
      </c>
      <c r="E631" t="s">
        <v>468</v>
      </c>
      <c r="I631" t="s">
        <v>10819</v>
      </c>
      <c r="J631" t="s">
        <v>12014</v>
      </c>
      <c r="K631" t="s">
        <v>12644</v>
      </c>
      <c r="L631" t="s">
        <v>10820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7354</v>
      </c>
      <c r="E632" t="s">
        <v>468</v>
      </c>
      <c r="I632" t="s">
        <v>10821</v>
      </c>
      <c r="J632" t="s">
        <v>12014</v>
      </c>
      <c r="K632" t="s">
        <v>12645</v>
      </c>
      <c r="L632" t="s">
        <v>10822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10823</v>
      </c>
      <c r="J633" t="s">
        <v>12014</v>
      </c>
      <c r="K633" t="s">
        <v>12646</v>
      </c>
      <c r="L633" t="s">
        <v>10824</v>
      </c>
      <c r="M633" s="2" t="str">
        <f>HYPERLINK(склад2въезд131920212223[[#This Row],[RelativePath]])</f>
        <v>10 Въезд ангар\GA3948333_6_20260225T185714Z.jpg</v>
      </c>
    </row>
  </sheetData>
  <conditionalFormatting sqref="D634:D644 E634:E647 G2:H633 D2:E633">
    <cfRule type="containsText" dxfId="866" priority="14" operator="containsText" text="Выезд с территории">
      <formula>NOT(ISERROR(SEARCH("Выезд с территории",D2)))</formula>
    </cfRule>
  </conditionalFormatting>
  <conditionalFormatting sqref="F2:F633">
    <cfRule type="notContainsText" dxfId="865" priority="13" operator="notContains" text="порожний">
      <formula>ISERROR(SEARCH("порожний",F2))</formula>
    </cfRule>
  </conditionalFormatting>
  <conditionalFormatting sqref="E2:E647">
    <cfRule type="containsText" dxfId="864" priority="11" operator="containsText" text="Газель базы">
      <formula>NOT(ISERROR(SEARCH("Газель базы",E2)))</formula>
    </cfRule>
    <cfRule type="containsText" dxfId="863" priority="12" operator="containsText" text="Погрузчик базы">
      <formula>NOT(ISERROR(SEARCH("Погрузчик базы",E2)))</formula>
    </cfRule>
  </conditionalFormatting>
  <conditionalFormatting sqref="E2:E647">
    <cfRule type="containsText" dxfId="862" priority="10" operator="containsText" text="Трактор базы">
      <formula>NOT(ISERROR(SEARCH("Трактор базы",E2)))</formula>
    </cfRule>
  </conditionalFormatting>
  <conditionalFormatting sqref="A2:C633">
    <cfRule type="expression" dxfId="861" priority="9">
      <formula>$A2="пн"</formula>
    </cfRule>
  </conditionalFormatting>
  <conditionalFormatting sqref="A2:C635">
    <cfRule type="expression" dxfId="860" priority="3">
      <formula>$A2="вс"</formula>
    </cfRule>
    <cfRule type="expression" dxfId="859" priority="4">
      <formula>$A2="сб"</formula>
    </cfRule>
    <cfRule type="expression" dxfId="858" priority="5">
      <formula>$A2="пт"</formula>
    </cfRule>
    <cfRule type="expression" dxfId="857" priority="6">
      <formula>$A2="чт"</formula>
    </cfRule>
    <cfRule type="expression" dxfId="856" priority="7">
      <formula>$A2="ср"</formula>
    </cfRule>
    <cfRule type="expression" dxfId="855" priority="8">
      <formula>$A2="вт"</formula>
    </cfRule>
  </conditionalFormatting>
  <conditionalFormatting sqref="D2:D644">
    <cfRule type="containsText" dxfId="8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4">
    <cfRule type="containsText" dxfId="8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310"/>
  <sheetViews>
    <sheetView zoomScale="90" zoomScaleNormal="90" workbookViewId="0">
      <pane ySplit="1" topLeftCell="A302" activePane="bottomLeft" state="frozen"/>
      <selection pane="bottomLeft" activeCell="E322" sqref="E322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1294</v>
      </c>
      <c r="J2" t="s">
        <v>11704</v>
      </c>
      <c r="K2" t="s">
        <v>11705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1297</v>
      </c>
      <c r="J3" t="s">
        <v>11704</v>
      </c>
      <c r="K3" t="s">
        <v>11706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1422</v>
      </c>
      <c r="E4" t="s">
        <v>86</v>
      </c>
      <c r="F4" t="s">
        <v>60</v>
      </c>
      <c r="H4" t="s">
        <v>1421</v>
      </c>
      <c r="I4" t="s">
        <v>1299</v>
      </c>
      <c r="J4" t="s">
        <v>11704</v>
      </c>
      <c r="K4" t="s">
        <v>11707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1301</v>
      </c>
      <c r="J5" t="s">
        <v>11704</v>
      </c>
      <c r="K5" t="s">
        <v>11708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1422</v>
      </c>
      <c r="E6" t="s">
        <v>86</v>
      </c>
      <c r="F6" t="s">
        <v>60</v>
      </c>
      <c r="I6" t="s">
        <v>1303</v>
      </c>
      <c r="J6" t="s">
        <v>11704</v>
      </c>
      <c r="K6" t="s">
        <v>11709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1422</v>
      </c>
      <c r="E7" t="s">
        <v>86</v>
      </c>
      <c r="F7" t="s">
        <v>60</v>
      </c>
      <c r="H7" t="s">
        <v>1421</v>
      </c>
      <c r="I7" t="s">
        <v>1305</v>
      </c>
      <c r="J7" t="s">
        <v>11704</v>
      </c>
      <c r="K7" t="s">
        <v>11710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1422</v>
      </c>
      <c r="E8" t="s">
        <v>86</v>
      </c>
      <c r="F8" t="s">
        <v>60</v>
      </c>
      <c r="I8" t="s">
        <v>1307</v>
      </c>
      <c r="J8" t="s">
        <v>11704</v>
      </c>
      <c r="K8" t="s">
        <v>11711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1422</v>
      </c>
      <c r="E9" t="s">
        <v>86</v>
      </c>
      <c r="F9" t="s">
        <v>60</v>
      </c>
      <c r="H9" t="s">
        <v>1421</v>
      </c>
      <c r="I9" t="s">
        <v>1309</v>
      </c>
      <c r="J9" t="s">
        <v>11704</v>
      </c>
      <c r="K9" t="s">
        <v>11712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1311</v>
      </c>
      <c r="J10" t="s">
        <v>11704</v>
      </c>
      <c r="K10" t="s">
        <v>11713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1422</v>
      </c>
      <c r="E11" t="s">
        <v>86</v>
      </c>
      <c r="F11" t="s">
        <v>60</v>
      </c>
      <c r="I11" t="s">
        <v>1313</v>
      </c>
      <c r="J11" t="s">
        <v>11704</v>
      </c>
      <c r="K11" t="s">
        <v>11714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1422</v>
      </c>
      <c r="E12" t="s">
        <v>86</v>
      </c>
      <c r="F12" t="s">
        <v>60</v>
      </c>
      <c r="H12" t="s">
        <v>1421</v>
      </c>
      <c r="I12" t="s">
        <v>1315</v>
      </c>
      <c r="J12" t="s">
        <v>11704</v>
      </c>
      <c r="K12" t="s">
        <v>11715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1317</v>
      </c>
      <c r="J13" t="s">
        <v>11704</v>
      </c>
      <c r="K13" t="s">
        <v>11716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1422</v>
      </c>
      <c r="E14" t="s">
        <v>86</v>
      </c>
      <c r="F14" t="s">
        <v>60</v>
      </c>
      <c r="H14" t="s">
        <v>1421</v>
      </c>
      <c r="I14" t="s">
        <v>1319</v>
      </c>
      <c r="J14" t="s">
        <v>11704</v>
      </c>
      <c r="K14" t="s">
        <v>11717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1321</v>
      </c>
      <c r="J15" t="s">
        <v>11704</v>
      </c>
      <c r="K15" t="s">
        <v>11718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1422</v>
      </c>
      <c r="E16" t="s">
        <v>86</v>
      </c>
      <c r="F16" t="s">
        <v>60</v>
      </c>
      <c r="H16" t="s">
        <v>1421</v>
      </c>
      <c r="I16" t="s">
        <v>1323</v>
      </c>
      <c r="J16" t="s">
        <v>11704</v>
      </c>
      <c r="K16" t="s">
        <v>11719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1421</v>
      </c>
      <c r="I17" t="s">
        <v>1325</v>
      </c>
      <c r="J17" t="s">
        <v>11704</v>
      </c>
      <c r="K17" t="s">
        <v>11720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1273</v>
      </c>
      <c r="E18" t="s">
        <v>55</v>
      </c>
      <c r="F18" t="s">
        <v>58</v>
      </c>
      <c r="I18" t="s">
        <v>1327</v>
      </c>
      <c r="J18" t="s">
        <v>11704</v>
      </c>
      <c r="K18" t="s">
        <v>11721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227</v>
      </c>
      <c r="E19" t="s">
        <v>55</v>
      </c>
      <c r="F19" t="s">
        <v>58</v>
      </c>
      <c r="I19" t="s">
        <v>1329</v>
      </c>
      <c r="J19" t="s">
        <v>11704</v>
      </c>
      <c r="K19" t="s">
        <v>11722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1423</v>
      </c>
      <c r="E20" t="s">
        <v>55</v>
      </c>
      <c r="F20" t="s">
        <v>58</v>
      </c>
      <c r="I20" t="s">
        <v>1331</v>
      </c>
      <c r="J20" t="s">
        <v>11704</v>
      </c>
      <c r="K20" t="s">
        <v>11723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1423</v>
      </c>
      <c r="E21" t="s">
        <v>55</v>
      </c>
      <c r="F21" t="s">
        <v>58</v>
      </c>
      <c r="I21" t="s">
        <v>1333</v>
      </c>
      <c r="J21" t="s">
        <v>11704</v>
      </c>
      <c r="K21" t="s">
        <v>11724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1423</v>
      </c>
      <c r="E22" t="s">
        <v>55</v>
      </c>
      <c r="F22" t="s">
        <v>58</v>
      </c>
      <c r="I22" t="s">
        <v>1335</v>
      </c>
      <c r="J22" t="s">
        <v>11704</v>
      </c>
      <c r="K22" t="s">
        <v>11725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1423</v>
      </c>
      <c r="E23" t="s">
        <v>55</v>
      </c>
      <c r="F23" t="s">
        <v>58</v>
      </c>
      <c r="I23" t="s">
        <v>1337</v>
      </c>
      <c r="J23" t="s">
        <v>11704</v>
      </c>
      <c r="K23" t="s">
        <v>11726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1424</v>
      </c>
      <c r="E24" t="s">
        <v>55</v>
      </c>
      <c r="I24" t="s">
        <v>1339</v>
      </c>
      <c r="J24" t="s">
        <v>11704</v>
      </c>
      <c r="K24" t="s">
        <v>11727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227</v>
      </c>
      <c r="E25" t="s">
        <v>55</v>
      </c>
      <c r="F25" t="s">
        <v>58</v>
      </c>
      <c r="I25" t="s">
        <v>1341</v>
      </c>
      <c r="J25" t="s">
        <v>11704</v>
      </c>
      <c r="K25" t="s">
        <v>11728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1423</v>
      </c>
      <c r="E26" t="s">
        <v>55</v>
      </c>
      <c r="F26" t="s">
        <v>58</v>
      </c>
      <c r="I26" t="s">
        <v>1343</v>
      </c>
      <c r="J26" t="s">
        <v>11704</v>
      </c>
      <c r="K26" t="s">
        <v>11729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1423</v>
      </c>
      <c r="E27" t="s">
        <v>55</v>
      </c>
      <c r="F27" t="s">
        <v>58</v>
      </c>
      <c r="I27" t="s">
        <v>1345</v>
      </c>
      <c r="J27" t="s">
        <v>11704</v>
      </c>
      <c r="K27" t="s">
        <v>11730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1292</v>
      </c>
      <c r="I28" t="s">
        <v>1347</v>
      </c>
      <c r="J28" t="s">
        <v>11704</v>
      </c>
      <c r="K28" t="s">
        <v>11731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1349</v>
      </c>
      <c r="J29" t="s">
        <v>11704</v>
      </c>
      <c r="K29" t="s">
        <v>11732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890</v>
      </c>
      <c r="I30" t="s">
        <v>1351</v>
      </c>
      <c r="J30" t="s">
        <v>11704</v>
      </c>
      <c r="K30" t="s">
        <v>11733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1422</v>
      </c>
      <c r="E31" t="s">
        <v>86</v>
      </c>
      <c r="F31" t="s">
        <v>890</v>
      </c>
      <c r="H31" t="s">
        <v>1421</v>
      </c>
      <c r="I31" t="s">
        <v>1353</v>
      </c>
      <c r="J31" t="s">
        <v>11704</v>
      </c>
      <c r="K31" t="s">
        <v>11734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1355</v>
      </c>
      <c r="J32" t="s">
        <v>11704</v>
      </c>
      <c r="K32" t="s">
        <v>11735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1282</v>
      </c>
      <c r="E33" t="s">
        <v>86</v>
      </c>
      <c r="F33" t="s">
        <v>60</v>
      </c>
      <c r="I33" t="s">
        <v>1357</v>
      </c>
      <c r="J33" t="s">
        <v>11704</v>
      </c>
      <c r="K33" t="s">
        <v>11736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1282</v>
      </c>
      <c r="E34" t="s">
        <v>86</v>
      </c>
      <c r="F34" t="s">
        <v>60</v>
      </c>
      <c r="I34" t="s">
        <v>1359</v>
      </c>
      <c r="J34" t="s">
        <v>11704</v>
      </c>
      <c r="K34" t="s">
        <v>11737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1282</v>
      </c>
      <c r="E35" t="s">
        <v>86</v>
      </c>
      <c r="F35" t="s">
        <v>60</v>
      </c>
      <c r="I35" t="s">
        <v>1361</v>
      </c>
      <c r="J35" t="s">
        <v>11704</v>
      </c>
      <c r="K35" t="s">
        <v>11738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1282</v>
      </c>
      <c r="E36" t="s">
        <v>86</v>
      </c>
      <c r="F36" t="s">
        <v>60</v>
      </c>
      <c r="I36" t="s">
        <v>1363</v>
      </c>
      <c r="J36" t="s">
        <v>11704</v>
      </c>
      <c r="K36" t="s">
        <v>11739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1282</v>
      </c>
      <c r="E37" t="s">
        <v>86</v>
      </c>
      <c r="F37" t="s">
        <v>60</v>
      </c>
      <c r="I37" t="s">
        <v>1365</v>
      </c>
      <c r="J37" t="s">
        <v>11704</v>
      </c>
      <c r="K37" t="s">
        <v>11740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1367</v>
      </c>
      <c r="J38" t="s">
        <v>11704</v>
      </c>
      <c r="K38" t="s">
        <v>11741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1292</v>
      </c>
      <c r="I39" t="s">
        <v>1369</v>
      </c>
      <c r="J39" t="s">
        <v>11704</v>
      </c>
      <c r="K39" t="s">
        <v>11742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1371</v>
      </c>
      <c r="J40" t="s">
        <v>11704</v>
      </c>
      <c r="K40" t="s">
        <v>11743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226</v>
      </c>
      <c r="E41" t="s">
        <v>86</v>
      </c>
      <c r="F41" t="s">
        <v>60</v>
      </c>
      <c r="H41" t="s">
        <v>1425</v>
      </c>
      <c r="I41" t="s">
        <v>1373</v>
      </c>
      <c r="J41" t="s">
        <v>11704</v>
      </c>
      <c r="K41" t="s">
        <v>11744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1273</v>
      </c>
      <c r="E42" t="s">
        <v>66</v>
      </c>
      <c r="F42" t="s">
        <v>69</v>
      </c>
      <c r="I42" t="s">
        <v>1375</v>
      </c>
      <c r="J42" t="s">
        <v>11704</v>
      </c>
      <c r="K42" t="s">
        <v>11745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227</v>
      </c>
      <c r="E43" t="s">
        <v>66</v>
      </c>
      <c r="F43" t="s">
        <v>69</v>
      </c>
      <c r="I43" t="s">
        <v>1377</v>
      </c>
      <c r="J43" t="s">
        <v>11704</v>
      </c>
      <c r="K43" t="s">
        <v>11746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587</v>
      </c>
      <c r="E44" t="s">
        <v>66</v>
      </c>
      <c r="F44" t="s">
        <v>51</v>
      </c>
      <c r="I44" t="s">
        <v>1379</v>
      </c>
      <c r="J44" t="s">
        <v>11704</v>
      </c>
      <c r="K44" t="s">
        <v>11747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1292</v>
      </c>
      <c r="I45" t="s">
        <v>1381</v>
      </c>
      <c r="J45" t="s">
        <v>11704</v>
      </c>
      <c r="K45" t="s">
        <v>11748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1383</v>
      </c>
      <c r="J46" t="s">
        <v>11704</v>
      </c>
      <c r="K46" t="s">
        <v>11749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1426</v>
      </c>
      <c r="I47" t="s">
        <v>1385</v>
      </c>
      <c r="J47" t="s">
        <v>11704</v>
      </c>
      <c r="K47" t="s">
        <v>11750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1427</v>
      </c>
      <c r="I48" t="s">
        <v>1387</v>
      </c>
      <c r="J48" t="s">
        <v>11704</v>
      </c>
      <c r="K48" t="s">
        <v>11751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465</v>
      </c>
      <c r="I49" t="s">
        <v>1389</v>
      </c>
      <c r="J49" t="s">
        <v>11704</v>
      </c>
      <c r="K49" t="s">
        <v>11752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1292</v>
      </c>
      <c r="I50" t="s">
        <v>1391</v>
      </c>
      <c r="J50" t="s">
        <v>11704</v>
      </c>
      <c r="K50" t="s">
        <v>11753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1393</v>
      </c>
      <c r="J51" t="s">
        <v>11704</v>
      </c>
      <c r="K51" t="s">
        <v>11754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1395</v>
      </c>
      <c r="J52" t="s">
        <v>11704</v>
      </c>
      <c r="K52" t="s">
        <v>11755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1422</v>
      </c>
      <c r="E53" t="s">
        <v>86</v>
      </c>
      <c r="H53" t="s">
        <v>1421</v>
      </c>
      <c r="I53" t="s">
        <v>1397</v>
      </c>
      <c r="J53" t="s">
        <v>11704</v>
      </c>
      <c r="K53" t="s">
        <v>11756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1421</v>
      </c>
      <c r="I54" t="s">
        <v>1399</v>
      </c>
      <c r="J54" t="s">
        <v>11704</v>
      </c>
      <c r="K54" t="s">
        <v>11757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1401</v>
      </c>
      <c r="J55" t="s">
        <v>11704</v>
      </c>
      <c r="K55" t="s">
        <v>11758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1428</v>
      </c>
      <c r="I56" t="s">
        <v>1403</v>
      </c>
      <c r="J56" t="s">
        <v>11704</v>
      </c>
      <c r="K56" t="s">
        <v>11759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1428</v>
      </c>
      <c r="I57" t="s">
        <v>1405</v>
      </c>
      <c r="J57" t="s">
        <v>11704</v>
      </c>
      <c r="K57" t="s">
        <v>11760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1292</v>
      </c>
      <c r="I58" t="s">
        <v>1407</v>
      </c>
      <c r="J58" t="s">
        <v>11704</v>
      </c>
      <c r="K58" t="s">
        <v>11761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1409</v>
      </c>
      <c r="J59" t="s">
        <v>11704</v>
      </c>
      <c r="K59" t="s">
        <v>11762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1411</v>
      </c>
      <c r="J60" t="s">
        <v>11704</v>
      </c>
      <c r="K60" t="s">
        <v>11763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1292</v>
      </c>
      <c r="I61" t="s">
        <v>1413</v>
      </c>
      <c r="J61" t="s">
        <v>11704</v>
      </c>
      <c r="K61" t="s">
        <v>11764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1415</v>
      </c>
      <c r="J62" t="s">
        <v>11704</v>
      </c>
      <c r="K62" t="s">
        <v>11765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1417</v>
      </c>
      <c r="J63" t="s">
        <v>11704</v>
      </c>
      <c r="K63" t="s">
        <v>11766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1292</v>
      </c>
      <c r="I64" t="s">
        <v>1419</v>
      </c>
      <c r="J64" t="s">
        <v>11704</v>
      </c>
      <c r="K64" t="s">
        <v>11767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470</v>
      </c>
      <c r="E65" t="s">
        <v>1274</v>
      </c>
      <c r="F65" t="s">
        <v>2377</v>
      </c>
      <c r="H65" t="s">
        <v>2374</v>
      </c>
      <c r="I65" t="s">
        <v>2015</v>
      </c>
      <c r="J65" t="s">
        <v>11704</v>
      </c>
      <c r="K65" t="s">
        <v>11768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470</v>
      </c>
      <c r="E66" t="s">
        <v>468</v>
      </c>
      <c r="F66" t="s">
        <v>58</v>
      </c>
      <c r="H66" t="s">
        <v>2383</v>
      </c>
      <c r="I66" t="s">
        <v>2017</v>
      </c>
      <c r="J66" t="s">
        <v>11704</v>
      </c>
      <c r="K66" t="s">
        <v>11769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2393</v>
      </c>
      <c r="E67" t="s">
        <v>2336</v>
      </c>
      <c r="F67" t="s">
        <v>58</v>
      </c>
      <c r="H67" t="s">
        <v>2373</v>
      </c>
      <c r="I67" t="s">
        <v>2019</v>
      </c>
      <c r="J67" t="s">
        <v>11704</v>
      </c>
      <c r="K67" t="s">
        <v>11770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1602</v>
      </c>
      <c r="E68" t="s">
        <v>2336</v>
      </c>
      <c r="F68" t="s">
        <v>58</v>
      </c>
      <c r="H68" t="s">
        <v>2373</v>
      </c>
      <c r="I68" t="s">
        <v>2021</v>
      </c>
      <c r="J68" t="s">
        <v>11704</v>
      </c>
      <c r="K68" t="s">
        <v>11771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1602</v>
      </c>
      <c r="E69" t="s">
        <v>2336</v>
      </c>
      <c r="F69" t="s">
        <v>58</v>
      </c>
      <c r="H69" t="s">
        <v>2373</v>
      </c>
      <c r="I69" t="s">
        <v>2024</v>
      </c>
      <c r="J69" t="s">
        <v>11704</v>
      </c>
      <c r="K69" t="s">
        <v>11772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1602</v>
      </c>
      <c r="E70" t="s">
        <v>2336</v>
      </c>
      <c r="F70" t="s">
        <v>58</v>
      </c>
      <c r="H70" t="s">
        <v>2373</v>
      </c>
      <c r="I70" t="s">
        <v>2027</v>
      </c>
      <c r="J70" t="s">
        <v>11704</v>
      </c>
      <c r="K70" t="s">
        <v>11773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1602</v>
      </c>
      <c r="E71" t="s">
        <v>2336</v>
      </c>
      <c r="F71" t="s">
        <v>58</v>
      </c>
      <c r="H71" t="s">
        <v>2373</v>
      </c>
      <c r="I71" t="s">
        <v>2030</v>
      </c>
      <c r="J71" t="s">
        <v>11704</v>
      </c>
      <c r="K71" t="s">
        <v>11774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1602</v>
      </c>
      <c r="E72" t="s">
        <v>2336</v>
      </c>
      <c r="F72" t="s">
        <v>58</v>
      </c>
      <c r="H72" t="s">
        <v>2373</v>
      </c>
      <c r="I72" t="s">
        <v>2032</v>
      </c>
      <c r="J72" t="s">
        <v>11704</v>
      </c>
      <c r="K72" t="s">
        <v>11775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1602</v>
      </c>
      <c r="E73" t="s">
        <v>2336</v>
      </c>
      <c r="F73" t="s">
        <v>58</v>
      </c>
      <c r="H73" t="s">
        <v>2373</v>
      </c>
      <c r="I73" t="s">
        <v>2035</v>
      </c>
      <c r="J73" t="s">
        <v>11704</v>
      </c>
      <c r="K73" t="s">
        <v>11776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2038</v>
      </c>
      <c r="J74" t="s">
        <v>11704</v>
      </c>
      <c r="K74" t="s">
        <v>11777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470</v>
      </c>
      <c r="E75" t="s">
        <v>468</v>
      </c>
      <c r="F75" t="s">
        <v>58</v>
      </c>
      <c r="H75" t="s">
        <v>2374</v>
      </c>
      <c r="I75" t="s">
        <v>2040</v>
      </c>
      <c r="J75" t="s">
        <v>11704</v>
      </c>
      <c r="K75" t="s">
        <v>11778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470</v>
      </c>
      <c r="E76" t="s">
        <v>1274</v>
      </c>
      <c r="F76" t="s">
        <v>58</v>
      </c>
      <c r="H76" t="s">
        <v>2374</v>
      </c>
      <c r="I76" t="s">
        <v>2042</v>
      </c>
      <c r="J76" t="s">
        <v>11704</v>
      </c>
      <c r="K76" t="s">
        <v>11779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470</v>
      </c>
      <c r="E77" t="s">
        <v>1274</v>
      </c>
      <c r="F77" t="s">
        <v>58</v>
      </c>
      <c r="H77" t="s">
        <v>2374</v>
      </c>
      <c r="I77" t="s">
        <v>2044</v>
      </c>
      <c r="J77" t="s">
        <v>11704</v>
      </c>
      <c r="K77" t="s">
        <v>11780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2046</v>
      </c>
      <c r="J78" t="s">
        <v>11704</v>
      </c>
      <c r="K78" t="s">
        <v>11781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470</v>
      </c>
      <c r="E79" t="s">
        <v>1274</v>
      </c>
      <c r="F79" t="s">
        <v>58</v>
      </c>
      <c r="H79" t="s">
        <v>2374</v>
      </c>
      <c r="I79" t="s">
        <v>2048</v>
      </c>
      <c r="J79" t="s">
        <v>11704</v>
      </c>
      <c r="K79" t="s">
        <v>11782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2050</v>
      </c>
      <c r="J80" t="s">
        <v>11704</v>
      </c>
      <c r="K80" t="s">
        <v>11783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1607</v>
      </c>
      <c r="I81" t="s">
        <v>2052</v>
      </c>
      <c r="J81" t="s">
        <v>11704</v>
      </c>
      <c r="K81" t="s">
        <v>11784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2384</v>
      </c>
      <c r="J82" t="s">
        <v>11704</v>
      </c>
      <c r="K82" t="s">
        <v>11785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2388</v>
      </c>
      <c r="I83" t="s">
        <v>2386</v>
      </c>
      <c r="J83" t="s">
        <v>11704</v>
      </c>
      <c r="K83" t="s">
        <v>11786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2388</v>
      </c>
      <c r="I84" t="s">
        <v>2054</v>
      </c>
      <c r="J84" t="s">
        <v>11704</v>
      </c>
      <c r="K84" t="s">
        <v>11787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2056</v>
      </c>
      <c r="J85" t="s">
        <v>11704</v>
      </c>
      <c r="K85" t="s">
        <v>11788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1607</v>
      </c>
      <c r="I86" t="s">
        <v>2058</v>
      </c>
      <c r="J86" t="s">
        <v>11704</v>
      </c>
      <c r="K86" t="s">
        <v>11789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1607</v>
      </c>
      <c r="I87" t="s">
        <v>2060</v>
      </c>
      <c r="J87" t="s">
        <v>11704</v>
      </c>
      <c r="K87" t="s">
        <v>11790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3250</v>
      </c>
      <c r="J88" t="s">
        <v>11704</v>
      </c>
      <c r="K88" t="s">
        <v>11791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470</v>
      </c>
      <c r="E89" t="s">
        <v>468</v>
      </c>
      <c r="F89" t="s">
        <v>3407</v>
      </c>
      <c r="G89">
        <v>2</v>
      </c>
      <c r="H89" t="s">
        <v>3408</v>
      </c>
      <c r="I89" t="s">
        <v>3252</v>
      </c>
      <c r="J89" t="s">
        <v>11704</v>
      </c>
      <c r="K89" t="s">
        <v>11792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470</v>
      </c>
      <c r="E90" t="s">
        <v>468</v>
      </c>
      <c r="F90" t="s">
        <v>3407</v>
      </c>
      <c r="G90">
        <v>2</v>
      </c>
      <c r="H90" t="s">
        <v>3408</v>
      </c>
      <c r="I90" t="s">
        <v>3254</v>
      </c>
      <c r="J90" t="s">
        <v>11704</v>
      </c>
      <c r="K90" t="s">
        <v>11793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3381</v>
      </c>
      <c r="E91" t="s">
        <v>468</v>
      </c>
      <c r="F91" t="s">
        <v>58</v>
      </c>
      <c r="H91" t="s">
        <v>3409</v>
      </c>
      <c r="I91" t="s">
        <v>3256</v>
      </c>
      <c r="J91" t="s">
        <v>11704</v>
      </c>
      <c r="K91" t="s">
        <v>11794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3381</v>
      </c>
      <c r="E92" t="s">
        <v>468</v>
      </c>
      <c r="F92" t="s">
        <v>58</v>
      </c>
      <c r="H92" t="s">
        <v>2352</v>
      </c>
      <c r="I92" t="s">
        <v>3258</v>
      </c>
      <c r="J92" t="s">
        <v>11704</v>
      </c>
      <c r="K92" t="s">
        <v>11795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3381</v>
      </c>
      <c r="E93" t="s">
        <v>468</v>
      </c>
      <c r="F93" t="s">
        <v>58</v>
      </c>
      <c r="H93" t="s">
        <v>2352</v>
      </c>
      <c r="I93" t="s">
        <v>3260</v>
      </c>
      <c r="J93" t="s">
        <v>11704</v>
      </c>
      <c r="K93" t="s">
        <v>11796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3381</v>
      </c>
      <c r="E94" t="s">
        <v>468</v>
      </c>
      <c r="F94" t="s">
        <v>58</v>
      </c>
      <c r="H94" t="s">
        <v>2352</v>
      </c>
      <c r="I94" t="s">
        <v>3262</v>
      </c>
      <c r="J94" t="s">
        <v>11704</v>
      </c>
      <c r="K94" t="s">
        <v>11797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3381</v>
      </c>
      <c r="E95" t="s">
        <v>468</v>
      </c>
      <c r="F95" t="s">
        <v>58</v>
      </c>
      <c r="H95" t="s">
        <v>2352</v>
      </c>
      <c r="I95" t="s">
        <v>3264</v>
      </c>
      <c r="J95" t="s">
        <v>11704</v>
      </c>
      <c r="K95" t="s">
        <v>11798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226</v>
      </c>
      <c r="E96" t="s">
        <v>3357</v>
      </c>
      <c r="F96" t="s">
        <v>58</v>
      </c>
      <c r="I96" t="s">
        <v>3266</v>
      </c>
      <c r="J96" t="s">
        <v>11704</v>
      </c>
      <c r="K96" t="s">
        <v>11799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226</v>
      </c>
      <c r="E97" t="s">
        <v>3357</v>
      </c>
      <c r="F97" t="s">
        <v>58</v>
      </c>
      <c r="H97" t="s">
        <v>2352</v>
      </c>
      <c r="I97" t="s">
        <v>3269</v>
      </c>
      <c r="J97" t="s">
        <v>11704</v>
      </c>
      <c r="K97" t="s">
        <v>11800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226</v>
      </c>
      <c r="E98" t="s">
        <v>3357</v>
      </c>
      <c r="F98" t="s">
        <v>58</v>
      </c>
      <c r="H98" t="s">
        <v>2352</v>
      </c>
      <c r="I98" t="s">
        <v>3272</v>
      </c>
      <c r="J98" t="s">
        <v>11704</v>
      </c>
      <c r="K98" t="s">
        <v>11801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226</v>
      </c>
      <c r="E99" t="s">
        <v>3357</v>
      </c>
      <c r="F99" t="s">
        <v>58</v>
      </c>
      <c r="H99" t="s">
        <v>2352</v>
      </c>
      <c r="I99" t="s">
        <v>3275</v>
      </c>
      <c r="J99" t="s">
        <v>11704</v>
      </c>
      <c r="K99" t="s">
        <v>11802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3278</v>
      </c>
      <c r="J100" t="s">
        <v>11704</v>
      </c>
      <c r="K100" t="s">
        <v>11803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887</v>
      </c>
      <c r="E101" t="s">
        <v>86</v>
      </c>
      <c r="F101" t="s">
        <v>58</v>
      </c>
      <c r="H101" t="s">
        <v>1287</v>
      </c>
      <c r="I101" t="s">
        <v>3280</v>
      </c>
      <c r="J101" t="s">
        <v>11704</v>
      </c>
      <c r="K101" t="s">
        <v>11804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887</v>
      </c>
      <c r="E102" t="s">
        <v>86</v>
      </c>
      <c r="F102" t="s">
        <v>58</v>
      </c>
      <c r="H102" t="s">
        <v>3410</v>
      </c>
      <c r="I102" t="s">
        <v>3282</v>
      </c>
      <c r="J102" t="s">
        <v>11704</v>
      </c>
      <c r="K102" t="s">
        <v>11805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887</v>
      </c>
      <c r="E103" t="s">
        <v>86</v>
      </c>
      <c r="F103" t="s">
        <v>58</v>
      </c>
      <c r="H103" t="s">
        <v>3410</v>
      </c>
      <c r="I103" t="s">
        <v>3284</v>
      </c>
      <c r="J103" t="s">
        <v>11704</v>
      </c>
      <c r="K103" t="s">
        <v>11806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470</v>
      </c>
      <c r="E104" t="s">
        <v>1274</v>
      </c>
      <c r="F104" t="s">
        <v>58</v>
      </c>
      <c r="I104" t="s">
        <v>3286</v>
      </c>
      <c r="J104" t="s">
        <v>11704</v>
      </c>
      <c r="K104" t="s">
        <v>11807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3288</v>
      </c>
      <c r="J105" t="s">
        <v>11704</v>
      </c>
      <c r="K105" t="s">
        <v>11808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3290</v>
      </c>
      <c r="J106" t="s">
        <v>11704</v>
      </c>
      <c r="K106" t="s">
        <v>11809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1607</v>
      </c>
      <c r="I107" t="s">
        <v>3446</v>
      </c>
      <c r="J107" t="s">
        <v>11704</v>
      </c>
      <c r="K107" t="s">
        <v>11810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1607</v>
      </c>
      <c r="I108" t="s">
        <v>3901</v>
      </c>
      <c r="J108" t="s">
        <v>11704</v>
      </c>
      <c r="K108" t="s">
        <v>11811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1607</v>
      </c>
      <c r="I109" t="s">
        <v>3903</v>
      </c>
      <c r="J109" t="s">
        <v>11704</v>
      </c>
      <c r="K109" t="s">
        <v>11812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4097</v>
      </c>
      <c r="I110" t="s">
        <v>3905</v>
      </c>
      <c r="J110" t="s">
        <v>11704</v>
      </c>
      <c r="K110" t="s">
        <v>11813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2459</v>
      </c>
      <c r="E111" t="s">
        <v>86</v>
      </c>
      <c r="F111" t="s">
        <v>4097</v>
      </c>
      <c r="I111" t="s">
        <v>3907</v>
      </c>
      <c r="J111" t="s">
        <v>11704</v>
      </c>
      <c r="K111" t="s">
        <v>11814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1607</v>
      </c>
      <c r="I112" t="s">
        <v>3909</v>
      </c>
      <c r="J112" t="s">
        <v>11704</v>
      </c>
      <c r="K112" t="s">
        <v>11815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4133</v>
      </c>
      <c r="H113" t="s">
        <v>4134</v>
      </c>
      <c r="I113" t="s">
        <v>3911</v>
      </c>
      <c r="J113" t="s">
        <v>11704</v>
      </c>
      <c r="K113" t="s">
        <v>11816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1607</v>
      </c>
      <c r="I114" t="s">
        <v>3913</v>
      </c>
      <c r="J114" t="s">
        <v>11704</v>
      </c>
      <c r="K114" t="s">
        <v>11817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4238</v>
      </c>
      <c r="E115" t="s">
        <v>4236</v>
      </c>
      <c r="F115" t="s">
        <v>3398</v>
      </c>
      <c r="I115" t="s">
        <v>4187</v>
      </c>
      <c r="J115" t="s">
        <v>11704</v>
      </c>
      <c r="K115" t="s">
        <v>11818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4238</v>
      </c>
      <c r="E116" t="s">
        <v>4236</v>
      </c>
      <c r="F116" t="s">
        <v>3398</v>
      </c>
      <c r="H116" t="s">
        <v>2352</v>
      </c>
      <c r="I116" t="s">
        <v>4189</v>
      </c>
      <c r="J116" t="s">
        <v>11704</v>
      </c>
      <c r="K116" t="s">
        <v>11819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4238</v>
      </c>
      <c r="E117" t="s">
        <v>4236</v>
      </c>
      <c r="F117" t="s">
        <v>3398</v>
      </c>
      <c r="H117" t="s">
        <v>2352</v>
      </c>
      <c r="I117" t="s">
        <v>4191</v>
      </c>
      <c r="J117" t="s">
        <v>11704</v>
      </c>
      <c r="K117" t="s">
        <v>11820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4238</v>
      </c>
      <c r="E118" t="s">
        <v>4236</v>
      </c>
      <c r="F118" t="s">
        <v>3398</v>
      </c>
      <c r="H118" t="s">
        <v>2352</v>
      </c>
      <c r="I118" t="s">
        <v>4193</v>
      </c>
      <c r="J118" t="s">
        <v>11704</v>
      </c>
      <c r="K118" t="s">
        <v>11821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4238</v>
      </c>
      <c r="E119" t="s">
        <v>4236</v>
      </c>
      <c r="F119" t="s">
        <v>3398</v>
      </c>
      <c r="H119" t="s">
        <v>2352</v>
      </c>
      <c r="I119" t="s">
        <v>4195</v>
      </c>
      <c r="J119" t="s">
        <v>11704</v>
      </c>
      <c r="K119" t="s">
        <v>11822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3400</v>
      </c>
      <c r="E120" t="s">
        <v>4236</v>
      </c>
      <c r="F120" t="s">
        <v>3398</v>
      </c>
      <c r="I120" t="s">
        <v>4197</v>
      </c>
      <c r="J120" t="s">
        <v>11704</v>
      </c>
      <c r="K120" t="s">
        <v>11823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887</v>
      </c>
      <c r="E121" t="s">
        <v>86</v>
      </c>
      <c r="F121" t="s">
        <v>58</v>
      </c>
      <c r="H121" t="s">
        <v>1287</v>
      </c>
      <c r="I121" t="s">
        <v>4371</v>
      </c>
      <c r="J121" t="s">
        <v>11704</v>
      </c>
      <c r="K121" t="s">
        <v>11824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887</v>
      </c>
      <c r="E122" t="s">
        <v>86</v>
      </c>
      <c r="F122" t="s">
        <v>58</v>
      </c>
      <c r="H122" t="s">
        <v>1287</v>
      </c>
      <c r="I122" t="s">
        <v>4373</v>
      </c>
      <c r="J122" t="s">
        <v>11704</v>
      </c>
      <c r="K122" t="s">
        <v>11825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465</v>
      </c>
      <c r="H123" t="s">
        <v>4098</v>
      </c>
      <c r="I123" t="s">
        <v>4504</v>
      </c>
      <c r="J123" t="s">
        <v>11704</v>
      </c>
      <c r="K123" t="s">
        <v>11826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465</v>
      </c>
      <c r="H124" t="s">
        <v>4098</v>
      </c>
      <c r="I124" t="s">
        <v>4507</v>
      </c>
      <c r="J124" t="s">
        <v>11704</v>
      </c>
      <c r="K124" t="s">
        <v>11827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465</v>
      </c>
      <c r="H125" t="s">
        <v>4098</v>
      </c>
      <c r="I125" t="s">
        <v>4509</v>
      </c>
      <c r="J125" t="s">
        <v>11704</v>
      </c>
      <c r="K125" t="s">
        <v>11828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465</v>
      </c>
      <c r="H126" t="s">
        <v>4098</v>
      </c>
      <c r="I126" t="s">
        <v>4511</v>
      </c>
      <c r="J126" t="s">
        <v>11704</v>
      </c>
      <c r="K126" t="s">
        <v>11829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4934</v>
      </c>
      <c r="E127" t="s">
        <v>58</v>
      </c>
      <c r="H127" t="s">
        <v>4935</v>
      </c>
      <c r="I127" t="s">
        <v>4513</v>
      </c>
      <c r="J127" t="s">
        <v>11704</v>
      </c>
      <c r="K127" t="s">
        <v>11830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4934</v>
      </c>
      <c r="E128" t="s">
        <v>58</v>
      </c>
      <c r="H128" t="s">
        <v>2352</v>
      </c>
      <c r="I128" t="s">
        <v>4515</v>
      </c>
      <c r="J128" t="s">
        <v>11704</v>
      </c>
      <c r="K128" t="s">
        <v>11831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4934</v>
      </c>
      <c r="E129" t="s">
        <v>58</v>
      </c>
      <c r="H129" t="s">
        <v>2352</v>
      </c>
      <c r="I129" t="s">
        <v>4517</v>
      </c>
      <c r="J129" t="s">
        <v>11704</v>
      </c>
      <c r="K129" t="s">
        <v>11832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4934</v>
      </c>
      <c r="E130" t="s">
        <v>58</v>
      </c>
      <c r="H130" t="s">
        <v>2352</v>
      </c>
      <c r="I130" t="s">
        <v>4519</v>
      </c>
      <c r="J130" t="s">
        <v>11704</v>
      </c>
      <c r="K130" t="s">
        <v>11833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887</v>
      </c>
      <c r="E131" t="s">
        <v>86</v>
      </c>
      <c r="F131" t="s">
        <v>58</v>
      </c>
      <c r="H131" t="s">
        <v>1287</v>
      </c>
      <c r="I131" t="s">
        <v>4726</v>
      </c>
      <c r="J131" t="s">
        <v>11704</v>
      </c>
      <c r="K131" t="s">
        <v>11834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4728</v>
      </c>
      <c r="J132" t="s">
        <v>11704</v>
      </c>
      <c r="K132" t="s">
        <v>11835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4730</v>
      </c>
      <c r="J133" t="s">
        <v>11704</v>
      </c>
      <c r="K133" t="s">
        <v>11836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1273</v>
      </c>
      <c r="E134" t="s">
        <v>4917</v>
      </c>
      <c r="F134" t="s">
        <v>4936</v>
      </c>
      <c r="H134" t="s">
        <v>4914</v>
      </c>
      <c r="I134" t="s">
        <v>4867</v>
      </c>
      <c r="J134" t="s">
        <v>11704</v>
      </c>
      <c r="K134" t="s">
        <v>11837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4937</v>
      </c>
      <c r="E135" t="s">
        <v>4917</v>
      </c>
      <c r="I135" t="s">
        <v>4869</v>
      </c>
      <c r="J135" t="s">
        <v>11704</v>
      </c>
      <c r="K135" t="s">
        <v>11838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226</v>
      </c>
      <c r="E136" t="s">
        <v>4917</v>
      </c>
      <c r="F136" t="s">
        <v>4938</v>
      </c>
      <c r="H136" t="s">
        <v>2352</v>
      </c>
      <c r="I136" t="s">
        <v>4871</v>
      </c>
      <c r="J136" t="s">
        <v>11704</v>
      </c>
      <c r="K136" t="s">
        <v>11839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226</v>
      </c>
      <c r="E137" t="s">
        <v>4917</v>
      </c>
      <c r="F137" t="s">
        <v>4938</v>
      </c>
      <c r="H137" t="s">
        <v>2352</v>
      </c>
      <c r="I137" t="s">
        <v>4874</v>
      </c>
      <c r="J137" t="s">
        <v>11704</v>
      </c>
      <c r="K137" t="s">
        <v>11840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226</v>
      </c>
      <c r="E138" t="s">
        <v>4917</v>
      </c>
      <c r="F138" t="s">
        <v>4938</v>
      </c>
      <c r="H138" t="s">
        <v>2352</v>
      </c>
      <c r="I138" t="s">
        <v>4877</v>
      </c>
      <c r="J138" t="s">
        <v>11704</v>
      </c>
      <c r="K138" t="s">
        <v>11841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226</v>
      </c>
      <c r="E139" t="s">
        <v>4917</v>
      </c>
      <c r="F139" t="s">
        <v>4938</v>
      </c>
      <c r="H139" t="s">
        <v>2352</v>
      </c>
      <c r="I139" t="s">
        <v>4880</v>
      </c>
      <c r="J139" t="s">
        <v>11704</v>
      </c>
      <c r="K139" t="s">
        <v>11842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226</v>
      </c>
      <c r="E140" t="s">
        <v>4917</v>
      </c>
      <c r="F140" t="s">
        <v>4938</v>
      </c>
      <c r="H140" t="s">
        <v>2352</v>
      </c>
      <c r="I140" t="s">
        <v>4883</v>
      </c>
      <c r="J140" t="s">
        <v>11704</v>
      </c>
      <c r="K140" t="s">
        <v>11843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226</v>
      </c>
      <c r="E141" t="s">
        <v>4917</v>
      </c>
      <c r="F141" t="s">
        <v>4938</v>
      </c>
      <c r="H141" t="s">
        <v>2352</v>
      </c>
      <c r="I141" t="s">
        <v>4886</v>
      </c>
      <c r="J141" t="s">
        <v>11704</v>
      </c>
      <c r="K141" t="s">
        <v>11844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226</v>
      </c>
      <c r="E142" t="s">
        <v>4917</v>
      </c>
      <c r="F142" t="s">
        <v>4938</v>
      </c>
      <c r="H142" t="s">
        <v>2352</v>
      </c>
      <c r="I142" t="s">
        <v>4889</v>
      </c>
      <c r="J142" t="s">
        <v>11704</v>
      </c>
      <c r="K142" t="s">
        <v>11845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226</v>
      </c>
      <c r="E143" t="s">
        <v>4917</v>
      </c>
      <c r="F143" t="s">
        <v>4938</v>
      </c>
      <c r="H143" t="s">
        <v>2352</v>
      </c>
      <c r="I143" t="s">
        <v>4892</v>
      </c>
      <c r="J143" t="s">
        <v>11704</v>
      </c>
      <c r="K143" t="s">
        <v>11846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587</v>
      </c>
      <c r="E144" t="s">
        <v>4917</v>
      </c>
      <c r="F144" t="s">
        <v>4938</v>
      </c>
      <c r="I144" t="s">
        <v>4895</v>
      </c>
      <c r="J144" t="s">
        <v>11704</v>
      </c>
      <c r="K144" t="s">
        <v>11847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1273</v>
      </c>
      <c r="E145" t="s">
        <v>4917</v>
      </c>
      <c r="F145" t="s">
        <v>1276</v>
      </c>
      <c r="I145" t="s">
        <v>4897</v>
      </c>
      <c r="J145" t="s">
        <v>11704</v>
      </c>
      <c r="K145" t="s">
        <v>11848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227</v>
      </c>
      <c r="E146" t="s">
        <v>4917</v>
      </c>
      <c r="F146" t="s">
        <v>58</v>
      </c>
      <c r="I146" t="s">
        <v>4899</v>
      </c>
      <c r="J146" t="s">
        <v>11704</v>
      </c>
      <c r="K146" t="s">
        <v>11849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227</v>
      </c>
      <c r="E147" t="s">
        <v>4917</v>
      </c>
      <c r="F147" t="s">
        <v>58</v>
      </c>
      <c r="H147" t="s">
        <v>2352</v>
      </c>
      <c r="I147" t="s">
        <v>4901</v>
      </c>
      <c r="J147" t="s">
        <v>11704</v>
      </c>
      <c r="K147" t="s">
        <v>11850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227</v>
      </c>
      <c r="E148" t="s">
        <v>4917</v>
      </c>
      <c r="F148" t="s">
        <v>58</v>
      </c>
      <c r="H148" t="s">
        <v>2352</v>
      </c>
      <c r="I148" t="s">
        <v>4903</v>
      </c>
      <c r="J148" t="s">
        <v>11704</v>
      </c>
      <c r="K148" t="s">
        <v>11851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227</v>
      </c>
      <c r="E149" t="s">
        <v>4917</v>
      </c>
      <c r="F149" t="s">
        <v>58</v>
      </c>
      <c r="H149" t="s">
        <v>2352</v>
      </c>
      <c r="I149" t="s">
        <v>4905</v>
      </c>
      <c r="J149" t="s">
        <v>11704</v>
      </c>
      <c r="K149" t="s">
        <v>11852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587</v>
      </c>
      <c r="E150" t="s">
        <v>4917</v>
      </c>
      <c r="F150" t="s">
        <v>4939</v>
      </c>
      <c r="I150" t="s">
        <v>4907</v>
      </c>
      <c r="J150" t="s">
        <v>11704</v>
      </c>
      <c r="K150" t="s">
        <v>11853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4909</v>
      </c>
      <c r="J151" t="s">
        <v>11704</v>
      </c>
      <c r="K151" t="s">
        <v>11854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1607</v>
      </c>
      <c r="E152" t="s">
        <v>8</v>
      </c>
      <c r="I152" t="s">
        <v>4991</v>
      </c>
      <c r="J152" t="s">
        <v>11704</v>
      </c>
      <c r="K152" t="s">
        <v>11855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5045</v>
      </c>
      <c r="F153" t="s">
        <v>51</v>
      </c>
      <c r="I153" t="s">
        <v>5194</v>
      </c>
      <c r="J153" t="s">
        <v>11704</v>
      </c>
      <c r="K153" t="s">
        <v>11856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5217</v>
      </c>
      <c r="I154" t="s">
        <v>5196</v>
      </c>
      <c r="J154" t="s">
        <v>11704</v>
      </c>
      <c r="K154" t="s">
        <v>11857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5198</v>
      </c>
      <c r="J155" t="s">
        <v>11704</v>
      </c>
      <c r="K155" t="s">
        <v>11858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1607</v>
      </c>
      <c r="E156" t="s">
        <v>8</v>
      </c>
      <c r="I156" t="s">
        <v>5293</v>
      </c>
      <c r="J156" t="s">
        <v>11704</v>
      </c>
      <c r="K156" t="s">
        <v>11859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1607</v>
      </c>
      <c r="E157" t="s">
        <v>8</v>
      </c>
      <c r="I157" t="s">
        <v>5425</v>
      </c>
      <c r="J157" t="s">
        <v>11704</v>
      </c>
      <c r="K157" t="s">
        <v>11860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4396</v>
      </c>
      <c r="F158" t="s">
        <v>2360</v>
      </c>
      <c r="H158" t="s">
        <v>2370</v>
      </c>
      <c r="I158" t="s">
        <v>5641</v>
      </c>
      <c r="J158" t="s">
        <v>11704</v>
      </c>
      <c r="K158" t="s">
        <v>11861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4396</v>
      </c>
      <c r="F159" t="s">
        <v>2360</v>
      </c>
      <c r="H159" t="s">
        <v>2352</v>
      </c>
      <c r="I159" t="s">
        <v>5643</v>
      </c>
      <c r="J159" t="s">
        <v>11704</v>
      </c>
      <c r="K159" t="s">
        <v>11862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5699</v>
      </c>
      <c r="E160" t="s">
        <v>4396</v>
      </c>
      <c r="F160" t="s">
        <v>5476</v>
      </c>
      <c r="I160" t="s">
        <v>5645</v>
      </c>
      <c r="J160" t="s">
        <v>11704</v>
      </c>
      <c r="K160" t="s">
        <v>11863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4396</v>
      </c>
      <c r="F161" t="s">
        <v>2377</v>
      </c>
      <c r="H161" t="s">
        <v>2370</v>
      </c>
      <c r="I161" t="s">
        <v>5647</v>
      </c>
      <c r="J161" t="s">
        <v>11704</v>
      </c>
      <c r="K161" t="s">
        <v>11864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4396</v>
      </c>
      <c r="F162" t="s">
        <v>2377</v>
      </c>
      <c r="H162" t="s">
        <v>2352</v>
      </c>
      <c r="I162" t="s">
        <v>5649</v>
      </c>
      <c r="J162" t="s">
        <v>11704</v>
      </c>
      <c r="K162" t="s">
        <v>11865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5651</v>
      </c>
      <c r="J163" t="s">
        <v>11704</v>
      </c>
      <c r="K163" t="s">
        <v>11866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1607</v>
      </c>
      <c r="E164" t="s">
        <v>8</v>
      </c>
      <c r="I164" t="s">
        <v>5653</v>
      </c>
      <c r="J164" t="s">
        <v>11704</v>
      </c>
      <c r="K164" t="s">
        <v>11867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1607</v>
      </c>
      <c r="E165" t="s">
        <v>8</v>
      </c>
      <c r="I165" t="s">
        <v>5725</v>
      </c>
      <c r="J165" t="s">
        <v>11704</v>
      </c>
      <c r="K165" t="s">
        <v>11868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1607</v>
      </c>
      <c r="E166" t="s">
        <v>8</v>
      </c>
      <c r="I166" t="s">
        <v>5802</v>
      </c>
      <c r="J166" t="s">
        <v>11704</v>
      </c>
      <c r="K166" t="s">
        <v>11869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1607</v>
      </c>
      <c r="E167" t="s">
        <v>8</v>
      </c>
      <c r="I167" t="s">
        <v>5804</v>
      </c>
      <c r="J167" t="s">
        <v>11704</v>
      </c>
      <c r="K167" t="s">
        <v>11870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227</v>
      </c>
      <c r="E168" t="s">
        <v>86</v>
      </c>
      <c r="F168" t="s">
        <v>60</v>
      </c>
      <c r="H168" t="s">
        <v>4098</v>
      </c>
      <c r="I168" t="s">
        <v>5996</v>
      </c>
      <c r="J168" t="s">
        <v>11704</v>
      </c>
      <c r="K168" t="s">
        <v>11871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227</v>
      </c>
      <c r="E169" t="s">
        <v>86</v>
      </c>
      <c r="F169" t="s">
        <v>60</v>
      </c>
      <c r="H169" t="s">
        <v>4098</v>
      </c>
      <c r="I169" t="s">
        <v>5998</v>
      </c>
      <c r="J169" t="s">
        <v>11704</v>
      </c>
      <c r="K169" t="s">
        <v>11872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227</v>
      </c>
      <c r="E170" t="s">
        <v>86</v>
      </c>
      <c r="F170" t="s">
        <v>60</v>
      </c>
      <c r="H170" t="s">
        <v>4098</v>
      </c>
      <c r="I170" t="s">
        <v>6000</v>
      </c>
      <c r="J170" t="s">
        <v>11704</v>
      </c>
      <c r="K170" t="s">
        <v>11873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6002</v>
      </c>
      <c r="J171" t="s">
        <v>11704</v>
      </c>
      <c r="K171" t="s">
        <v>11874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6161</v>
      </c>
      <c r="I172" t="s">
        <v>6004</v>
      </c>
      <c r="J172" t="s">
        <v>11704</v>
      </c>
      <c r="K172" t="s">
        <v>11875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6161</v>
      </c>
      <c r="H173" t="s">
        <v>2352</v>
      </c>
      <c r="I173" t="s">
        <v>6006</v>
      </c>
      <c r="J173" t="s">
        <v>11704</v>
      </c>
      <c r="K173" t="s">
        <v>11876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6161</v>
      </c>
      <c r="I174" t="s">
        <v>6008</v>
      </c>
      <c r="J174" t="s">
        <v>11704</v>
      </c>
      <c r="K174" t="s">
        <v>11877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6162</v>
      </c>
      <c r="I175" t="s">
        <v>6010</v>
      </c>
      <c r="J175" t="s">
        <v>11704</v>
      </c>
      <c r="K175" t="s">
        <v>11878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3358</v>
      </c>
      <c r="F176" t="s">
        <v>3405</v>
      </c>
      <c r="I176" t="s">
        <v>6012</v>
      </c>
      <c r="J176" t="s">
        <v>11704</v>
      </c>
      <c r="K176" t="s">
        <v>11879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587</v>
      </c>
      <c r="E177" t="s">
        <v>3358</v>
      </c>
      <c r="F177" t="s">
        <v>3405</v>
      </c>
      <c r="I177" t="s">
        <v>6014</v>
      </c>
      <c r="J177" t="s">
        <v>11704</v>
      </c>
      <c r="K177" t="s">
        <v>11880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226</v>
      </c>
      <c r="E178" t="s">
        <v>86</v>
      </c>
      <c r="F178" t="s">
        <v>6167</v>
      </c>
      <c r="I178" t="s">
        <v>6186</v>
      </c>
      <c r="J178" t="s">
        <v>11704</v>
      </c>
      <c r="K178" t="s">
        <v>11881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6162</v>
      </c>
      <c r="I179" t="s">
        <v>6188</v>
      </c>
      <c r="J179" t="s">
        <v>11704</v>
      </c>
      <c r="K179" t="s">
        <v>11882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1273</v>
      </c>
      <c r="E180" t="s">
        <v>3358</v>
      </c>
      <c r="F180" t="s">
        <v>4070</v>
      </c>
      <c r="I180" t="s">
        <v>6190</v>
      </c>
      <c r="J180" t="s">
        <v>11704</v>
      </c>
      <c r="K180" t="s">
        <v>11883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1273</v>
      </c>
      <c r="E181" t="s">
        <v>3358</v>
      </c>
      <c r="F181" t="s">
        <v>4070</v>
      </c>
      <c r="H181" t="s">
        <v>2352</v>
      </c>
      <c r="I181" t="s">
        <v>6192</v>
      </c>
      <c r="J181" t="s">
        <v>11704</v>
      </c>
      <c r="K181" t="s">
        <v>11884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3388</v>
      </c>
      <c r="E182" t="s">
        <v>86</v>
      </c>
      <c r="F182" t="s">
        <v>465</v>
      </c>
      <c r="I182" t="s">
        <v>6194</v>
      </c>
      <c r="J182" t="s">
        <v>11704</v>
      </c>
      <c r="K182" t="s">
        <v>11885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3388</v>
      </c>
      <c r="E183" t="s">
        <v>86</v>
      </c>
      <c r="F183" t="s">
        <v>465</v>
      </c>
      <c r="H183" t="s">
        <v>2352</v>
      </c>
      <c r="I183" t="s">
        <v>6196</v>
      </c>
      <c r="J183" t="s">
        <v>11704</v>
      </c>
      <c r="K183" t="s">
        <v>11886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6299</v>
      </c>
      <c r="E184" t="s">
        <v>468</v>
      </c>
      <c r="I184" t="s">
        <v>6198</v>
      </c>
      <c r="J184" t="s">
        <v>11704</v>
      </c>
      <c r="K184" t="s">
        <v>11887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587</v>
      </c>
      <c r="E185" t="s">
        <v>3358</v>
      </c>
      <c r="F185" t="s">
        <v>4070</v>
      </c>
      <c r="I185" t="s">
        <v>6200</v>
      </c>
      <c r="J185" t="s">
        <v>11704</v>
      </c>
      <c r="K185" t="s">
        <v>11888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3388</v>
      </c>
      <c r="E186" t="s">
        <v>86</v>
      </c>
      <c r="F186" t="s">
        <v>465</v>
      </c>
      <c r="I186" t="s">
        <v>6202</v>
      </c>
      <c r="J186" t="s">
        <v>11704</v>
      </c>
      <c r="K186" t="s">
        <v>11889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6204</v>
      </c>
      <c r="J187" t="s">
        <v>11704</v>
      </c>
      <c r="K187" t="s">
        <v>11890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6436</v>
      </c>
      <c r="E188" t="s">
        <v>5310</v>
      </c>
      <c r="F188" t="s">
        <v>4070</v>
      </c>
      <c r="I188" t="s">
        <v>6365</v>
      </c>
      <c r="J188" t="s">
        <v>11704</v>
      </c>
      <c r="K188" t="s">
        <v>11891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6439</v>
      </c>
      <c r="I189" t="s">
        <v>6367</v>
      </c>
      <c r="J189" t="s">
        <v>11704</v>
      </c>
      <c r="K189" t="s">
        <v>11892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6369</v>
      </c>
      <c r="J190" t="s">
        <v>11704</v>
      </c>
      <c r="K190" t="s">
        <v>11893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227</v>
      </c>
      <c r="E191" t="s">
        <v>70</v>
      </c>
      <c r="F191" t="s">
        <v>58</v>
      </c>
      <c r="H191" t="s">
        <v>6686</v>
      </c>
      <c r="I191" t="s">
        <v>6524</v>
      </c>
      <c r="J191" t="s">
        <v>11704</v>
      </c>
      <c r="K191" t="s">
        <v>11894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227</v>
      </c>
      <c r="E192" t="s">
        <v>70</v>
      </c>
      <c r="F192" t="s">
        <v>58</v>
      </c>
      <c r="H192" t="s">
        <v>2352</v>
      </c>
      <c r="I192" t="s">
        <v>6526</v>
      </c>
      <c r="J192" t="s">
        <v>11704</v>
      </c>
      <c r="K192" t="s">
        <v>11895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227</v>
      </c>
      <c r="E193" t="s">
        <v>70</v>
      </c>
      <c r="F193" t="s">
        <v>58</v>
      </c>
      <c r="H193" t="s">
        <v>2352</v>
      </c>
      <c r="I193" t="s">
        <v>6528</v>
      </c>
      <c r="J193" t="s">
        <v>11704</v>
      </c>
      <c r="K193" t="s">
        <v>11896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227</v>
      </c>
      <c r="E194" t="s">
        <v>70</v>
      </c>
      <c r="F194" t="s">
        <v>58</v>
      </c>
      <c r="H194" t="s">
        <v>2352</v>
      </c>
      <c r="I194" t="s">
        <v>6530</v>
      </c>
      <c r="J194" t="s">
        <v>11704</v>
      </c>
      <c r="K194" t="s">
        <v>11897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227</v>
      </c>
      <c r="E195" t="s">
        <v>70</v>
      </c>
      <c r="F195" t="s">
        <v>58</v>
      </c>
      <c r="H195" t="s">
        <v>2352</v>
      </c>
      <c r="I195" t="s">
        <v>6532</v>
      </c>
      <c r="J195" t="s">
        <v>11704</v>
      </c>
      <c r="K195" t="s">
        <v>11898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227</v>
      </c>
      <c r="E196" t="s">
        <v>70</v>
      </c>
      <c r="F196" t="s">
        <v>58</v>
      </c>
      <c r="H196" t="s">
        <v>2352</v>
      </c>
      <c r="I196" t="s">
        <v>6534</v>
      </c>
      <c r="J196" t="s">
        <v>11704</v>
      </c>
      <c r="K196" t="s">
        <v>11899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587</v>
      </c>
      <c r="E197" t="s">
        <v>70</v>
      </c>
      <c r="F197" t="s">
        <v>51</v>
      </c>
      <c r="I197" t="s">
        <v>6536</v>
      </c>
      <c r="J197" t="s">
        <v>11704</v>
      </c>
      <c r="K197" t="s">
        <v>11900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587</v>
      </c>
      <c r="E198" t="s">
        <v>6687</v>
      </c>
      <c r="F198" t="s">
        <v>1288</v>
      </c>
      <c r="I198" t="s">
        <v>6538</v>
      </c>
      <c r="J198" t="s">
        <v>11704</v>
      </c>
      <c r="K198" t="s">
        <v>11901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6439</v>
      </c>
      <c r="I199" t="s">
        <v>6540</v>
      </c>
      <c r="J199" t="s">
        <v>11704</v>
      </c>
      <c r="K199" t="s">
        <v>11902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6439</v>
      </c>
      <c r="I200" t="s">
        <v>6542</v>
      </c>
      <c r="J200" t="s">
        <v>11704</v>
      </c>
      <c r="K200" t="s">
        <v>11903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1607</v>
      </c>
      <c r="E201" t="s">
        <v>8</v>
      </c>
      <c r="I201" t="s">
        <v>6544</v>
      </c>
      <c r="J201" t="s">
        <v>11704</v>
      </c>
      <c r="K201" t="s">
        <v>11904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6439</v>
      </c>
      <c r="I202" t="s">
        <v>6546</v>
      </c>
      <c r="J202" t="s">
        <v>11704</v>
      </c>
      <c r="K202" t="s">
        <v>11905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6439</v>
      </c>
      <c r="I203" t="s">
        <v>6548</v>
      </c>
      <c r="J203" t="s">
        <v>11704</v>
      </c>
      <c r="K203" t="s">
        <v>11906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1607</v>
      </c>
      <c r="E204" t="s">
        <v>8</v>
      </c>
      <c r="I204" t="s">
        <v>6755</v>
      </c>
      <c r="J204" t="s">
        <v>11704</v>
      </c>
      <c r="K204" t="s">
        <v>11907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1607</v>
      </c>
      <c r="E205" t="s">
        <v>8</v>
      </c>
      <c r="I205" t="s">
        <v>6757</v>
      </c>
      <c r="J205" t="s">
        <v>11704</v>
      </c>
      <c r="K205" t="s">
        <v>11908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1607</v>
      </c>
      <c r="E206" t="s">
        <v>8</v>
      </c>
      <c r="I206" t="s">
        <v>6759</v>
      </c>
      <c r="J206" t="s">
        <v>11704</v>
      </c>
      <c r="K206" t="s">
        <v>11909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6439</v>
      </c>
      <c r="I207" t="s">
        <v>6977</v>
      </c>
      <c r="J207" t="s">
        <v>11704</v>
      </c>
      <c r="K207" t="s">
        <v>11910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6439</v>
      </c>
      <c r="I208" t="s">
        <v>6979</v>
      </c>
      <c r="J208" t="s">
        <v>11704</v>
      </c>
      <c r="K208" t="s">
        <v>11911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6439</v>
      </c>
      <c r="I209" t="s">
        <v>6981</v>
      </c>
      <c r="J209" t="s">
        <v>11704</v>
      </c>
      <c r="K209" t="s">
        <v>11912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6439</v>
      </c>
      <c r="I210" t="s">
        <v>6983</v>
      </c>
      <c r="J210" t="s">
        <v>11704</v>
      </c>
      <c r="K210" t="s">
        <v>11913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6439</v>
      </c>
      <c r="I211" t="s">
        <v>6985</v>
      </c>
      <c r="J211" t="s">
        <v>11704</v>
      </c>
      <c r="K211" t="s">
        <v>11914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6439</v>
      </c>
      <c r="I212" t="s">
        <v>6987</v>
      </c>
      <c r="J212" t="s">
        <v>11704</v>
      </c>
      <c r="K212" t="s">
        <v>11915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6439</v>
      </c>
      <c r="I213" t="s">
        <v>6989</v>
      </c>
      <c r="J213" t="s">
        <v>11704</v>
      </c>
      <c r="K213" t="s">
        <v>11916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1607</v>
      </c>
      <c r="E214" t="s">
        <v>8</v>
      </c>
      <c r="I214" t="s">
        <v>6991</v>
      </c>
      <c r="J214" t="s">
        <v>11704</v>
      </c>
      <c r="K214" t="s">
        <v>11917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6439</v>
      </c>
      <c r="I215" t="s">
        <v>6993</v>
      </c>
      <c r="J215" t="s">
        <v>11704</v>
      </c>
      <c r="K215" t="s">
        <v>11918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7069</v>
      </c>
      <c r="I216" t="s">
        <v>6995</v>
      </c>
      <c r="J216" t="s">
        <v>11704</v>
      </c>
      <c r="K216" t="s">
        <v>11919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1607</v>
      </c>
      <c r="E217" t="s">
        <v>8</v>
      </c>
      <c r="I217" t="s">
        <v>6997</v>
      </c>
      <c r="J217" t="s">
        <v>11704</v>
      </c>
      <c r="K217" t="s">
        <v>11920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5699</v>
      </c>
      <c r="E218" t="s">
        <v>4396</v>
      </c>
      <c r="F218" t="s">
        <v>7344</v>
      </c>
      <c r="I218" t="s">
        <v>7279</v>
      </c>
      <c r="J218" t="s">
        <v>11704</v>
      </c>
      <c r="K218" t="s">
        <v>11921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588</v>
      </c>
      <c r="E219" t="s">
        <v>4396</v>
      </c>
      <c r="I219" t="s">
        <v>7281</v>
      </c>
      <c r="J219" t="s">
        <v>11704</v>
      </c>
      <c r="K219" t="s">
        <v>11922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588</v>
      </c>
      <c r="E220" t="s">
        <v>4396</v>
      </c>
      <c r="I220" t="s">
        <v>7283</v>
      </c>
      <c r="J220" t="s">
        <v>11704</v>
      </c>
      <c r="K220" t="s">
        <v>11923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588</v>
      </c>
      <c r="E221" t="s">
        <v>4396</v>
      </c>
      <c r="I221" t="s">
        <v>7285</v>
      </c>
      <c r="J221" t="s">
        <v>11704</v>
      </c>
      <c r="K221" t="s">
        <v>11924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5699</v>
      </c>
      <c r="E222" t="s">
        <v>4396</v>
      </c>
      <c r="F222" t="s">
        <v>7356</v>
      </c>
      <c r="I222" t="s">
        <v>7287</v>
      </c>
      <c r="J222" t="s">
        <v>11704</v>
      </c>
      <c r="K222" t="s">
        <v>11925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7289</v>
      </c>
      <c r="J223" t="s">
        <v>11704</v>
      </c>
      <c r="K223" t="s">
        <v>11926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588</v>
      </c>
      <c r="E224" t="s">
        <v>4396</v>
      </c>
      <c r="I224" t="s">
        <v>7291</v>
      </c>
      <c r="J224" t="s">
        <v>11704</v>
      </c>
      <c r="K224" t="s">
        <v>11927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588</v>
      </c>
      <c r="E225" t="s">
        <v>4396</v>
      </c>
      <c r="I225" t="s">
        <v>7293</v>
      </c>
      <c r="J225" t="s">
        <v>11704</v>
      </c>
      <c r="K225" t="s">
        <v>11928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588</v>
      </c>
      <c r="E226" t="s">
        <v>4396</v>
      </c>
      <c r="I226" t="s">
        <v>7295</v>
      </c>
      <c r="J226" t="s">
        <v>11704</v>
      </c>
      <c r="K226" t="s">
        <v>11929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588</v>
      </c>
      <c r="E227" t="s">
        <v>4396</v>
      </c>
      <c r="I227" t="s">
        <v>7297</v>
      </c>
      <c r="J227" t="s">
        <v>11704</v>
      </c>
      <c r="K227" t="s">
        <v>11930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7299</v>
      </c>
      <c r="J228" t="s">
        <v>11704</v>
      </c>
      <c r="K228" t="s">
        <v>11931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1607</v>
      </c>
      <c r="E229" t="s">
        <v>8</v>
      </c>
      <c r="I229" t="s">
        <v>7438</v>
      </c>
      <c r="J229" t="s">
        <v>11704</v>
      </c>
      <c r="K229" t="s">
        <v>11932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7610</v>
      </c>
      <c r="J230" t="s">
        <v>11704</v>
      </c>
      <c r="K230" t="s">
        <v>11933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588</v>
      </c>
      <c r="E231" t="s">
        <v>4396</v>
      </c>
      <c r="I231" t="s">
        <v>7612</v>
      </c>
      <c r="J231" t="s">
        <v>11704</v>
      </c>
      <c r="K231" t="s">
        <v>11934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588</v>
      </c>
      <c r="E232" t="s">
        <v>4396</v>
      </c>
      <c r="I232" t="s">
        <v>7614</v>
      </c>
      <c r="J232" t="s">
        <v>11704</v>
      </c>
      <c r="K232" t="s">
        <v>11935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588</v>
      </c>
      <c r="E233" t="s">
        <v>4396</v>
      </c>
      <c r="I233" t="s">
        <v>7616</v>
      </c>
      <c r="J233" t="s">
        <v>11704</v>
      </c>
      <c r="K233" t="s">
        <v>11936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588</v>
      </c>
      <c r="E234" t="s">
        <v>4396</v>
      </c>
      <c r="I234" t="s">
        <v>7618</v>
      </c>
      <c r="J234" t="s">
        <v>11704</v>
      </c>
      <c r="K234" t="s">
        <v>11937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588</v>
      </c>
      <c r="E235" t="s">
        <v>4396</v>
      </c>
      <c r="I235" t="s">
        <v>7620</v>
      </c>
      <c r="J235" t="s">
        <v>11704</v>
      </c>
      <c r="K235" t="s">
        <v>11938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7622</v>
      </c>
      <c r="J236" t="s">
        <v>11704</v>
      </c>
      <c r="K236" t="s">
        <v>11939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1607</v>
      </c>
      <c r="E237" t="s">
        <v>8</v>
      </c>
      <c r="I237" t="s">
        <v>7722</v>
      </c>
      <c r="J237" t="s">
        <v>11704</v>
      </c>
      <c r="K237" t="s">
        <v>11940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1607</v>
      </c>
      <c r="E238" t="s">
        <v>8</v>
      </c>
      <c r="I238" t="s">
        <v>7723</v>
      </c>
      <c r="J238" t="s">
        <v>11704</v>
      </c>
      <c r="K238" t="s">
        <v>11941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1607</v>
      </c>
      <c r="E239" t="s">
        <v>8</v>
      </c>
      <c r="I239" t="s">
        <v>7855</v>
      </c>
      <c r="J239" t="s">
        <v>11704</v>
      </c>
      <c r="K239" t="s">
        <v>11942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5699</v>
      </c>
      <c r="E240" t="s">
        <v>4396</v>
      </c>
      <c r="I240" t="s">
        <v>7857</v>
      </c>
      <c r="J240" t="s">
        <v>11704</v>
      </c>
      <c r="K240" t="s">
        <v>11943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5699</v>
      </c>
      <c r="E241" t="s">
        <v>4396</v>
      </c>
      <c r="H241" t="s">
        <v>2352</v>
      </c>
      <c r="I241" t="s">
        <v>7859</v>
      </c>
      <c r="J241" t="s">
        <v>11704</v>
      </c>
      <c r="K241" t="s">
        <v>11944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5699</v>
      </c>
      <c r="E242" t="s">
        <v>4396</v>
      </c>
      <c r="F242" t="s">
        <v>7356</v>
      </c>
      <c r="I242" t="s">
        <v>7861</v>
      </c>
      <c r="J242" t="s">
        <v>11704</v>
      </c>
      <c r="K242" t="s">
        <v>11945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8051</v>
      </c>
      <c r="J243" t="s">
        <v>11704</v>
      </c>
      <c r="K243" t="s">
        <v>11946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5699</v>
      </c>
      <c r="E244" t="s">
        <v>4396</v>
      </c>
      <c r="F244" t="s">
        <v>7356</v>
      </c>
      <c r="I244" t="s">
        <v>8053</v>
      </c>
      <c r="J244" t="s">
        <v>11704</v>
      </c>
      <c r="K244" t="s">
        <v>11947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588</v>
      </c>
      <c r="E245" t="s">
        <v>4396</v>
      </c>
      <c r="I245" t="s">
        <v>8055</v>
      </c>
      <c r="J245" t="s">
        <v>11704</v>
      </c>
      <c r="K245" t="s">
        <v>11948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588</v>
      </c>
      <c r="E246" t="s">
        <v>4396</v>
      </c>
      <c r="I246" t="s">
        <v>8057</v>
      </c>
      <c r="J246" t="s">
        <v>11704</v>
      </c>
      <c r="K246" t="s">
        <v>11949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588</v>
      </c>
      <c r="E247" t="s">
        <v>4396</v>
      </c>
      <c r="I247" t="s">
        <v>8059</v>
      </c>
      <c r="J247" t="s">
        <v>11704</v>
      </c>
      <c r="K247" t="s">
        <v>11950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588</v>
      </c>
      <c r="E248" t="s">
        <v>4396</v>
      </c>
      <c r="I248" t="s">
        <v>8061</v>
      </c>
      <c r="J248" t="s">
        <v>11704</v>
      </c>
      <c r="K248" t="s">
        <v>11951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588</v>
      </c>
      <c r="E249" t="s">
        <v>4396</v>
      </c>
      <c r="I249" t="s">
        <v>8337</v>
      </c>
      <c r="J249" t="s">
        <v>11704</v>
      </c>
      <c r="K249" t="s">
        <v>11952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588</v>
      </c>
      <c r="E250" t="s">
        <v>4396</v>
      </c>
      <c r="I250" t="s">
        <v>8339</v>
      </c>
      <c r="J250" t="s">
        <v>11704</v>
      </c>
      <c r="K250" t="s">
        <v>11953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588</v>
      </c>
      <c r="E251" t="s">
        <v>4396</v>
      </c>
      <c r="I251" t="s">
        <v>8341</v>
      </c>
      <c r="J251" t="s">
        <v>11704</v>
      </c>
      <c r="K251" t="s">
        <v>11954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588</v>
      </c>
      <c r="E252" t="s">
        <v>4396</v>
      </c>
      <c r="I252" t="s">
        <v>8343</v>
      </c>
      <c r="J252" t="s">
        <v>11704</v>
      </c>
      <c r="K252" t="s">
        <v>11955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588</v>
      </c>
      <c r="E253" t="s">
        <v>4396</v>
      </c>
      <c r="I253" t="s">
        <v>8345</v>
      </c>
      <c r="J253" t="s">
        <v>11704</v>
      </c>
      <c r="K253" t="s">
        <v>11956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588</v>
      </c>
      <c r="E254" t="s">
        <v>4396</v>
      </c>
      <c r="I254" t="s">
        <v>8347</v>
      </c>
      <c r="J254" t="s">
        <v>11704</v>
      </c>
      <c r="K254" t="s">
        <v>11957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588</v>
      </c>
      <c r="E255" t="s">
        <v>4396</v>
      </c>
      <c r="I255" t="s">
        <v>8349</v>
      </c>
      <c r="J255" t="s">
        <v>11704</v>
      </c>
      <c r="K255" t="s">
        <v>11958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588</v>
      </c>
      <c r="E256" t="s">
        <v>4396</v>
      </c>
      <c r="I256" t="s">
        <v>8351</v>
      </c>
      <c r="J256" t="s">
        <v>11704</v>
      </c>
      <c r="K256" t="s">
        <v>11959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1607</v>
      </c>
      <c r="E257" t="s">
        <v>8</v>
      </c>
      <c r="I257" t="s">
        <v>8393</v>
      </c>
      <c r="J257" t="s">
        <v>11704</v>
      </c>
      <c r="K257" t="s">
        <v>11960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1607</v>
      </c>
      <c r="E258" t="s">
        <v>8</v>
      </c>
      <c r="I258" t="s">
        <v>8395</v>
      </c>
      <c r="J258" t="s">
        <v>11704</v>
      </c>
      <c r="K258" t="s">
        <v>11961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8529</v>
      </c>
      <c r="E259" t="s">
        <v>468</v>
      </c>
      <c r="I259" t="s">
        <v>8504</v>
      </c>
      <c r="J259" t="s">
        <v>11704</v>
      </c>
      <c r="K259" t="s">
        <v>11962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8530</v>
      </c>
      <c r="E260" t="s">
        <v>468</v>
      </c>
      <c r="I260" t="s">
        <v>8506</v>
      </c>
      <c r="J260" t="s">
        <v>11704</v>
      </c>
      <c r="K260" t="s">
        <v>11963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1607</v>
      </c>
      <c r="E261" t="s">
        <v>8</v>
      </c>
      <c r="I261" t="s">
        <v>8686</v>
      </c>
      <c r="J261" t="s">
        <v>11704</v>
      </c>
      <c r="K261" t="s">
        <v>11964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1607</v>
      </c>
      <c r="E262" t="s">
        <v>8</v>
      </c>
      <c r="I262" t="s">
        <v>8688</v>
      </c>
      <c r="J262" t="s">
        <v>11704</v>
      </c>
      <c r="K262" t="s">
        <v>11965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1607</v>
      </c>
      <c r="E263" t="s">
        <v>8</v>
      </c>
      <c r="I263" t="s">
        <v>8795</v>
      </c>
      <c r="J263" t="s">
        <v>11704</v>
      </c>
      <c r="K263" t="s">
        <v>11966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1607</v>
      </c>
      <c r="E264" t="s">
        <v>8</v>
      </c>
      <c r="I264" t="s">
        <v>8797</v>
      </c>
      <c r="J264" t="s">
        <v>11704</v>
      </c>
      <c r="K264" t="s">
        <v>11967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1607</v>
      </c>
      <c r="E265" t="s">
        <v>8</v>
      </c>
      <c r="I265" t="s">
        <v>8846</v>
      </c>
      <c r="J265" t="s">
        <v>11704</v>
      </c>
      <c r="K265" t="s">
        <v>11968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8925</v>
      </c>
      <c r="I266" t="s">
        <v>8923</v>
      </c>
      <c r="J266" t="s">
        <v>11704</v>
      </c>
      <c r="K266" t="s">
        <v>11969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1607</v>
      </c>
      <c r="E267" t="s">
        <v>8</v>
      </c>
      <c r="I267" t="s">
        <v>9032</v>
      </c>
      <c r="J267" t="s">
        <v>11704</v>
      </c>
      <c r="K267" t="s">
        <v>11970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227</v>
      </c>
      <c r="E268" t="s">
        <v>9129</v>
      </c>
      <c r="F268" t="s">
        <v>60</v>
      </c>
      <c r="I268" t="s">
        <v>9034</v>
      </c>
      <c r="J268" t="s">
        <v>11704</v>
      </c>
      <c r="K268" t="s">
        <v>11971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227</v>
      </c>
      <c r="E269" t="s">
        <v>9129</v>
      </c>
      <c r="F269" t="s">
        <v>60</v>
      </c>
      <c r="H269" t="s">
        <v>2352</v>
      </c>
      <c r="I269" t="s">
        <v>9036</v>
      </c>
      <c r="J269" t="s">
        <v>11704</v>
      </c>
      <c r="K269" t="s">
        <v>11972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227</v>
      </c>
      <c r="E270" t="s">
        <v>9129</v>
      </c>
      <c r="F270" t="s">
        <v>60</v>
      </c>
      <c r="H270" t="s">
        <v>2352</v>
      </c>
      <c r="I270" t="s">
        <v>9038</v>
      </c>
      <c r="J270" t="s">
        <v>11704</v>
      </c>
      <c r="K270" t="s">
        <v>11973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227</v>
      </c>
      <c r="E271" t="s">
        <v>9129</v>
      </c>
      <c r="F271" t="s">
        <v>60</v>
      </c>
      <c r="H271" t="s">
        <v>2352</v>
      </c>
      <c r="I271" t="s">
        <v>9040</v>
      </c>
      <c r="J271" t="s">
        <v>11704</v>
      </c>
      <c r="K271" t="s">
        <v>11974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227</v>
      </c>
      <c r="E272" t="s">
        <v>9129</v>
      </c>
      <c r="F272" t="s">
        <v>60</v>
      </c>
      <c r="H272" t="s">
        <v>2352</v>
      </c>
      <c r="I272" t="s">
        <v>9042</v>
      </c>
      <c r="J272" t="s">
        <v>11704</v>
      </c>
      <c r="K272" t="s">
        <v>11975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227</v>
      </c>
      <c r="E273" t="s">
        <v>9129</v>
      </c>
      <c r="F273" t="s">
        <v>60</v>
      </c>
      <c r="H273" t="s">
        <v>2352</v>
      </c>
      <c r="I273" t="s">
        <v>9044</v>
      </c>
      <c r="J273" t="s">
        <v>11704</v>
      </c>
      <c r="K273" t="s">
        <v>11976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227</v>
      </c>
      <c r="E274" t="s">
        <v>9129</v>
      </c>
      <c r="F274" t="s">
        <v>60</v>
      </c>
      <c r="H274" t="s">
        <v>2352</v>
      </c>
      <c r="I274" t="s">
        <v>9046</v>
      </c>
      <c r="J274" t="s">
        <v>11704</v>
      </c>
      <c r="K274" t="s">
        <v>11977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227</v>
      </c>
      <c r="E275" t="s">
        <v>9129</v>
      </c>
      <c r="F275" t="s">
        <v>60</v>
      </c>
      <c r="H275" t="s">
        <v>2352</v>
      </c>
      <c r="I275" t="s">
        <v>9048</v>
      </c>
      <c r="J275" t="s">
        <v>11704</v>
      </c>
      <c r="K275" t="s">
        <v>11978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227</v>
      </c>
      <c r="E276" t="s">
        <v>9129</v>
      </c>
      <c r="F276" t="s">
        <v>60</v>
      </c>
      <c r="H276" t="s">
        <v>2352</v>
      </c>
      <c r="I276" t="s">
        <v>9050</v>
      </c>
      <c r="J276" t="s">
        <v>11704</v>
      </c>
      <c r="K276" t="s">
        <v>11979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227</v>
      </c>
      <c r="E277" t="s">
        <v>9129</v>
      </c>
      <c r="F277" t="s">
        <v>60</v>
      </c>
      <c r="H277" t="s">
        <v>2352</v>
      </c>
      <c r="I277" t="s">
        <v>9052</v>
      </c>
      <c r="J277" t="s">
        <v>11704</v>
      </c>
      <c r="K277" t="s">
        <v>11980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227</v>
      </c>
      <c r="E278" t="s">
        <v>9129</v>
      </c>
      <c r="F278" t="s">
        <v>60</v>
      </c>
      <c r="H278" t="s">
        <v>2352</v>
      </c>
      <c r="I278" t="s">
        <v>9054</v>
      </c>
      <c r="J278" t="s">
        <v>11704</v>
      </c>
      <c r="K278" t="s">
        <v>11981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227</v>
      </c>
      <c r="E279" t="s">
        <v>9129</v>
      </c>
      <c r="F279" t="s">
        <v>60</v>
      </c>
      <c r="H279" t="s">
        <v>2352</v>
      </c>
      <c r="I279" t="s">
        <v>9056</v>
      </c>
      <c r="J279" t="s">
        <v>11704</v>
      </c>
      <c r="K279" t="s">
        <v>11982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9139</v>
      </c>
      <c r="E280" t="s">
        <v>9129</v>
      </c>
      <c r="I280" t="s">
        <v>9058</v>
      </c>
      <c r="J280" t="s">
        <v>11704</v>
      </c>
      <c r="K280" t="s">
        <v>11983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227</v>
      </c>
      <c r="E281" t="s">
        <v>9129</v>
      </c>
      <c r="F281" t="s">
        <v>60</v>
      </c>
      <c r="I281" t="s">
        <v>9060</v>
      </c>
      <c r="J281" t="s">
        <v>11704</v>
      </c>
      <c r="K281" t="s">
        <v>11984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227</v>
      </c>
      <c r="E282" t="s">
        <v>9129</v>
      </c>
      <c r="F282" t="s">
        <v>60</v>
      </c>
      <c r="H282" t="s">
        <v>2352</v>
      </c>
      <c r="I282" t="s">
        <v>9062</v>
      </c>
      <c r="J282" t="s">
        <v>11704</v>
      </c>
      <c r="K282" t="s">
        <v>11985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227</v>
      </c>
      <c r="E283" t="s">
        <v>9129</v>
      </c>
      <c r="F283" t="s">
        <v>60</v>
      </c>
      <c r="H283" t="s">
        <v>2352</v>
      </c>
      <c r="I283" t="s">
        <v>9064</v>
      </c>
      <c r="J283" t="s">
        <v>11704</v>
      </c>
      <c r="K283" t="s">
        <v>11986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227</v>
      </c>
      <c r="E284" t="s">
        <v>9129</v>
      </c>
      <c r="F284" t="s">
        <v>60</v>
      </c>
      <c r="H284" t="s">
        <v>2352</v>
      </c>
      <c r="I284" t="s">
        <v>9066</v>
      </c>
      <c r="J284" t="s">
        <v>11704</v>
      </c>
      <c r="K284" t="s">
        <v>11987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227</v>
      </c>
      <c r="E285" t="s">
        <v>9129</v>
      </c>
      <c r="F285" t="s">
        <v>60</v>
      </c>
      <c r="H285" t="s">
        <v>2352</v>
      </c>
      <c r="I285" t="s">
        <v>9068</v>
      </c>
      <c r="J285" t="s">
        <v>11704</v>
      </c>
      <c r="K285" t="s">
        <v>11988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227</v>
      </c>
      <c r="E286" t="s">
        <v>9129</v>
      </c>
      <c r="F286" t="s">
        <v>60</v>
      </c>
      <c r="H286" t="s">
        <v>2352</v>
      </c>
      <c r="I286" t="s">
        <v>9070</v>
      </c>
      <c r="J286" t="s">
        <v>11704</v>
      </c>
      <c r="K286" t="s">
        <v>11989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227</v>
      </c>
      <c r="E287" t="s">
        <v>9129</v>
      </c>
      <c r="F287" t="s">
        <v>60</v>
      </c>
      <c r="H287" t="s">
        <v>2352</v>
      </c>
      <c r="I287" t="s">
        <v>9072</v>
      </c>
      <c r="J287" t="s">
        <v>11704</v>
      </c>
      <c r="K287" t="s">
        <v>11990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227</v>
      </c>
      <c r="E288" t="s">
        <v>9129</v>
      </c>
      <c r="F288" t="s">
        <v>60</v>
      </c>
      <c r="H288" t="s">
        <v>2352</v>
      </c>
      <c r="I288" t="s">
        <v>9074</v>
      </c>
      <c r="J288" t="s">
        <v>11704</v>
      </c>
      <c r="K288" t="s">
        <v>11991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227</v>
      </c>
      <c r="E289" t="s">
        <v>9129</v>
      </c>
      <c r="F289" t="s">
        <v>60</v>
      </c>
      <c r="H289" t="s">
        <v>2352</v>
      </c>
      <c r="I289" t="s">
        <v>9076</v>
      </c>
      <c r="J289" t="s">
        <v>11704</v>
      </c>
      <c r="K289" t="s">
        <v>11992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227</v>
      </c>
      <c r="E290" t="s">
        <v>9129</v>
      </c>
      <c r="F290" t="s">
        <v>60</v>
      </c>
      <c r="H290" t="s">
        <v>2352</v>
      </c>
      <c r="I290" t="s">
        <v>9078</v>
      </c>
      <c r="J290" t="s">
        <v>11704</v>
      </c>
      <c r="K290" t="s">
        <v>11993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227</v>
      </c>
      <c r="E291" t="s">
        <v>9129</v>
      </c>
      <c r="F291" t="s">
        <v>60</v>
      </c>
      <c r="H291" t="s">
        <v>2352</v>
      </c>
      <c r="I291" t="s">
        <v>9080</v>
      </c>
      <c r="J291" t="s">
        <v>11704</v>
      </c>
      <c r="K291" t="s">
        <v>11994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4099</v>
      </c>
      <c r="E292" t="s">
        <v>9129</v>
      </c>
      <c r="I292" t="s">
        <v>9082</v>
      </c>
      <c r="J292" t="s">
        <v>11704</v>
      </c>
      <c r="K292" t="s">
        <v>11995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588</v>
      </c>
      <c r="E293" t="s">
        <v>4396</v>
      </c>
      <c r="I293" t="s">
        <v>9084</v>
      </c>
      <c r="J293" t="s">
        <v>11704</v>
      </c>
      <c r="K293" t="s">
        <v>11996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588</v>
      </c>
      <c r="E294" t="s">
        <v>4396</v>
      </c>
      <c r="I294" t="s">
        <v>9086</v>
      </c>
      <c r="J294" t="s">
        <v>11704</v>
      </c>
      <c r="K294" t="s">
        <v>11997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588</v>
      </c>
      <c r="E295" t="s">
        <v>4396</v>
      </c>
      <c r="I295" t="s">
        <v>9088</v>
      </c>
      <c r="J295" t="s">
        <v>11704</v>
      </c>
      <c r="K295" t="s">
        <v>11998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588</v>
      </c>
      <c r="E296" t="s">
        <v>4396</v>
      </c>
      <c r="I296" t="s">
        <v>9090</v>
      </c>
      <c r="J296" t="s">
        <v>11704</v>
      </c>
      <c r="K296" t="s">
        <v>11999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588</v>
      </c>
      <c r="E297" t="s">
        <v>4396</v>
      </c>
      <c r="I297" t="s">
        <v>9092</v>
      </c>
      <c r="J297" t="s">
        <v>11704</v>
      </c>
      <c r="K297" t="s">
        <v>12000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9094</v>
      </c>
      <c r="J298" t="s">
        <v>11704</v>
      </c>
      <c r="K298" t="s">
        <v>12001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6439</v>
      </c>
      <c r="I299" t="s">
        <v>9221</v>
      </c>
      <c r="J299" t="s">
        <v>11704</v>
      </c>
      <c r="K299" t="s">
        <v>12002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1607</v>
      </c>
      <c r="E300" t="s">
        <v>8</v>
      </c>
      <c r="I300" t="s">
        <v>9223</v>
      </c>
      <c r="J300" t="s">
        <v>11704</v>
      </c>
      <c r="K300" t="s">
        <v>12003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6439</v>
      </c>
      <c r="I301" t="s">
        <v>9225</v>
      </c>
      <c r="J301" t="s">
        <v>11704</v>
      </c>
      <c r="K301" t="s">
        <v>12004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1607</v>
      </c>
      <c r="E302" t="s">
        <v>8</v>
      </c>
      <c r="I302" t="s">
        <v>9390</v>
      </c>
      <c r="J302" t="s">
        <v>11704</v>
      </c>
      <c r="K302" t="s">
        <v>12005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1607</v>
      </c>
      <c r="E303" t="s">
        <v>8</v>
      </c>
      <c r="I303" t="s">
        <v>9392</v>
      </c>
      <c r="J303" t="s">
        <v>11704</v>
      </c>
      <c r="K303" t="s">
        <v>12006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11082</v>
      </c>
      <c r="E304" t="s">
        <v>86</v>
      </c>
      <c r="I304" t="s">
        <v>10788</v>
      </c>
      <c r="J304" t="s">
        <v>11704</v>
      </c>
      <c r="K304" t="s">
        <v>12007</v>
      </c>
      <c r="L304" t="s">
        <v>10789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11082</v>
      </c>
      <c r="E305" t="s">
        <v>86</v>
      </c>
      <c r="I305" t="s">
        <v>10790</v>
      </c>
      <c r="J305" t="s">
        <v>11704</v>
      </c>
      <c r="K305" t="s">
        <v>12008</v>
      </c>
      <c r="L305" t="s">
        <v>10791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10792</v>
      </c>
      <c r="J306" t="s">
        <v>11704</v>
      </c>
      <c r="K306" t="s">
        <v>12009</v>
      </c>
      <c r="L306" t="s">
        <v>10793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11078</v>
      </c>
      <c r="E307" t="s">
        <v>86</v>
      </c>
      <c r="I307" t="s">
        <v>10794</v>
      </c>
      <c r="J307" t="s">
        <v>11704</v>
      </c>
      <c r="K307" t="s">
        <v>12010</v>
      </c>
      <c r="L307" t="s">
        <v>10795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11078</v>
      </c>
      <c r="E308" t="s">
        <v>86</v>
      </c>
      <c r="I308" t="s">
        <v>10796</v>
      </c>
      <c r="J308" t="s">
        <v>11704</v>
      </c>
      <c r="K308" t="s">
        <v>12011</v>
      </c>
      <c r="L308" t="s">
        <v>10797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11078</v>
      </c>
      <c r="E309" t="s">
        <v>86</v>
      </c>
      <c r="I309" t="s">
        <v>10798</v>
      </c>
      <c r="J309" t="s">
        <v>11704</v>
      </c>
      <c r="K309" t="s">
        <v>12012</v>
      </c>
      <c r="L309" t="s">
        <v>10799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10800</v>
      </c>
      <c r="J310" t="s">
        <v>11704</v>
      </c>
      <c r="K310" t="s">
        <v>12013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</sheetData>
  <conditionalFormatting sqref="D311:D321 E311:E324 G2:H310 D2:E310">
    <cfRule type="containsText" dxfId="846" priority="14" operator="containsText" text="Выезд с территории">
      <formula>NOT(ISERROR(SEARCH("Выезд с территории",D2)))</formula>
    </cfRule>
  </conditionalFormatting>
  <conditionalFormatting sqref="F2:F310">
    <cfRule type="notContainsText" dxfId="845" priority="13" operator="notContains" text="порожний">
      <formula>ISERROR(SEARCH("порожний",F2))</formula>
    </cfRule>
  </conditionalFormatting>
  <conditionalFormatting sqref="E2:E324">
    <cfRule type="containsText" dxfId="844" priority="11" operator="containsText" text="Газель базы">
      <formula>NOT(ISERROR(SEARCH("Газель базы",E2)))</formula>
    </cfRule>
    <cfRule type="containsText" dxfId="843" priority="12" operator="containsText" text="Погрузчик базы">
      <formula>NOT(ISERROR(SEARCH("Погрузчик базы",E2)))</formula>
    </cfRule>
  </conditionalFormatting>
  <conditionalFormatting sqref="E2:E324">
    <cfRule type="containsText" dxfId="842" priority="10" operator="containsText" text="Трактор базы">
      <formula>NOT(ISERROR(SEARCH("Трактор базы",E2)))</formula>
    </cfRule>
  </conditionalFormatting>
  <conditionalFormatting sqref="A2:C310">
    <cfRule type="expression" dxfId="841" priority="9">
      <formula>$A2="пн"</formula>
    </cfRule>
  </conditionalFormatting>
  <conditionalFormatting sqref="A2:C312">
    <cfRule type="expression" dxfId="840" priority="3">
      <formula>$A2="вс"</formula>
    </cfRule>
    <cfRule type="expression" dxfId="839" priority="4">
      <formula>$A2="сб"</formula>
    </cfRule>
    <cfRule type="expression" dxfId="838" priority="5">
      <formula>$A2="пт"</formula>
    </cfRule>
    <cfRule type="expression" dxfId="837" priority="6">
      <formula>$A2="чт"</formula>
    </cfRule>
    <cfRule type="expression" dxfId="836" priority="7">
      <formula>$A2="ср"</formula>
    </cfRule>
    <cfRule type="expression" dxfId="835" priority="8">
      <formula>$A2="вт"</formula>
    </cfRule>
  </conditionalFormatting>
  <conditionalFormatting sqref="D2:D321">
    <cfRule type="containsText" dxfId="8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1">
    <cfRule type="containsText" dxfId="8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245"/>
  <sheetViews>
    <sheetView zoomScale="90" zoomScaleNormal="90" workbookViewId="0">
      <pane ySplit="1" topLeftCell="A230" activePane="bottomLeft" state="frozen"/>
      <selection pane="bottomLeft" activeCell="I240" sqref="I240:I24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1429</v>
      </c>
      <c r="J2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1432</v>
      </c>
      <c r="J3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1435</v>
      </c>
      <c r="J4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1538</v>
      </c>
      <c r="I5" t="s">
        <v>1438</v>
      </c>
      <c r="J5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1441</v>
      </c>
      <c r="J6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1444</v>
      </c>
      <c r="J7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1447</v>
      </c>
      <c r="J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1450</v>
      </c>
      <c r="J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1453</v>
      </c>
      <c r="J10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1292</v>
      </c>
      <c r="I11" t="s">
        <v>1456</v>
      </c>
      <c r="J11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1539</v>
      </c>
      <c r="I12" t="s">
        <v>1459</v>
      </c>
      <c r="J12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1539</v>
      </c>
      <c r="I13" t="s">
        <v>1462</v>
      </c>
      <c r="J13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1465</v>
      </c>
      <c r="J14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1468</v>
      </c>
      <c r="J15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1471</v>
      </c>
      <c r="J16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1474</v>
      </c>
      <c r="J17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1292</v>
      </c>
      <c r="I18" t="s">
        <v>1477</v>
      </c>
      <c r="J1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1480</v>
      </c>
      <c r="J1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1483</v>
      </c>
      <c r="J20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1486</v>
      </c>
      <c r="J21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1489</v>
      </c>
      <c r="J22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1492</v>
      </c>
      <c r="J23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1495</v>
      </c>
      <c r="J24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1498</v>
      </c>
      <c r="J25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1292</v>
      </c>
      <c r="I26" t="s">
        <v>1501</v>
      </c>
      <c r="J26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1504</v>
      </c>
      <c r="J27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226</v>
      </c>
      <c r="E28" t="s">
        <v>86</v>
      </c>
      <c r="F28" t="s">
        <v>165</v>
      </c>
      <c r="I28" t="s">
        <v>1507</v>
      </c>
      <c r="J2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226</v>
      </c>
      <c r="E29" t="s">
        <v>86</v>
      </c>
      <c r="F29" t="s">
        <v>165</v>
      </c>
      <c r="I29" t="s">
        <v>1510</v>
      </c>
      <c r="J2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226</v>
      </c>
      <c r="E30" t="s">
        <v>86</v>
      </c>
      <c r="F30" t="s">
        <v>165</v>
      </c>
      <c r="I30" t="s">
        <v>1513</v>
      </c>
      <c r="J30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226</v>
      </c>
      <c r="E31" t="s">
        <v>86</v>
      </c>
      <c r="F31" t="s">
        <v>165</v>
      </c>
      <c r="I31" t="s">
        <v>1516</v>
      </c>
      <c r="J31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1292</v>
      </c>
      <c r="I32" t="s">
        <v>1519</v>
      </c>
      <c r="J32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1522</v>
      </c>
      <c r="J33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1292</v>
      </c>
      <c r="I34" t="s">
        <v>1525</v>
      </c>
      <c r="J34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1528</v>
      </c>
      <c r="J35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1531</v>
      </c>
      <c r="J36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1534</v>
      </c>
      <c r="J37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2062</v>
      </c>
      <c r="J3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2065</v>
      </c>
      <c r="J3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2068</v>
      </c>
      <c r="J40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2071</v>
      </c>
      <c r="J41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2074</v>
      </c>
      <c r="J42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1607</v>
      </c>
      <c r="I43" t="s">
        <v>2077</v>
      </c>
      <c r="J43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2080</v>
      </c>
      <c r="J44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1607</v>
      </c>
      <c r="I45" t="s">
        <v>2083</v>
      </c>
      <c r="J45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2086</v>
      </c>
      <c r="J46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1607</v>
      </c>
      <c r="I47" t="s">
        <v>2089</v>
      </c>
      <c r="J47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2092</v>
      </c>
      <c r="J4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1607</v>
      </c>
      <c r="I49" t="s">
        <v>2095</v>
      </c>
      <c r="J4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2098</v>
      </c>
      <c r="J50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1607</v>
      </c>
      <c r="I51" t="s">
        <v>2101</v>
      </c>
      <c r="J51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3292</v>
      </c>
      <c r="J52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3411</v>
      </c>
      <c r="E53" t="s">
        <v>3412</v>
      </c>
      <c r="I53" t="s">
        <v>3295</v>
      </c>
      <c r="J53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3411</v>
      </c>
      <c r="E54" t="s">
        <v>3412</v>
      </c>
      <c r="I54" t="s">
        <v>3298</v>
      </c>
      <c r="J54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3411</v>
      </c>
      <c r="E55" t="s">
        <v>3412</v>
      </c>
      <c r="I55" t="s">
        <v>3301</v>
      </c>
      <c r="J55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3411</v>
      </c>
      <c r="E56" t="s">
        <v>3412</v>
      </c>
      <c r="I56" t="s">
        <v>3304</v>
      </c>
      <c r="J56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3411</v>
      </c>
      <c r="E57" t="s">
        <v>3412</v>
      </c>
      <c r="I57" t="s">
        <v>3307</v>
      </c>
      <c r="J57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3413</v>
      </c>
      <c r="I58" t="s">
        <v>3310</v>
      </c>
      <c r="J5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3413</v>
      </c>
      <c r="I59" t="s">
        <v>3313</v>
      </c>
      <c r="J5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3413</v>
      </c>
      <c r="I60" t="s">
        <v>3316</v>
      </c>
      <c r="J60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3413</v>
      </c>
      <c r="I61" t="s">
        <v>3319</v>
      </c>
      <c r="J61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3413</v>
      </c>
      <c r="I62" t="s">
        <v>3322</v>
      </c>
      <c r="J62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3413</v>
      </c>
      <c r="I63" t="s">
        <v>3325</v>
      </c>
      <c r="J63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3328</v>
      </c>
      <c r="J64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1607</v>
      </c>
      <c r="I65" t="s">
        <v>3448</v>
      </c>
      <c r="J65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3915</v>
      </c>
      <c r="J66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2352</v>
      </c>
      <c r="I67" t="s">
        <v>3918</v>
      </c>
      <c r="J67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2352</v>
      </c>
      <c r="I68" t="s">
        <v>3921</v>
      </c>
      <c r="J6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2352</v>
      </c>
      <c r="I69" t="s">
        <v>3924</v>
      </c>
      <c r="J6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2352</v>
      </c>
      <c r="I70" t="s">
        <v>3927</v>
      </c>
      <c r="J70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2352</v>
      </c>
      <c r="I71" t="s">
        <v>3930</v>
      </c>
      <c r="J71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2352</v>
      </c>
      <c r="I72" t="s">
        <v>3933</v>
      </c>
      <c r="J72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2352</v>
      </c>
      <c r="I73" t="s">
        <v>3936</v>
      </c>
      <c r="J73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2352</v>
      </c>
      <c r="I74" t="s">
        <v>3939</v>
      </c>
      <c r="J74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2352</v>
      </c>
      <c r="I75" t="s">
        <v>3942</v>
      </c>
      <c r="J75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2352</v>
      </c>
      <c r="I76" t="s">
        <v>3945</v>
      </c>
      <c r="J76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2352</v>
      </c>
      <c r="I77" t="s">
        <v>3948</v>
      </c>
      <c r="J77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2352</v>
      </c>
      <c r="I78" t="s">
        <v>3951</v>
      </c>
      <c r="J7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2352</v>
      </c>
      <c r="I79" t="s">
        <v>3954</v>
      </c>
      <c r="J7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2352</v>
      </c>
      <c r="I80" t="s">
        <v>3957</v>
      </c>
      <c r="J80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2352</v>
      </c>
      <c r="I81" t="s">
        <v>3960</v>
      </c>
      <c r="J81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2352</v>
      </c>
      <c r="I82" t="s">
        <v>3963</v>
      </c>
      <c r="J82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2352</v>
      </c>
      <c r="I83" t="s">
        <v>3966</v>
      </c>
      <c r="J83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2352</v>
      </c>
      <c r="I84" t="s">
        <v>3969</v>
      </c>
      <c r="J84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1607</v>
      </c>
      <c r="E85" t="s">
        <v>8</v>
      </c>
      <c r="I85" t="s">
        <v>3972</v>
      </c>
      <c r="J85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1607</v>
      </c>
      <c r="E86" t="s">
        <v>8</v>
      </c>
      <c r="I86" t="s">
        <v>4199</v>
      </c>
      <c r="J86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4394</v>
      </c>
      <c r="I87" t="s">
        <v>4375</v>
      </c>
      <c r="J87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4378</v>
      </c>
      <c r="J8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4394</v>
      </c>
      <c r="H89" t="s">
        <v>4395</v>
      </c>
      <c r="I89" t="s">
        <v>4381</v>
      </c>
      <c r="J8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1607</v>
      </c>
      <c r="E90" t="s">
        <v>8</v>
      </c>
      <c r="I90" t="s">
        <v>4521</v>
      </c>
      <c r="J90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1607</v>
      </c>
      <c r="E91" t="s">
        <v>8</v>
      </c>
      <c r="I91" t="s">
        <v>4524</v>
      </c>
      <c r="J91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1607</v>
      </c>
      <c r="E92" t="s">
        <v>8</v>
      </c>
      <c r="I92" t="s">
        <v>4527</v>
      </c>
      <c r="J92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4785</v>
      </c>
      <c r="J93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587</v>
      </c>
      <c r="E94" t="s">
        <v>4940</v>
      </c>
      <c r="I94" t="s">
        <v>4788</v>
      </c>
      <c r="J94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587</v>
      </c>
      <c r="E95" t="s">
        <v>4940</v>
      </c>
      <c r="H95" t="s">
        <v>2352</v>
      </c>
      <c r="I95" t="s">
        <v>4791</v>
      </c>
      <c r="J95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4794</v>
      </c>
      <c r="J96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1607</v>
      </c>
      <c r="E97" t="s">
        <v>8</v>
      </c>
      <c r="I97" t="s">
        <v>4797</v>
      </c>
      <c r="J97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1607</v>
      </c>
      <c r="E98" t="s">
        <v>8</v>
      </c>
      <c r="I98" t="s">
        <v>4985</v>
      </c>
      <c r="J9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5188</v>
      </c>
      <c r="J9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5191</v>
      </c>
      <c r="J100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1607</v>
      </c>
      <c r="E101" t="s">
        <v>8</v>
      </c>
      <c r="I101" t="s">
        <v>5295</v>
      </c>
      <c r="J101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5427</v>
      </c>
      <c r="J102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2352</v>
      </c>
      <c r="I103" t="s">
        <v>5430</v>
      </c>
      <c r="J103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5655</v>
      </c>
      <c r="J104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2352</v>
      </c>
      <c r="I105" t="s">
        <v>5658</v>
      </c>
      <c r="J105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1607</v>
      </c>
      <c r="E106" t="s">
        <v>8</v>
      </c>
      <c r="I106" t="s">
        <v>5661</v>
      </c>
      <c r="J106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1607</v>
      </c>
      <c r="E107" t="s">
        <v>8</v>
      </c>
      <c r="H107" t="s">
        <v>1617</v>
      </c>
      <c r="I107" t="s">
        <v>5664</v>
      </c>
      <c r="J107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1607</v>
      </c>
      <c r="E108" t="s">
        <v>8</v>
      </c>
      <c r="I108" t="s">
        <v>5727</v>
      </c>
      <c r="J10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1607</v>
      </c>
      <c r="E109" t="s">
        <v>8</v>
      </c>
      <c r="I109" t="s">
        <v>5894</v>
      </c>
      <c r="J10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1607</v>
      </c>
      <c r="E110" t="s">
        <v>8</v>
      </c>
      <c r="I110" t="s">
        <v>5897</v>
      </c>
      <c r="J110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5910</v>
      </c>
      <c r="I111" t="s">
        <v>5900</v>
      </c>
      <c r="J111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6163</v>
      </c>
      <c r="I112" t="s">
        <v>6031</v>
      </c>
      <c r="J112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6164</v>
      </c>
      <c r="H113" t="s">
        <v>2352</v>
      </c>
      <c r="I113" t="s">
        <v>6034</v>
      </c>
      <c r="J113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6165</v>
      </c>
      <c r="I114" t="s">
        <v>6037</v>
      </c>
      <c r="J114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2464</v>
      </c>
      <c r="I115" t="s">
        <v>6040</v>
      </c>
      <c r="J115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6206</v>
      </c>
      <c r="J116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2352</v>
      </c>
      <c r="I117" t="s">
        <v>6209</v>
      </c>
      <c r="J117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2352</v>
      </c>
      <c r="I118" t="s">
        <v>6212</v>
      </c>
      <c r="J11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2352</v>
      </c>
      <c r="I119" t="s">
        <v>6215</v>
      </c>
      <c r="J11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2352</v>
      </c>
      <c r="I120" t="s">
        <v>6218</v>
      </c>
      <c r="J120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6371</v>
      </c>
      <c r="J121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6374</v>
      </c>
      <c r="J122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6377</v>
      </c>
      <c r="J123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6380</v>
      </c>
      <c r="J124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1607</v>
      </c>
      <c r="E125" t="s">
        <v>8</v>
      </c>
      <c r="I125" t="s">
        <v>6643</v>
      </c>
      <c r="J125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1607</v>
      </c>
      <c r="E126" t="s">
        <v>8</v>
      </c>
      <c r="I126" t="s">
        <v>6646</v>
      </c>
      <c r="J126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1607</v>
      </c>
      <c r="E127" t="s">
        <v>8</v>
      </c>
      <c r="I127" t="s">
        <v>6649</v>
      </c>
      <c r="J127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1607</v>
      </c>
      <c r="E128" t="s">
        <v>8</v>
      </c>
      <c r="I128" t="s">
        <v>6652</v>
      </c>
      <c r="J12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1607</v>
      </c>
      <c r="E129" t="s">
        <v>8</v>
      </c>
      <c r="I129" t="s">
        <v>6655</v>
      </c>
      <c r="J12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1607</v>
      </c>
      <c r="E130" t="s">
        <v>8</v>
      </c>
      <c r="I130" t="s">
        <v>6761</v>
      </c>
      <c r="J130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1607</v>
      </c>
      <c r="E131" t="s">
        <v>8</v>
      </c>
      <c r="I131" t="s">
        <v>6764</v>
      </c>
      <c r="J131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1607</v>
      </c>
      <c r="E132" t="s">
        <v>8</v>
      </c>
      <c r="I132" t="s">
        <v>6767</v>
      </c>
      <c r="J132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1607</v>
      </c>
      <c r="E133" t="s">
        <v>8</v>
      </c>
      <c r="I133" t="s">
        <v>6999</v>
      </c>
      <c r="J133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1607</v>
      </c>
      <c r="E134" t="s">
        <v>8</v>
      </c>
      <c r="I134" t="s">
        <v>7002</v>
      </c>
      <c r="J134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1607</v>
      </c>
      <c r="E135" t="s">
        <v>8</v>
      </c>
      <c r="I135" t="s">
        <v>7005</v>
      </c>
      <c r="J135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1607</v>
      </c>
      <c r="E136" t="s">
        <v>8</v>
      </c>
      <c r="I136" t="s">
        <v>7008</v>
      </c>
      <c r="J136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1607</v>
      </c>
      <c r="E137" t="s">
        <v>8</v>
      </c>
      <c r="I137" t="s">
        <v>7011</v>
      </c>
      <c r="J137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1607</v>
      </c>
      <c r="E138" t="s">
        <v>8</v>
      </c>
      <c r="I138" t="s">
        <v>7014</v>
      </c>
      <c r="J13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1607</v>
      </c>
      <c r="E139" t="s">
        <v>8</v>
      </c>
      <c r="I139" t="s">
        <v>7017</v>
      </c>
      <c r="J13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4396</v>
      </c>
      <c r="F140" t="s">
        <v>7344</v>
      </c>
      <c r="I140" t="s">
        <v>7301</v>
      </c>
      <c r="J140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7304</v>
      </c>
      <c r="J141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7307</v>
      </c>
      <c r="J142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7365</v>
      </c>
      <c r="I143" t="s">
        <v>7310</v>
      </c>
      <c r="J143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7313</v>
      </c>
      <c r="J144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7316</v>
      </c>
      <c r="J145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7319</v>
      </c>
      <c r="J146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7440</v>
      </c>
      <c r="J147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7443</v>
      </c>
      <c r="J14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7446</v>
      </c>
      <c r="J14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7624</v>
      </c>
      <c r="J150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7627</v>
      </c>
      <c r="J151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1607</v>
      </c>
      <c r="E152" t="s">
        <v>8</v>
      </c>
      <c r="I152" t="s">
        <v>7725</v>
      </c>
      <c r="J152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1607</v>
      </c>
      <c r="E153" t="s">
        <v>8</v>
      </c>
      <c r="I153" t="s">
        <v>7728</v>
      </c>
      <c r="J153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7887</v>
      </c>
      <c r="E154" t="s">
        <v>7355</v>
      </c>
      <c r="I154" t="s">
        <v>7863</v>
      </c>
      <c r="J154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7887</v>
      </c>
      <c r="E155" t="s">
        <v>7355</v>
      </c>
      <c r="H155" t="s">
        <v>2352</v>
      </c>
      <c r="I155" t="s">
        <v>7866</v>
      </c>
      <c r="J155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7887</v>
      </c>
      <c r="E156" t="s">
        <v>7355</v>
      </c>
      <c r="H156" t="s">
        <v>2352</v>
      </c>
      <c r="I156" t="s">
        <v>7869</v>
      </c>
      <c r="J156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7925</v>
      </c>
      <c r="E157" t="s">
        <v>3412</v>
      </c>
      <c r="H157" t="s">
        <v>2352</v>
      </c>
      <c r="I157" t="s">
        <v>7872</v>
      </c>
      <c r="J157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7887</v>
      </c>
      <c r="E158" t="s">
        <v>7355</v>
      </c>
      <c r="H158" t="s">
        <v>2352</v>
      </c>
      <c r="I158" t="s">
        <v>7875</v>
      </c>
      <c r="J15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7878</v>
      </c>
      <c r="J15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8063</v>
      </c>
      <c r="J160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7887</v>
      </c>
      <c r="E161" t="s">
        <v>7355</v>
      </c>
      <c r="I161" t="s">
        <v>8066</v>
      </c>
      <c r="J161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7887</v>
      </c>
      <c r="E162" t="s">
        <v>7355</v>
      </c>
      <c r="I162" t="s">
        <v>8069</v>
      </c>
      <c r="J162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8353</v>
      </c>
      <c r="J163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2352</v>
      </c>
      <c r="I164" t="s">
        <v>8356</v>
      </c>
      <c r="J164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2352</v>
      </c>
      <c r="I165" t="s">
        <v>8359</v>
      </c>
      <c r="J165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1607</v>
      </c>
      <c r="E166" t="s">
        <v>8</v>
      </c>
      <c r="I166" t="s">
        <v>8397</v>
      </c>
      <c r="J166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1607</v>
      </c>
      <c r="E167" t="s">
        <v>8</v>
      </c>
      <c r="I167" t="s">
        <v>8400</v>
      </c>
      <c r="J167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1607</v>
      </c>
      <c r="E168" t="s">
        <v>8</v>
      </c>
      <c r="I168" t="s">
        <v>8508</v>
      </c>
      <c r="J16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7925</v>
      </c>
      <c r="E169" t="s">
        <v>3412</v>
      </c>
      <c r="I169" t="s">
        <v>8511</v>
      </c>
      <c r="J16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7887</v>
      </c>
      <c r="E170" t="s">
        <v>7355</v>
      </c>
      <c r="I170" t="s">
        <v>8690</v>
      </c>
      <c r="J170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7887</v>
      </c>
      <c r="E171" t="s">
        <v>7355</v>
      </c>
      <c r="H171" t="s">
        <v>2352</v>
      </c>
      <c r="I171" t="s">
        <v>8693</v>
      </c>
      <c r="J171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7887</v>
      </c>
      <c r="E172" t="s">
        <v>7355</v>
      </c>
      <c r="H172" t="s">
        <v>2352</v>
      </c>
      <c r="I172" t="s">
        <v>8696</v>
      </c>
      <c r="J172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7887</v>
      </c>
      <c r="E173" t="s">
        <v>7355</v>
      </c>
      <c r="H173" t="s">
        <v>2352</v>
      </c>
      <c r="I173" t="s">
        <v>8699</v>
      </c>
      <c r="J173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8813</v>
      </c>
      <c r="E174" t="s">
        <v>7355</v>
      </c>
      <c r="I174" t="s">
        <v>8799</v>
      </c>
      <c r="J174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8802</v>
      </c>
      <c r="J175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1607</v>
      </c>
      <c r="E176" t="s">
        <v>8</v>
      </c>
      <c r="H176" t="s">
        <v>1617</v>
      </c>
      <c r="I176" t="s">
        <v>8906</v>
      </c>
      <c r="J176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1607</v>
      </c>
      <c r="E177" t="s">
        <v>8</v>
      </c>
      <c r="H177" t="s">
        <v>1617</v>
      </c>
      <c r="I177" t="s">
        <v>8909</v>
      </c>
      <c r="J177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9096</v>
      </c>
      <c r="J17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7887</v>
      </c>
      <c r="E179" t="s">
        <v>4131</v>
      </c>
      <c r="I179" t="s">
        <v>9099</v>
      </c>
      <c r="J17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7887</v>
      </c>
      <c r="E180" t="s">
        <v>4131</v>
      </c>
      <c r="I180" t="s">
        <v>9102</v>
      </c>
      <c r="J180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7887</v>
      </c>
      <c r="E181" t="s">
        <v>4131</v>
      </c>
      <c r="I181" t="s">
        <v>9105</v>
      </c>
      <c r="J181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7925</v>
      </c>
      <c r="E182" t="s">
        <v>3412</v>
      </c>
      <c r="I182" t="s">
        <v>9227</v>
      </c>
      <c r="J182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1607</v>
      </c>
      <c r="E183" t="s">
        <v>8</v>
      </c>
      <c r="I183" t="s">
        <v>9230</v>
      </c>
      <c r="J183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9233</v>
      </c>
      <c r="J184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7887</v>
      </c>
      <c r="E185" t="s">
        <v>4131</v>
      </c>
      <c r="I185" t="s">
        <v>9236</v>
      </c>
      <c r="J185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9239</v>
      </c>
      <c r="J186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1607</v>
      </c>
      <c r="E187" t="s">
        <v>8</v>
      </c>
      <c r="I187" t="s">
        <v>9394</v>
      </c>
      <c r="J187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7887</v>
      </c>
      <c r="E188" t="s">
        <v>4131</v>
      </c>
      <c r="I188" t="s">
        <v>9397</v>
      </c>
      <c r="J18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7887</v>
      </c>
      <c r="E189" t="s">
        <v>4131</v>
      </c>
      <c r="I189" t="s">
        <v>9400</v>
      </c>
      <c r="J18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9403</v>
      </c>
      <c r="J190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9459</v>
      </c>
      <c r="J191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2352</v>
      </c>
      <c r="I192" t="s">
        <v>9462</v>
      </c>
      <c r="J192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2348</v>
      </c>
      <c r="I193" t="s">
        <v>9465</v>
      </c>
      <c r="J193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2348</v>
      </c>
      <c r="I194" t="s">
        <v>9468</v>
      </c>
      <c r="J194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9600</v>
      </c>
      <c r="I195" t="s">
        <v>9471</v>
      </c>
      <c r="J195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9474</v>
      </c>
      <c r="J196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1607</v>
      </c>
      <c r="E197" t="s">
        <v>8</v>
      </c>
      <c r="I197" t="s">
        <v>9477</v>
      </c>
      <c r="J197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9602</v>
      </c>
      <c r="I198" t="s">
        <v>9480</v>
      </c>
      <c r="J19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9602</v>
      </c>
      <c r="H199" t="s">
        <v>2352</v>
      </c>
      <c r="I199" t="s">
        <v>9483</v>
      </c>
      <c r="J19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9666</v>
      </c>
      <c r="I200" t="s">
        <v>9604</v>
      </c>
      <c r="J200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1607</v>
      </c>
      <c r="E201" t="s">
        <v>8</v>
      </c>
      <c r="I201" t="s">
        <v>9607</v>
      </c>
      <c r="J201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8528</v>
      </c>
      <c r="I202" t="s">
        <v>9682</v>
      </c>
      <c r="J202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9700</v>
      </c>
      <c r="H203" t="s">
        <v>2352</v>
      </c>
      <c r="I203" t="s">
        <v>9685</v>
      </c>
      <c r="J203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9688</v>
      </c>
      <c r="J204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2352</v>
      </c>
      <c r="I205" t="s">
        <v>9691</v>
      </c>
      <c r="J205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1274</v>
      </c>
      <c r="I206" t="s">
        <v>9872</v>
      </c>
      <c r="J206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7365</v>
      </c>
      <c r="E207" t="s">
        <v>86</v>
      </c>
      <c r="I207" t="s">
        <v>9875</v>
      </c>
      <c r="J207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1274</v>
      </c>
      <c r="I208" t="s">
        <v>9878</v>
      </c>
      <c r="J20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9881</v>
      </c>
      <c r="J20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10020</v>
      </c>
      <c r="E210" t="s">
        <v>1274</v>
      </c>
      <c r="I210" t="s">
        <v>9884</v>
      </c>
      <c r="J210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9887</v>
      </c>
      <c r="J211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7365</v>
      </c>
      <c r="E212" t="s">
        <v>86</v>
      </c>
      <c r="I212" t="s">
        <v>9890</v>
      </c>
      <c r="J212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9893</v>
      </c>
      <c r="J213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10020</v>
      </c>
      <c r="I214" t="s">
        <v>10024</v>
      </c>
      <c r="J214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7365</v>
      </c>
      <c r="E215" t="s">
        <v>86</v>
      </c>
      <c r="I215" t="s">
        <v>10027</v>
      </c>
      <c r="J215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10020</v>
      </c>
      <c r="I216" t="s">
        <v>10030</v>
      </c>
      <c r="J216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10020</v>
      </c>
      <c r="I217" t="s">
        <v>10033</v>
      </c>
      <c r="J217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10020</v>
      </c>
      <c r="I218" t="s">
        <v>10036</v>
      </c>
      <c r="J21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10020</v>
      </c>
      <c r="I219" t="s">
        <v>10039</v>
      </c>
      <c r="J21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10020</v>
      </c>
      <c r="I220" t="s">
        <v>10042</v>
      </c>
      <c r="J220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10020</v>
      </c>
      <c r="I221" t="s">
        <v>10182</v>
      </c>
      <c r="J221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10020</v>
      </c>
      <c r="I222" t="s">
        <v>10185</v>
      </c>
      <c r="J222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10020</v>
      </c>
      <c r="I223" t="s">
        <v>10188</v>
      </c>
      <c r="J223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10020</v>
      </c>
      <c r="I224" t="s">
        <v>10191</v>
      </c>
      <c r="J224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10020</v>
      </c>
      <c r="I225" t="s">
        <v>10194</v>
      </c>
      <c r="J225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10020</v>
      </c>
      <c r="I226" t="s">
        <v>10197</v>
      </c>
      <c r="J226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10200</v>
      </c>
      <c r="J227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10020</v>
      </c>
      <c r="I228" t="s">
        <v>10271</v>
      </c>
      <c r="J22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10020</v>
      </c>
      <c r="I229" t="s">
        <v>10274</v>
      </c>
      <c r="J22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10020</v>
      </c>
      <c r="I230" t="s">
        <v>10277</v>
      </c>
      <c r="J230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10020</v>
      </c>
      <c r="I231" t="s">
        <v>10280</v>
      </c>
      <c r="J231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10020</v>
      </c>
      <c r="I232" t="s">
        <v>10283</v>
      </c>
      <c r="J232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10020</v>
      </c>
      <c r="I233" t="s">
        <v>10286</v>
      </c>
      <c r="J233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10289</v>
      </c>
      <c r="J234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10020</v>
      </c>
      <c r="I235" t="s">
        <v>10292</v>
      </c>
      <c r="J235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10020</v>
      </c>
      <c r="I236" t="s">
        <v>10295</v>
      </c>
      <c r="J236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10298</v>
      </c>
      <c r="J237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10547</v>
      </c>
      <c r="J23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10550</v>
      </c>
      <c r="J23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10825</v>
      </c>
      <c r="J240" t="s">
        <v>2399</v>
      </c>
      <c r="K240" t="s">
        <v>10826</v>
      </c>
      <c r="L240" t="s">
        <v>10827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10828</v>
      </c>
      <c r="J241" t="s">
        <v>2399</v>
      </c>
      <c r="K241" t="s">
        <v>10829</v>
      </c>
      <c r="L241" t="s">
        <v>10830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10831</v>
      </c>
      <c r="J242" t="s">
        <v>2399</v>
      </c>
      <c r="K242" t="s">
        <v>10832</v>
      </c>
      <c r="L242" t="s">
        <v>10833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10834</v>
      </c>
      <c r="J243" t="s">
        <v>2399</v>
      </c>
      <c r="K243" t="s">
        <v>10835</v>
      </c>
      <c r="L243" t="s">
        <v>10836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10837</v>
      </c>
      <c r="J244" t="s">
        <v>2399</v>
      </c>
      <c r="K244" t="s">
        <v>10838</v>
      </c>
      <c r="L244" t="s">
        <v>10839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10840</v>
      </c>
      <c r="J245" t="s">
        <v>2399</v>
      </c>
      <c r="K245" t="s">
        <v>10841</v>
      </c>
      <c r="L245" t="s">
        <v>10842</v>
      </c>
      <c r="M245" s="2" t="str">
        <f>HYPERLINK(склад2въезд13192021222378[[#This Row],[RelativePath]])</f>
        <v>12 Площадка 3 кран\K07156189_20_20260225T191228Z.jpg</v>
      </c>
    </row>
  </sheetData>
  <conditionalFormatting sqref="D246:D256 E246:E259 G2:H245 D2:E245">
    <cfRule type="containsText" dxfId="826" priority="14" operator="containsText" text="Выезд с территории">
      <formula>NOT(ISERROR(SEARCH("Выезд с территории",D2)))</formula>
    </cfRule>
  </conditionalFormatting>
  <conditionalFormatting sqref="F2:F245">
    <cfRule type="notContainsText" dxfId="825" priority="13" operator="notContains" text="порожний">
      <formula>ISERROR(SEARCH("порожний",F2))</formula>
    </cfRule>
  </conditionalFormatting>
  <conditionalFormatting sqref="E2:E259">
    <cfRule type="containsText" dxfId="824" priority="11" operator="containsText" text="Газель базы">
      <formula>NOT(ISERROR(SEARCH("Газель базы",E2)))</formula>
    </cfRule>
    <cfRule type="containsText" dxfId="823" priority="12" operator="containsText" text="Погрузчик базы">
      <formula>NOT(ISERROR(SEARCH("Погрузчик базы",E2)))</formula>
    </cfRule>
  </conditionalFormatting>
  <conditionalFormatting sqref="E2:E259">
    <cfRule type="containsText" dxfId="822" priority="10" operator="containsText" text="Трактор базы">
      <formula>NOT(ISERROR(SEARCH("Трактор базы",E2)))</formula>
    </cfRule>
  </conditionalFormatting>
  <conditionalFormatting sqref="A2:C245">
    <cfRule type="expression" dxfId="821" priority="9">
      <formula>$A2="пн"</formula>
    </cfRule>
  </conditionalFormatting>
  <conditionalFormatting sqref="A2:C247">
    <cfRule type="expression" dxfId="820" priority="3">
      <formula>$A2="вс"</formula>
    </cfRule>
    <cfRule type="expression" dxfId="819" priority="4">
      <formula>$A2="сб"</formula>
    </cfRule>
    <cfRule type="expression" dxfId="818" priority="5">
      <formula>$A2="пт"</formula>
    </cfRule>
    <cfRule type="expression" dxfId="817" priority="6">
      <formula>$A2="чт"</formula>
    </cfRule>
    <cfRule type="expression" dxfId="816" priority="7">
      <formula>$A2="ср"</formula>
    </cfRule>
    <cfRule type="expression" dxfId="815" priority="8">
      <formula>$A2="вт"</formula>
    </cfRule>
  </conditionalFormatting>
  <conditionalFormatting sqref="D2:D256">
    <cfRule type="containsText" dxfId="8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6">
    <cfRule type="containsText" dxfId="8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07"/>
  <sheetViews>
    <sheetView zoomScale="90" zoomScaleNormal="90" workbookViewId="0">
      <pane ySplit="1" topLeftCell="A194" activePane="bottomLeft" state="frozen"/>
      <selection pane="bottomLeft" activeCell="I204" sqref="I204:I2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1540</v>
      </c>
      <c r="J2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1543</v>
      </c>
      <c r="J3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1546</v>
      </c>
      <c r="J4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1549</v>
      </c>
      <c r="J5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1552</v>
      </c>
      <c r="J6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226</v>
      </c>
      <c r="E7" t="s">
        <v>86</v>
      </c>
      <c r="F7" t="s">
        <v>1601</v>
      </c>
      <c r="I7" t="s">
        <v>1555</v>
      </c>
      <c r="J7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1602</v>
      </c>
      <c r="E8" t="s">
        <v>86</v>
      </c>
      <c r="F8" t="s">
        <v>1601</v>
      </c>
      <c r="I8" t="s">
        <v>1558</v>
      </c>
      <c r="J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1602</v>
      </c>
      <c r="E9" t="s">
        <v>86</v>
      </c>
      <c r="F9" t="s">
        <v>1601</v>
      </c>
      <c r="I9" t="s">
        <v>1561</v>
      </c>
      <c r="J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1564</v>
      </c>
      <c r="J10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1567</v>
      </c>
      <c r="J11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1570</v>
      </c>
      <c r="J12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1573</v>
      </c>
      <c r="J13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1576</v>
      </c>
      <c r="J14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1579</v>
      </c>
      <c r="J15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1582</v>
      </c>
      <c r="J16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1585</v>
      </c>
      <c r="J17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1588</v>
      </c>
      <c r="J1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1591</v>
      </c>
      <c r="J1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1594</v>
      </c>
      <c r="J20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1597</v>
      </c>
      <c r="J21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2389</v>
      </c>
      <c r="J22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470</v>
      </c>
      <c r="E23" t="s">
        <v>468</v>
      </c>
      <c r="F23" t="s">
        <v>58</v>
      </c>
      <c r="H23" t="s">
        <v>2392</v>
      </c>
      <c r="I23" t="s">
        <v>2312</v>
      </c>
      <c r="J23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470</v>
      </c>
      <c r="E24" t="s">
        <v>468</v>
      </c>
      <c r="F24" t="s">
        <v>58</v>
      </c>
      <c r="H24" t="s">
        <v>2392</v>
      </c>
      <c r="I24" t="s">
        <v>2315</v>
      </c>
      <c r="J24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470</v>
      </c>
      <c r="E25" t="s">
        <v>468</v>
      </c>
      <c r="F25" t="s">
        <v>58</v>
      </c>
      <c r="H25" t="s">
        <v>2392</v>
      </c>
      <c r="I25" t="s">
        <v>2318</v>
      </c>
      <c r="J25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1607</v>
      </c>
      <c r="I26" t="s">
        <v>2321</v>
      </c>
      <c r="J26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1607</v>
      </c>
      <c r="I27" t="s">
        <v>2324</v>
      </c>
      <c r="J27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1617</v>
      </c>
      <c r="I28" t="s">
        <v>2327</v>
      </c>
      <c r="J2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1607</v>
      </c>
      <c r="I29" t="s">
        <v>2330</v>
      </c>
      <c r="J2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1607</v>
      </c>
      <c r="I30" t="s">
        <v>2333</v>
      </c>
      <c r="J30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1617</v>
      </c>
      <c r="I31" t="s">
        <v>3331</v>
      </c>
      <c r="J31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3414</v>
      </c>
      <c r="I32" t="s">
        <v>3334</v>
      </c>
      <c r="J32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3415</v>
      </c>
      <c r="I33" t="s">
        <v>3337</v>
      </c>
      <c r="J33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3416</v>
      </c>
      <c r="I34" t="s">
        <v>3340</v>
      </c>
      <c r="J34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3343</v>
      </c>
      <c r="J35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3346</v>
      </c>
      <c r="J36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3377</v>
      </c>
      <c r="I37" t="s">
        <v>3352</v>
      </c>
      <c r="J37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1607</v>
      </c>
      <c r="I38" t="s">
        <v>3349</v>
      </c>
      <c r="J3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3455</v>
      </c>
      <c r="I39" t="s">
        <v>3451</v>
      </c>
      <c r="J3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1617</v>
      </c>
      <c r="I40" t="s">
        <v>3975</v>
      </c>
      <c r="J40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1617</v>
      </c>
      <c r="I41" t="s">
        <v>3978</v>
      </c>
      <c r="J41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1617</v>
      </c>
      <c r="I42" t="s">
        <v>3981</v>
      </c>
      <c r="J42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1617</v>
      </c>
      <c r="I43" t="s">
        <v>3984</v>
      </c>
      <c r="J43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1617</v>
      </c>
      <c r="I44" t="s">
        <v>3987</v>
      </c>
      <c r="J44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1617</v>
      </c>
      <c r="I45" t="s">
        <v>3990</v>
      </c>
      <c r="J45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4239</v>
      </c>
      <c r="I46" t="s">
        <v>4202</v>
      </c>
      <c r="J46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4240</v>
      </c>
      <c r="I47" t="s">
        <v>4205</v>
      </c>
      <c r="J47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4396</v>
      </c>
      <c r="F48" t="s">
        <v>3405</v>
      </c>
      <c r="I48" t="s">
        <v>4384</v>
      </c>
      <c r="J4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4387</v>
      </c>
      <c r="J4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4941</v>
      </c>
      <c r="E50" t="s">
        <v>4396</v>
      </c>
      <c r="F50" t="s">
        <v>4932</v>
      </c>
      <c r="I50" t="s">
        <v>4530</v>
      </c>
      <c r="J50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4941</v>
      </c>
      <c r="E51" t="s">
        <v>4396</v>
      </c>
      <c r="F51" t="s">
        <v>4932</v>
      </c>
      <c r="H51" t="s">
        <v>2352</v>
      </c>
      <c r="I51" t="s">
        <v>4533</v>
      </c>
      <c r="J51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4536</v>
      </c>
      <c r="J52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4539</v>
      </c>
      <c r="J53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4542</v>
      </c>
      <c r="J54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1617</v>
      </c>
      <c r="I55" t="s">
        <v>4545</v>
      </c>
      <c r="J55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4941</v>
      </c>
      <c r="E56" t="s">
        <v>4396</v>
      </c>
      <c r="F56" t="s">
        <v>4922</v>
      </c>
      <c r="I56" t="s">
        <v>4770</v>
      </c>
      <c r="J56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4773</v>
      </c>
      <c r="J57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4776</v>
      </c>
      <c r="J5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4917</v>
      </c>
      <c r="I59" t="s">
        <v>4779</v>
      </c>
      <c r="J5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4782</v>
      </c>
      <c r="J60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1607</v>
      </c>
      <c r="E61" t="s">
        <v>8</v>
      </c>
      <c r="I61" t="s">
        <v>4988</v>
      </c>
      <c r="J61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226</v>
      </c>
      <c r="E62" t="s">
        <v>4396</v>
      </c>
      <c r="F62" t="s">
        <v>465</v>
      </c>
      <c r="I62" t="s">
        <v>5200</v>
      </c>
      <c r="J62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226</v>
      </c>
      <c r="E63" t="s">
        <v>4396</v>
      </c>
      <c r="F63" t="s">
        <v>465</v>
      </c>
      <c r="I63" t="s">
        <v>5203</v>
      </c>
      <c r="J63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226</v>
      </c>
      <c r="E64" t="s">
        <v>4396</v>
      </c>
      <c r="F64" t="s">
        <v>1288</v>
      </c>
      <c r="I64" t="s">
        <v>5206</v>
      </c>
      <c r="J64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470</v>
      </c>
      <c r="E65" t="s">
        <v>468</v>
      </c>
      <c r="F65" t="s">
        <v>58</v>
      </c>
      <c r="I65" t="s">
        <v>5298</v>
      </c>
      <c r="J65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470</v>
      </c>
      <c r="E66" t="s">
        <v>468</v>
      </c>
      <c r="F66" t="s">
        <v>58</v>
      </c>
      <c r="I66" t="s">
        <v>5301</v>
      </c>
      <c r="J66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470</v>
      </c>
      <c r="E67" t="s">
        <v>468</v>
      </c>
      <c r="F67" t="s">
        <v>58</v>
      </c>
      <c r="I67" t="s">
        <v>5304</v>
      </c>
      <c r="J67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5307</v>
      </c>
      <c r="J6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226</v>
      </c>
      <c r="E69" t="s">
        <v>4396</v>
      </c>
      <c r="F69" t="s">
        <v>465</v>
      </c>
      <c r="I69" t="s">
        <v>5433</v>
      </c>
      <c r="J6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226</v>
      </c>
      <c r="E70" t="s">
        <v>4396</v>
      </c>
      <c r="F70" t="s">
        <v>465</v>
      </c>
      <c r="H70" t="s">
        <v>2352</v>
      </c>
      <c r="I70" t="s">
        <v>5436</v>
      </c>
      <c r="J70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4396</v>
      </c>
      <c r="F71" t="s">
        <v>465</v>
      </c>
      <c r="H71" t="s">
        <v>4096</v>
      </c>
      <c r="I71" t="s">
        <v>5439</v>
      </c>
      <c r="J71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226</v>
      </c>
      <c r="E72" t="s">
        <v>4396</v>
      </c>
      <c r="F72" t="s">
        <v>465</v>
      </c>
      <c r="I72" t="s">
        <v>5442</v>
      </c>
      <c r="J72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4396</v>
      </c>
      <c r="F73" t="s">
        <v>465</v>
      </c>
      <c r="H73" t="s">
        <v>4096</v>
      </c>
      <c r="I73" t="s">
        <v>5445</v>
      </c>
      <c r="J73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3388</v>
      </c>
      <c r="E74" t="s">
        <v>4396</v>
      </c>
      <c r="F74" t="s">
        <v>5476</v>
      </c>
      <c r="H74" t="s">
        <v>5216</v>
      </c>
      <c r="I74" t="s">
        <v>5448</v>
      </c>
      <c r="J74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3388</v>
      </c>
      <c r="E75" t="s">
        <v>4396</v>
      </c>
      <c r="F75" t="s">
        <v>5476</v>
      </c>
      <c r="H75" t="s">
        <v>2352</v>
      </c>
      <c r="I75" t="s">
        <v>5451</v>
      </c>
      <c r="J75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4396</v>
      </c>
      <c r="F76" t="s">
        <v>5476</v>
      </c>
      <c r="H76" t="s">
        <v>4096</v>
      </c>
      <c r="I76" t="s">
        <v>5454</v>
      </c>
      <c r="J76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5477</v>
      </c>
      <c r="H77" t="s">
        <v>5216</v>
      </c>
      <c r="I77" t="s">
        <v>5457</v>
      </c>
      <c r="J77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2348</v>
      </c>
      <c r="I78" t="s">
        <v>5460</v>
      </c>
      <c r="J7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5478</v>
      </c>
      <c r="I79" t="s">
        <v>5463</v>
      </c>
      <c r="J7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5466</v>
      </c>
      <c r="J80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1607</v>
      </c>
      <c r="E81" t="s">
        <v>8</v>
      </c>
      <c r="I81" t="s">
        <v>5691</v>
      </c>
      <c r="J81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1607</v>
      </c>
      <c r="E82" t="s">
        <v>8</v>
      </c>
      <c r="I82" t="s">
        <v>5685</v>
      </c>
      <c r="J82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1607</v>
      </c>
      <c r="E83" t="s">
        <v>8</v>
      </c>
      <c r="I83" t="s">
        <v>5730</v>
      </c>
      <c r="J83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1607</v>
      </c>
      <c r="E84" t="s">
        <v>8</v>
      </c>
      <c r="I84" t="s">
        <v>5806</v>
      </c>
      <c r="J84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1607</v>
      </c>
      <c r="E85" t="s">
        <v>8</v>
      </c>
      <c r="I85" t="s">
        <v>5809</v>
      </c>
      <c r="J85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3388</v>
      </c>
      <c r="E86" t="s">
        <v>4396</v>
      </c>
      <c r="F86" t="s">
        <v>60</v>
      </c>
      <c r="I86" t="s">
        <v>6127</v>
      </c>
      <c r="J86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1607</v>
      </c>
      <c r="E87" t="s">
        <v>8</v>
      </c>
      <c r="I87" t="s">
        <v>6130</v>
      </c>
      <c r="J87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3358</v>
      </c>
      <c r="H88" t="s">
        <v>6166</v>
      </c>
      <c r="I88" t="s">
        <v>6133</v>
      </c>
      <c r="J8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3388</v>
      </c>
      <c r="E89" t="s">
        <v>4396</v>
      </c>
      <c r="F89" t="s">
        <v>6161</v>
      </c>
      <c r="I89" t="s">
        <v>6136</v>
      </c>
      <c r="J8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3388</v>
      </c>
      <c r="E90" t="s">
        <v>4396</v>
      </c>
      <c r="F90" t="s">
        <v>6167</v>
      </c>
      <c r="I90" t="s">
        <v>6139</v>
      </c>
      <c r="J90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3388</v>
      </c>
      <c r="E91" t="s">
        <v>4396</v>
      </c>
      <c r="F91" t="s">
        <v>60</v>
      </c>
      <c r="I91" t="s">
        <v>6221</v>
      </c>
      <c r="J91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3388</v>
      </c>
      <c r="E92" t="s">
        <v>4396</v>
      </c>
      <c r="F92" t="s">
        <v>60</v>
      </c>
      <c r="I92" t="s">
        <v>6224</v>
      </c>
      <c r="J92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3388</v>
      </c>
      <c r="E93" t="s">
        <v>4396</v>
      </c>
      <c r="F93" t="s">
        <v>6167</v>
      </c>
      <c r="I93" t="s">
        <v>6227</v>
      </c>
      <c r="J93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3358</v>
      </c>
      <c r="H94" t="s">
        <v>6166</v>
      </c>
      <c r="I94" t="s">
        <v>6230</v>
      </c>
      <c r="J94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2352</v>
      </c>
      <c r="I95" t="s">
        <v>6233</v>
      </c>
      <c r="J95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2352</v>
      </c>
      <c r="I96" t="s">
        <v>6236</v>
      </c>
      <c r="J96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3388</v>
      </c>
      <c r="E97" t="s">
        <v>4396</v>
      </c>
      <c r="F97" t="s">
        <v>6162</v>
      </c>
      <c r="I97" t="s">
        <v>6239</v>
      </c>
      <c r="J97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3388</v>
      </c>
      <c r="E98" t="s">
        <v>4396</v>
      </c>
      <c r="F98" t="s">
        <v>60</v>
      </c>
      <c r="I98" t="s">
        <v>6242</v>
      </c>
      <c r="J9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6245</v>
      </c>
      <c r="J9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6383</v>
      </c>
      <c r="J100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6386</v>
      </c>
      <c r="J101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6389</v>
      </c>
      <c r="J102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470</v>
      </c>
      <c r="E103" t="s">
        <v>468</v>
      </c>
      <c r="F103" t="s">
        <v>6688</v>
      </c>
      <c r="I103" t="s">
        <v>6601</v>
      </c>
      <c r="J103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1607</v>
      </c>
      <c r="E104" t="s">
        <v>8</v>
      </c>
      <c r="I104" t="s">
        <v>6604</v>
      </c>
      <c r="J104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1607</v>
      </c>
      <c r="E105" t="s">
        <v>8</v>
      </c>
      <c r="I105" t="s">
        <v>6607</v>
      </c>
      <c r="J105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1607</v>
      </c>
      <c r="E106" t="s">
        <v>8</v>
      </c>
      <c r="I106" t="s">
        <v>6610</v>
      </c>
      <c r="J106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1607</v>
      </c>
      <c r="E107" t="s">
        <v>8</v>
      </c>
      <c r="I107" t="s">
        <v>6770</v>
      </c>
      <c r="J107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1607</v>
      </c>
      <c r="E108" t="s">
        <v>8</v>
      </c>
      <c r="I108" t="s">
        <v>6773</v>
      </c>
      <c r="J10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1607</v>
      </c>
      <c r="E109" t="s">
        <v>8</v>
      </c>
      <c r="I109" t="s">
        <v>6776</v>
      </c>
      <c r="J10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1607</v>
      </c>
      <c r="E110" t="s">
        <v>8</v>
      </c>
      <c r="I110" t="s">
        <v>7020</v>
      </c>
      <c r="J110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1607</v>
      </c>
      <c r="E111" t="s">
        <v>8</v>
      </c>
      <c r="I111" t="s">
        <v>7023</v>
      </c>
      <c r="J111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1607</v>
      </c>
      <c r="E112" t="s">
        <v>8</v>
      </c>
      <c r="I112" t="s">
        <v>7026</v>
      </c>
      <c r="J112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1607</v>
      </c>
      <c r="E113" t="s">
        <v>8</v>
      </c>
      <c r="I113" t="s">
        <v>7029</v>
      </c>
      <c r="J113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1607</v>
      </c>
      <c r="E114" t="s">
        <v>8</v>
      </c>
      <c r="I114" t="s">
        <v>7032</v>
      </c>
      <c r="J114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1607</v>
      </c>
      <c r="E115" t="s">
        <v>8</v>
      </c>
      <c r="I115" t="s">
        <v>7035</v>
      </c>
      <c r="J115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1607</v>
      </c>
      <c r="E116" t="s">
        <v>8</v>
      </c>
      <c r="I116" t="s">
        <v>7038</v>
      </c>
      <c r="J116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6439</v>
      </c>
      <c r="I117" t="s">
        <v>7322</v>
      </c>
      <c r="J117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5699</v>
      </c>
      <c r="E118" t="s">
        <v>4396</v>
      </c>
      <c r="F118" t="s">
        <v>7356</v>
      </c>
      <c r="I118" t="s">
        <v>7325</v>
      </c>
      <c r="J11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7328</v>
      </c>
      <c r="J11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7366</v>
      </c>
      <c r="I120" t="s">
        <v>7331</v>
      </c>
      <c r="J120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7366</v>
      </c>
      <c r="I121" t="s">
        <v>7334</v>
      </c>
      <c r="J121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7337</v>
      </c>
      <c r="J122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6439</v>
      </c>
      <c r="I123" t="s">
        <v>7449</v>
      </c>
      <c r="J123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6439</v>
      </c>
      <c r="I124" t="s">
        <v>7452</v>
      </c>
      <c r="J124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6439</v>
      </c>
      <c r="I125" t="s">
        <v>7455</v>
      </c>
      <c r="J125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7458</v>
      </c>
      <c r="J126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7630</v>
      </c>
      <c r="J127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7633</v>
      </c>
      <c r="J12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7366</v>
      </c>
      <c r="I129" t="s">
        <v>7636</v>
      </c>
      <c r="J12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7366</v>
      </c>
      <c r="I130" t="s">
        <v>7639</v>
      </c>
      <c r="J130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7366</v>
      </c>
      <c r="I131" t="s">
        <v>7642</v>
      </c>
      <c r="J131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7366</v>
      </c>
      <c r="I132" t="s">
        <v>7645</v>
      </c>
      <c r="J132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7648</v>
      </c>
      <c r="J133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1607</v>
      </c>
      <c r="E134" t="s">
        <v>8</v>
      </c>
      <c r="I134" t="s">
        <v>7731</v>
      </c>
      <c r="J134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1607</v>
      </c>
      <c r="E135" t="s">
        <v>8</v>
      </c>
      <c r="I135" t="s">
        <v>7734</v>
      </c>
      <c r="J135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1607</v>
      </c>
      <c r="E136" t="s">
        <v>8</v>
      </c>
      <c r="I136" t="s">
        <v>7881</v>
      </c>
      <c r="J136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1607</v>
      </c>
      <c r="E137" t="s">
        <v>8</v>
      </c>
      <c r="I137" t="s">
        <v>7884</v>
      </c>
      <c r="J137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1607</v>
      </c>
      <c r="E138" t="s">
        <v>8</v>
      </c>
      <c r="I138" t="s">
        <v>8072</v>
      </c>
      <c r="J13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5699</v>
      </c>
      <c r="E139" t="s">
        <v>4396</v>
      </c>
      <c r="F139" t="s">
        <v>7356</v>
      </c>
      <c r="I139" t="s">
        <v>8075</v>
      </c>
      <c r="J13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8078</v>
      </c>
      <c r="J140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8362</v>
      </c>
      <c r="J141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2352</v>
      </c>
      <c r="I142" t="s">
        <v>8365</v>
      </c>
      <c r="J142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2352</v>
      </c>
      <c r="I143" t="s">
        <v>8368</v>
      </c>
      <c r="J143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1607</v>
      </c>
      <c r="E144" t="s">
        <v>8</v>
      </c>
      <c r="I144" t="s">
        <v>8403</v>
      </c>
      <c r="J144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1607</v>
      </c>
      <c r="E145" t="s">
        <v>8</v>
      </c>
      <c r="I145" t="s">
        <v>8406</v>
      </c>
      <c r="J145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1607</v>
      </c>
      <c r="E146" t="s">
        <v>8</v>
      </c>
      <c r="I146" t="s">
        <v>8514</v>
      </c>
      <c r="J146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1607</v>
      </c>
      <c r="E147" t="s">
        <v>8</v>
      </c>
      <c r="I147" t="s">
        <v>8517</v>
      </c>
      <c r="J147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1607</v>
      </c>
      <c r="E148" t="s">
        <v>8</v>
      </c>
      <c r="I148" t="s">
        <v>8702</v>
      </c>
      <c r="J14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1607</v>
      </c>
      <c r="E149" t="s">
        <v>8</v>
      </c>
      <c r="I149" t="s">
        <v>8705</v>
      </c>
      <c r="J14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1607</v>
      </c>
      <c r="E150" t="s">
        <v>8</v>
      </c>
      <c r="I150" t="s">
        <v>8805</v>
      </c>
      <c r="J150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1617</v>
      </c>
      <c r="I151" t="s">
        <v>8848</v>
      </c>
      <c r="J151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1607</v>
      </c>
      <c r="E152" t="s">
        <v>8</v>
      </c>
      <c r="I152" t="s">
        <v>8851</v>
      </c>
      <c r="J152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1607</v>
      </c>
      <c r="E153" t="s">
        <v>8</v>
      </c>
      <c r="I153" t="s">
        <v>9108</v>
      </c>
      <c r="J153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9111</v>
      </c>
      <c r="J154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9141</v>
      </c>
      <c r="I155" t="s">
        <v>9114</v>
      </c>
      <c r="J155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9117</v>
      </c>
      <c r="J156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9120</v>
      </c>
      <c r="J157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9142</v>
      </c>
      <c r="I158" t="s">
        <v>9123</v>
      </c>
      <c r="J15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9143</v>
      </c>
      <c r="I159" t="s">
        <v>9126</v>
      </c>
      <c r="J15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9141</v>
      </c>
      <c r="I160" t="s">
        <v>9242</v>
      </c>
      <c r="J160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9324</v>
      </c>
      <c r="I161" t="s">
        <v>9245</v>
      </c>
      <c r="J161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9325</v>
      </c>
      <c r="I162" t="s">
        <v>9248</v>
      </c>
      <c r="J162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9251</v>
      </c>
      <c r="J163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1607</v>
      </c>
      <c r="E164" t="s">
        <v>8</v>
      </c>
      <c r="I164" t="s">
        <v>9406</v>
      </c>
      <c r="J164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1607</v>
      </c>
      <c r="E165" t="s">
        <v>8</v>
      </c>
      <c r="I165" t="s">
        <v>9409</v>
      </c>
      <c r="J165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9486</v>
      </c>
      <c r="J166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9489</v>
      </c>
      <c r="J167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9597</v>
      </c>
      <c r="I168" t="s">
        <v>9492</v>
      </c>
      <c r="J16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9495</v>
      </c>
      <c r="J16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4921</v>
      </c>
      <c r="E170" t="s">
        <v>3358</v>
      </c>
      <c r="I170" t="s">
        <v>9498</v>
      </c>
      <c r="J170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9596</v>
      </c>
      <c r="E171" t="s">
        <v>3358</v>
      </c>
      <c r="I171" t="s">
        <v>9501</v>
      </c>
      <c r="J171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9504</v>
      </c>
      <c r="J172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588</v>
      </c>
      <c r="E173" t="s">
        <v>86</v>
      </c>
      <c r="I173" t="s">
        <v>9507</v>
      </c>
      <c r="J173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588</v>
      </c>
      <c r="E174" t="s">
        <v>86</v>
      </c>
      <c r="H174" t="s">
        <v>2352</v>
      </c>
      <c r="I174" t="s">
        <v>9509</v>
      </c>
      <c r="J174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9603</v>
      </c>
      <c r="E175" t="s">
        <v>86</v>
      </c>
      <c r="I175" t="s">
        <v>9512</v>
      </c>
      <c r="J175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588</v>
      </c>
      <c r="E176" t="s">
        <v>86</v>
      </c>
      <c r="I176" t="s">
        <v>9610</v>
      </c>
      <c r="J176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1607</v>
      </c>
      <c r="E177" t="s">
        <v>8</v>
      </c>
      <c r="I177" t="s">
        <v>9613</v>
      </c>
      <c r="J177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1607</v>
      </c>
      <c r="E178" t="s">
        <v>8</v>
      </c>
      <c r="I178" t="s">
        <v>9694</v>
      </c>
      <c r="J17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10021</v>
      </c>
      <c r="I179" t="s">
        <v>9938</v>
      </c>
      <c r="J17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588</v>
      </c>
      <c r="E180" t="s">
        <v>86</v>
      </c>
      <c r="I180" t="s">
        <v>9941</v>
      </c>
      <c r="J180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588</v>
      </c>
      <c r="E181" t="s">
        <v>86</v>
      </c>
      <c r="I181" t="s">
        <v>9944</v>
      </c>
      <c r="J181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9600</v>
      </c>
      <c r="I182" t="s">
        <v>9947</v>
      </c>
      <c r="J182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1539</v>
      </c>
      <c r="E183" t="s">
        <v>468</v>
      </c>
      <c r="I183" t="s">
        <v>9950</v>
      </c>
      <c r="J183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1539</v>
      </c>
      <c r="E184" t="s">
        <v>468</v>
      </c>
      <c r="I184" t="s">
        <v>9953</v>
      </c>
      <c r="J184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588</v>
      </c>
      <c r="E185" t="s">
        <v>86</v>
      </c>
      <c r="I185" t="s">
        <v>9956</v>
      </c>
      <c r="J185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588</v>
      </c>
      <c r="E186" t="s">
        <v>86</v>
      </c>
      <c r="I186" t="s">
        <v>9959</v>
      </c>
      <c r="J186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1539</v>
      </c>
      <c r="E187" t="s">
        <v>468</v>
      </c>
      <c r="I187" t="s">
        <v>9962</v>
      </c>
      <c r="J187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1539</v>
      </c>
      <c r="E188" t="s">
        <v>468</v>
      </c>
      <c r="I188" t="s">
        <v>9965</v>
      </c>
      <c r="J18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1539</v>
      </c>
      <c r="E189" t="s">
        <v>468</v>
      </c>
      <c r="I189" t="s">
        <v>9968</v>
      </c>
      <c r="J18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588</v>
      </c>
      <c r="E190" t="s">
        <v>86</v>
      </c>
      <c r="I190" t="s">
        <v>10045</v>
      </c>
      <c r="J190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588</v>
      </c>
      <c r="E191" t="s">
        <v>86</v>
      </c>
      <c r="I191" t="s">
        <v>10048</v>
      </c>
      <c r="J191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10134</v>
      </c>
      <c r="E192" t="s">
        <v>3358</v>
      </c>
      <c r="I192" t="s">
        <v>10051</v>
      </c>
      <c r="J192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4921</v>
      </c>
      <c r="E193" t="s">
        <v>3358</v>
      </c>
      <c r="I193" t="s">
        <v>10054</v>
      </c>
      <c r="J193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226</v>
      </c>
      <c r="E194" t="s">
        <v>10132</v>
      </c>
      <c r="F194" t="s">
        <v>10242</v>
      </c>
      <c r="H194" t="s">
        <v>10135</v>
      </c>
      <c r="I194" t="s">
        <v>10057</v>
      </c>
      <c r="J194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226</v>
      </c>
      <c r="E195" t="s">
        <v>10132</v>
      </c>
      <c r="F195" t="s">
        <v>10242</v>
      </c>
      <c r="H195" t="s">
        <v>2352</v>
      </c>
      <c r="I195" t="s">
        <v>10060</v>
      </c>
      <c r="J195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226</v>
      </c>
      <c r="E196" t="s">
        <v>10132</v>
      </c>
      <c r="F196" t="s">
        <v>10243</v>
      </c>
      <c r="H196" t="s">
        <v>10136</v>
      </c>
      <c r="I196" t="s">
        <v>10063</v>
      </c>
      <c r="J196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1539</v>
      </c>
      <c r="E197" t="s">
        <v>1274</v>
      </c>
      <c r="I197" t="s">
        <v>10203</v>
      </c>
      <c r="J197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588</v>
      </c>
      <c r="E198" t="s">
        <v>86</v>
      </c>
      <c r="I198" t="s">
        <v>10206</v>
      </c>
      <c r="J19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588</v>
      </c>
      <c r="E199" t="s">
        <v>86</v>
      </c>
      <c r="I199" t="s">
        <v>10209</v>
      </c>
      <c r="J19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10301</v>
      </c>
      <c r="J200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1607</v>
      </c>
      <c r="E201" t="s">
        <v>8</v>
      </c>
      <c r="I201" t="s">
        <v>10304</v>
      </c>
      <c r="J201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1607</v>
      </c>
      <c r="E202" t="s">
        <v>8</v>
      </c>
      <c r="I202" t="s">
        <v>10307</v>
      </c>
      <c r="J202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1607</v>
      </c>
      <c r="E203" t="s">
        <v>8</v>
      </c>
      <c r="I203" t="s">
        <v>10553</v>
      </c>
      <c r="J203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1607</v>
      </c>
      <c r="E204" t="s">
        <v>8</v>
      </c>
      <c r="I204" t="s">
        <v>10858</v>
      </c>
      <c r="J204" t="s">
        <v>2400</v>
      </c>
      <c r="K204" t="s">
        <v>10859</v>
      </c>
      <c r="L204" t="s">
        <v>10860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11078</v>
      </c>
      <c r="E205" t="s">
        <v>86</v>
      </c>
      <c r="I205" t="s">
        <v>10861</v>
      </c>
      <c r="J205" t="s">
        <v>2400</v>
      </c>
      <c r="K205" t="s">
        <v>10862</v>
      </c>
      <c r="L205" t="s">
        <v>10863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11078</v>
      </c>
      <c r="E206" t="s">
        <v>86</v>
      </c>
      <c r="I206" t="s">
        <v>10864</v>
      </c>
      <c r="J206" t="s">
        <v>2400</v>
      </c>
      <c r="K206" t="s">
        <v>10865</v>
      </c>
      <c r="L206" t="s">
        <v>10866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10867</v>
      </c>
      <c r="J207" t="s">
        <v>2400</v>
      </c>
      <c r="K207" t="s">
        <v>10868</v>
      </c>
      <c r="L207" t="s">
        <v>10869</v>
      </c>
      <c r="M207" s="2" t="str">
        <f>HYPERLINK(склад2въезд131920212223789[[#This Row],[RelativePath]])</f>
        <v>13 Склад хол\K07156189_23_20260225T173135Z.jpg</v>
      </c>
    </row>
  </sheetData>
  <conditionalFormatting sqref="D208:D218 E208:E221 G2:H207 D2:E207">
    <cfRule type="containsText" dxfId="806" priority="14" operator="containsText" text="Выезд с территории">
      <formula>NOT(ISERROR(SEARCH("Выезд с территории",D2)))</formula>
    </cfRule>
  </conditionalFormatting>
  <conditionalFormatting sqref="F2:F207">
    <cfRule type="notContainsText" dxfId="805" priority="13" operator="notContains" text="порожний">
      <formula>ISERROR(SEARCH("порожний",F2))</formula>
    </cfRule>
  </conditionalFormatting>
  <conditionalFormatting sqref="E2:E221">
    <cfRule type="containsText" dxfId="804" priority="11" operator="containsText" text="Газель базы">
      <formula>NOT(ISERROR(SEARCH("Газель базы",E2)))</formula>
    </cfRule>
    <cfRule type="containsText" dxfId="803" priority="12" operator="containsText" text="Погрузчик базы">
      <formula>NOT(ISERROR(SEARCH("Погрузчик базы",E2)))</formula>
    </cfRule>
  </conditionalFormatting>
  <conditionalFormatting sqref="E2:E221">
    <cfRule type="containsText" dxfId="802" priority="10" operator="containsText" text="Трактор базы">
      <formula>NOT(ISERROR(SEARCH("Трактор базы",E2)))</formula>
    </cfRule>
  </conditionalFormatting>
  <conditionalFormatting sqref="A2:C207">
    <cfRule type="expression" dxfId="801" priority="9">
      <formula>$A2="пн"</formula>
    </cfRule>
  </conditionalFormatting>
  <conditionalFormatting sqref="A2:C209">
    <cfRule type="expression" dxfId="800" priority="3">
      <formula>$A2="вс"</formula>
    </cfRule>
    <cfRule type="expression" dxfId="799" priority="4">
      <formula>$A2="сб"</formula>
    </cfRule>
    <cfRule type="expression" dxfId="798" priority="5">
      <formula>$A2="пт"</formula>
    </cfRule>
    <cfRule type="expression" dxfId="797" priority="6">
      <formula>$A2="чт"</formula>
    </cfRule>
    <cfRule type="expression" dxfId="796" priority="7">
      <formula>$A2="ср"</formula>
    </cfRule>
    <cfRule type="expression" dxfId="795" priority="8">
      <formula>$A2="вт"</formula>
    </cfRule>
  </conditionalFormatting>
  <conditionalFormatting sqref="D2:D218">
    <cfRule type="containsText" dxfId="7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8">
    <cfRule type="containsText" dxfId="7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36"/>
  <sheetViews>
    <sheetView zoomScale="90" zoomScaleNormal="90" workbookViewId="0">
      <pane ySplit="1" topLeftCell="A23" activePane="bottomLeft" state="frozen"/>
      <selection pane="bottomLeft" activeCell="I32" sqref="I32:I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2.42578125" bestFit="1" customWidth="1"/>
    <col min="5" max="5" width="36.28515625" bestFit="1" customWidth="1"/>
    <col min="6" max="6" width="5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9823</v>
      </c>
      <c r="J2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10023</v>
      </c>
      <c r="E3" t="s">
        <v>10011</v>
      </c>
      <c r="I3" t="s">
        <v>9826</v>
      </c>
      <c r="J3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10137</v>
      </c>
      <c r="J4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9600</v>
      </c>
      <c r="I5" t="s">
        <v>10140</v>
      </c>
      <c r="J5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10241</v>
      </c>
      <c r="E6" t="s">
        <v>86</v>
      </c>
      <c r="I6" t="s">
        <v>10212</v>
      </c>
      <c r="J6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10215</v>
      </c>
      <c r="J7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10218</v>
      </c>
      <c r="J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2352</v>
      </c>
      <c r="I9" t="s">
        <v>10221</v>
      </c>
      <c r="J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2352</v>
      </c>
      <c r="I10" t="s">
        <v>10224</v>
      </c>
      <c r="J10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10020</v>
      </c>
      <c r="I11" t="s">
        <v>10227</v>
      </c>
      <c r="J11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10020</v>
      </c>
      <c r="I12" t="s">
        <v>10230</v>
      </c>
      <c r="J12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10233</v>
      </c>
      <c r="J13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10020</v>
      </c>
      <c r="I14" t="s">
        <v>10310</v>
      </c>
      <c r="J14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10020</v>
      </c>
      <c r="I15" t="s">
        <v>10313</v>
      </c>
      <c r="J15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10020</v>
      </c>
      <c r="I16" t="s">
        <v>10316</v>
      </c>
      <c r="J16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10020</v>
      </c>
      <c r="I17" t="s">
        <v>10319</v>
      </c>
      <c r="J17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10020</v>
      </c>
      <c r="I18" t="s">
        <v>10322</v>
      </c>
      <c r="J1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10020</v>
      </c>
      <c r="I19" t="s">
        <v>10325</v>
      </c>
      <c r="J1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10020</v>
      </c>
      <c r="I20" t="s">
        <v>10328</v>
      </c>
      <c r="J20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10020</v>
      </c>
      <c r="I21" t="s">
        <v>10331</v>
      </c>
      <c r="J21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10334</v>
      </c>
      <c r="J22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10020</v>
      </c>
      <c r="I23" t="s">
        <v>10337</v>
      </c>
      <c r="J23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10020</v>
      </c>
      <c r="I24" t="s">
        <v>10340</v>
      </c>
      <c r="J24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10020</v>
      </c>
      <c r="I25" t="s">
        <v>10343</v>
      </c>
      <c r="J25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10020</v>
      </c>
      <c r="I26" t="s">
        <v>10346</v>
      </c>
      <c r="J26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10020</v>
      </c>
      <c r="I27" t="s">
        <v>10349</v>
      </c>
      <c r="J27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10352</v>
      </c>
      <c r="J2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10020</v>
      </c>
      <c r="I29" t="s">
        <v>10556</v>
      </c>
      <c r="J2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10020</v>
      </c>
      <c r="I30" t="s">
        <v>10559</v>
      </c>
      <c r="J30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10562</v>
      </c>
      <c r="J31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2352</v>
      </c>
      <c r="I32" t="s">
        <v>10843</v>
      </c>
      <c r="J32" t="s">
        <v>10066</v>
      </c>
      <c r="K32" t="s">
        <v>10844</v>
      </c>
      <c r="L32" t="s">
        <v>10845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2352</v>
      </c>
      <c r="I33" t="s">
        <v>10846</v>
      </c>
      <c r="J33" t="s">
        <v>10066</v>
      </c>
      <c r="K33" t="s">
        <v>10847</v>
      </c>
      <c r="L33" t="s">
        <v>10848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2352</v>
      </c>
      <c r="I34" t="s">
        <v>10849</v>
      </c>
      <c r="J34" t="s">
        <v>10066</v>
      </c>
      <c r="K34" t="s">
        <v>10850</v>
      </c>
      <c r="L34" t="s">
        <v>10851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2352</v>
      </c>
      <c r="I35" t="s">
        <v>10852</v>
      </c>
      <c r="J35" t="s">
        <v>10066</v>
      </c>
      <c r="K35" t="s">
        <v>10853</v>
      </c>
      <c r="L35" t="s">
        <v>10854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2352</v>
      </c>
      <c r="I36" t="s">
        <v>10855</v>
      </c>
      <c r="J36" t="s">
        <v>10066</v>
      </c>
      <c r="K36" t="s">
        <v>10856</v>
      </c>
      <c r="L36" t="s">
        <v>10857</v>
      </c>
      <c r="M36" s="2" t="str">
        <f>HYPERLINK(склад2въезд131920212223789106[[#This Row],[RelativePath]])</f>
        <v>14 На гаражи\GD7678666_1_20260225T185007Z.jpg</v>
      </c>
    </row>
  </sheetData>
  <conditionalFormatting sqref="D37:D47 E37:E50 D2:E36 G2:H36">
    <cfRule type="containsText" dxfId="786" priority="14" operator="containsText" text="Выезд с территории">
      <formula>NOT(ISERROR(SEARCH("Выезд с территории",D2)))</formula>
    </cfRule>
  </conditionalFormatting>
  <conditionalFormatting sqref="F2:F36">
    <cfRule type="notContainsText" dxfId="785" priority="13" operator="notContains" text="порожний">
      <formula>ISERROR(SEARCH("порожний",F2))</formula>
    </cfRule>
  </conditionalFormatting>
  <conditionalFormatting sqref="E2:E50">
    <cfRule type="containsText" dxfId="784" priority="11" operator="containsText" text="Газель базы">
      <formula>NOT(ISERROR(SEARCH("Газель базы",E2)))</formula>
    </cfRule>
    <cfRule type="containsText" dxfId="783" priority="12" operator="containsText" text="Погрузчик базы">
      <formula>NOT(ISERROR(SEARCH("Погрузчик базы",E2)))</formula>
    </cfRule>
  </conditionalFormatting>
  <conditionalFormatting sqref="E2:E50">
    <cfRule type="containsText" dxfId="782" priority="10" operator="containsText" text="Трактор базы">
      <formula>NOT(ISERROR(SEARCH("Трактор базы",E2)))</formula>
    </cfRule>
  </conditionalFormatting>
  <conditionalFormatting sqref="A2:C36">
    <cfRule type="expression" dxfId="781" priority="9">
      <formula>$A2="пн"</formula>
    </cfRule>
  </conditionalFormatting>
  <conditionalFormatting sqref="A2:C38">
    <cfRule type="expression" dxfId="780" priority="3">
      <formula>$A2="вс"</formula>
    </cfRule>
    <cfRule type="expression" dxfId="779" priority="4">
      <formula>$A2="сб"</formula>
    </cfRule>
    <cfRule type="expression" dxfId="778" priority="5">
      <formula>$A2="пт"</formula>
    </cfRule>
    <cfRule type="expression" dxfId="777" priority="6">
      <formula>$A2="чт"</formula>
    </cfRule>
    <cfRule type="expression" dxfId="776" priority="7">
      <formula>$A2="ср"</formula>
    </cfRule>
    <cfRule type="expression" dxfId="775" priority="8">
      <formula>$A2="вт"</formula>
    </cfRule>
  </conditionalFormatting>
  <conditionalFormatting sqref="D2:D47">
    <cfRule type="containsText" dxfId="77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7">
    <cfRule type="containsText" dxfId="77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5"/>
  <sheetViews>
    <sheetView zoomScale="90" zoomScaleNormal="90" workbookViewId="0">
      <pane ySplit="1" topLeftCell="A2" activePane="bottomLeft" state="frozen"/>
      <selection pane="bottomLeft" activeCell="E4" sqref="E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4257812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11084</v>
      </c>
      <c r="I2" t="s">
        <v>10870</v>
      </c>
      <c r="J2" t="s">
        <v>11091</v>
      </c>
      <c r="K2" t="s">
        <v>10871</v>
      </c>
      <c r="L2" t="s">
        <v>10872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1607</v>
      </c>
      <c r="E3" t="s">
        <v>11084</v>
      </c>
      <c r="I3" t="s">
        <v>10573</v>
      </c>
      <c r="J3" t="s">
        <v>11091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11071</v>
      </c>
      <c r="I4" t="s">
        <v>10576</v>
      </c>
      <c r="J4" t="s">
        <v>11091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1607</v>
      </c>
      <c r="E5" t="s">
        <v>11084</v>
      </c>
      <c r="I5" t="s">
        <v>10579</v>
      </c>
      <c r="J5" t="s">
        <v>11091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</sheetData>
  <conditionalFormatting sqref="D6:D16 E6:E19 D2:E5 G2:H5">
    <cfRule type="containsText" dxfId="766" priority="14" operator="containsText" text="Выезд с территории">
      <formula>NOT(ISERROR(SEARCH("Выезд с территории",D2)))</formula>
    </cfRule>
  </conditionalFormatting>
  <conditionalFormatting sqref="F2:F5">
    <cfRule type="notContainsText" dxfId="765" priority="13" operator="notContains" text="порожний">
      <formula>ISERROR(SEARCH("порожний",F2))</formula>
    </cfRule>
  </conditionalFormatting>
  <conditionalFormatting sqref="E2:E19">
    <cfRule type="containsText" dxfId="764" priority="11" operator="containsText" text="Газель базы">
      <formula>NOT(ISERROR(SEARCH("Газель базы",E2)))</formula>
    </cfRule>
    <cfRule type="containsText" dxfId="763" priority="12" operator="containsText" text="Погрузчик базы">
      <formula>NOT(ISERROR(SEARCH("Погрузчик базы",E2)))</formula>
    </cfRule>
  </conditionalFormatting>
  <conditionalFormatting sqref="E2:E19">
    <cfRule type="containsText" dxfId="762" priority="10" operator="containsText" text="Трактор базы">
      <formula>NOT(ISERROR(SEARCH("Трактор базы",E2)))</formula>
    </cfRule>
  </conditionalFormatting>
  <conditionalFormatting sqref="A2:C5">
    <cfRule type="expression" dxfId="761" priority="9">
      <formula>$A2="пн"</formula>
    </cfRule>
  </conditionalFormatting>
  <conditionalFormatting sqref="A2:C7">
    <cfRule type="expression" dxfId="760" priority="3">
      <formula>$A2="вс"</formula>
    </cfRule>
    <cfRule type="expression" dxfId="759" priority="4">
      <formula>$A2="сб"</formula>
    </cfRule>
    <cfRule type="expression" dxfId="758" priority="5">
      <formula>$A2="пт"</formula>
    </cfRule>
    <cfRule type="expression" dxfId="757" priority="6">
      <formula>$A2="чт"</formula>
    </cfRule>
    <cfRule type="expression" dxfId="756" priority="7">
      <formula>$A2="ср"</formula>
    </cfRule>
    <cfRule type="expression" dxfId="755" priority="8">
      <formula>$A2="вт"</formula>
    </cfRule>
  </conditionalFormatting>
  <conditionalFormatting sqref="D2:D16">
    <cfRule type="containsText" dxfId="7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">
    <cfRule type="containsText" dxfId="7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6"/>
  <sheetViews>
    <sheetView zoomScale="90" zoomScaleNormal="90" workbookViewId="0">
      <pane ySplit="1" topLeftCell="A2" activePane="bottomLeft" state="frozen"/>
      <selection pane="bottomLeft" activeCell="E3" sqref="E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17.28515625" bestFit="1" customWidth="1"/>
    <col min="5" max="5" width="18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11086</v>
      </c>
      <c r="I2" t="s">
        <v>10873</v>
      </c>
      <c r="J2" t="s">
        <v>13491</v>
      </c>
      <c r="K2" t="s">
        <v>10874</v>
      </c>
      <c r="L2" t="s">
        <v>10875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1607</v>
      </c>
      <c r="E3" t="s">
        <v>11086</v>
      </c>
      <c r="H3" t="s">
        <v>11087</v>
      </c>
      <c r="I3" t="s">
        <v>10876</v>
      </c>
      <c r="J3" t="s">
        <v>13491</v>
      </c>
      <c r="K3" t="s">
        <v>10877</v>
      </c>
      <c r="L3" t="s">
        <v>10878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1607</v>
      </c>
      <c r="E4" t="s">
        <v>11086</v>
      </c>
      <c r="H4" t="s">
        <v>11087</v>
      </c>
      <c r="I4" t="s">
        <v>10879</v>
      </c>
      <c r="J4" t="s">
        <v>13491</v>
      </c>
      <c r="K4" t="s">
        <v>10880</v>
      </c>
      <c r="L4" t="s">
        <v>10881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1607</v>
      </c>
      <c r="E5" t="s">
        <v>11086</v>
      </c>
      <c r="I5" t="s">
        <v>10882</v>
      </c>
      <c r="J5" t="s">
        <v>13491</v>
      </c>
      <c r="K5" t="s">
        <v>10883</v>
      </c>
      <c r="L5" t="s">
        <v>10884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468</v>
      </c>
      <c r="I6" t="s">
        <v>10885</v>
      </c>
      <c r="J6" t="s">
        <v>13491</v>
      </c>
      <c r="K6" t="s">
        <v>10886</v>
      </c>
      <c r="L6" t="s">
        <v>10887</v>
      </c>
      <c r="M6" s="2" t="str">
        <f>HYPERLINK(столярка[[#This Row],[RelativePath]])</f>
        <v>16 Столярка\GA3948333_11_20260225T202934Z.jpg</v>
      </c>
    </row>
  </sheetData>
  <conditionalFormatting sqref="D7:D17 E7:E20 D2:E6 G2:H6">
    <cfRule type="containsText" dxfId="746" priority="14" operator="containsText" text="Выезд с территории">
      <formula>NOT(ISERROR(SEARCH("Выезд с территории",D2)))</formula>
    </cfRule>
  </conditionalFormatting>
  <conditionalFormatting sqref="F2:F6">
    <cfRule type="notContainsText" dxfId="745" priority="13" operator="notContains" text="порожний">
      <formula>ISERROR(SEARCH("порожний",F2))</formula>
    </cfRule>
  </conditionalFormatting>
  <conditionalFormatting sqref="E2:E20">
    <cfRule type="containsText" dxfId="744" priority="11" operator="containsText" text="Газель базы">
      <formula>NOT(ISERROR(SEARCH("Газель базы",E2)))</formula>
    </cfRule>
    <cfRule type="containsText" dxfId="743" priority="12" operator="containsText" text="Погрузчик базы">
      <formula>NOT(ISERROR(SEARCH("Погрузчик базы",E2)))</formula>
    </cfRule>
  </conditionalFormatting>
  <conditionalFormatting sqref="E2:E20">
    <cfRule type="containsText" dxfId="742" priority="10" operator="containsText" text="Трактор базы">
      <formula>NOT(ISERROR(SEARCH("Трактор базы",E2)))</formula>
    </cfRule>
  </conditionalFormatting>
  <conditionalFormatting sqref="A2:C6">
    <cfRule type="expression" dxfId="741" priority="9">
      <formula>$A2="пн"</formula>
    </cfRule>
  </conditionalFormatting>
  <conditionalFormatting sqref="A2:C8">
    <cfRule type="expression" dxfId="740" priority="3">
      <formula>$A2="вс"</formula>
    </cfRule>
    <cfRule type="expression" dxfId="739" priority="4">
      <formula>$A2="сб"</formula>
    </cfRule>
    <cfRule type="expression" dxfId="738" priority="5">
      <formula>$A2="пт"</formula>
    </cfRule>
    <cfRule type="expression" dxfId="737" priority="6">
      <formula>$A2="чт"</formula>
    </cfRule>
    <cfRule type="expression" dxfId="736" priority="7">
      <formula>$A2="ср"</formula>
    </cfRule>
    <cfRule type="expression" dxfId="735" priority="8">
      <formula>$A2="вт"</formula>
    </cfRule>
  </conditionalFormatting>
  <conditionalFormatting sqref="D2:D17">
    <cfRule type="containsText" dxfId="7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7">
    <cfRule type="containsText" dxfId="7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8"/>
  <sheetViews>
    <sheetView zoomScale="90" zoomScaleNormal="90" workbookViewId="0">
      <pane ySplit="1" topLeftCell="A2" activePane="bottomLeft" state="frozen"/>
      <selection pane="bottomLeft" sqref="A1:M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18.42578125" bestFit="1" customWidth="1"/>
    <col min="6" max="6" width="5" customWidth="1"/>
    <col min="7" max="7" width="7.28515625" style="7" bestFit="1" customWidth="1"/>
    <col min="8" max="8" width="12.710937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11089</v>
      </c>
      <c r="E2" t="s">
        <v>11071</v>
      </c>
      <c r="I2" t="s">
        <v>10888</v>
      </c>
      <c r="J2" t="s">
        <v>10889</v>
      </c>
      <c r="K2" t="s">
        <v>10890</v>
      </c>
      <c r="L2" t="s">
        <v>10891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588</v>
      </c>
      <c r="E3" t="s">
        <v>86</v>
      </c>
      <c r="I3" t="s">
        <v>10582</v>
      </c>
      <c r="J3" t="s">
        <v>10889</v>
      </c>
      <c r="K3" t="s">
        <v>10892</v>
      </c>
      <c r="L3" t="s">
        <v>10893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588</v>
      </c>
      <c r="E4" t="s">
        <v>86</v>
      </c>
      <c r="I4" t="s">
        <v>10583</v>
      </c>
      <c r="J4" t="s">
        <v>10889</v>
      </c>
      <c r="K4" t="s">
        <v>10894</v>
      </c>
      <c r="L4" t="s">
        <v>10895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10896</v>
      </c>
      <c r="J5" t="s">
        <v>10889</v>
      </c>
      <c r="K5" t="s">
        <v>10897</v>
      </c>
      <c r="L5" t="s">
        <v>10898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11078</v>
      </c>
      <c r="E6" t="s">
        <v>86</v>
      </c>
      <c r="I6" t="s">
        <v>10899</v>
      </c>
      <c r="J6" t="s">
        <v>10889</v>
      </c>
      <c r="K6" t="s">
        <v>10900</v>
      </c>
      <c r="L6" t="s">
        <v>10901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11089</v>
      </c>
      <c r="E7" t="s">
        <v>11071</v>
      </c>
      <c r="I7" t="s">
        <v>10902</v>
      </c>
      <c r="J7" t="s">
        <v>10889</v>
      </c>
      <c r="K7" t="s">
        <v>10903</v>
      </c>
      <c r="L7" t="s">
        <v>10904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11090</v>
      </c>
      <c r="E8" t="s">
        <v>11071</v>
      </c>
      <c r="I8" t="s">
        <v>10905</v>
      </c>
      <c r="J8" t="s">
        <v>10889</v>
      </c>
      <c r="K8" t="s">
        <v>10906</v>
      </c>
      <c r="L8" t="s">
        <v>10907</v>
      </c>
      <c r="M8" s="2" t="str">
        <f>HYPERLINK(площадкаСнавесом[[#This Row],[RelativePath]])</f>
        <v>17 Площадка с навесом\GA3948333_10_20260225T121603Z.jpg</v>
      </c>
    </row>
  </sheetData>
  <conditionalFormatting sqref="D9:D19 E9:E22 D2:E8 G2:H8">
    <cfRule type="containsText" dxfId="726" priority="14" operator="containsText" text="Выезд с территории">
      <formula>NOT(ISERROR(SEARCH("Выезд с территории",D2)))</formula>
    </cfRule>
  </conditionalFormatting>
  <conditionalFormatting sqref="F2:F8">
    <cfRule type="notContainsText" dxfId="725" priority="13" operator="notContains" text="порожний">
      <formula>ISERROR(SEARCH("порожний",F2))</formula>
    </cfRule>
  </conditionalFormatting>
  <conditionalFormatting sqref="E2:E22">
    <cfRule type="containsText" dxfId="724" priority="11" operator="containsText" text="Газель базы">
      <formula>NOT(ISERROR(SEARCH("Газель базы",E2)))</formula>
    </cfRule>
    <cfRule type="containsText" dxfId="723" priority="12" operator="containsText" text="Погрузчик базы">
      <formula>NOT(ISERROR(SEARCH("Погрузчик базы",E2)))</formula>
    </cfRule>
  </conditionalFormatting>
  <conditionalFormatting sqref="E2:E22">
    <cfRule type="containsText" dxfId="722" priority="10" operator="containsText" text="Трактор базы">
      <formula>NOT(ISERROR(SEARCH("Трактор базы",E2)))</formula>
    </cfRule>
  </conditionalFormatting>
  <conditionalFormatting sqref="A2:C8">
    <cfRule type="expression" dxfId="721" priority="9">
      <formula>$A2="пн"</formula>
    </cfRule>
  </conditionalFormatting>
  <conditionalFormatting sqref="A2:C10">
    <cfRule type="expression" dxfId="720" priority="3">
      <formula>$A2="вс"</formula>
    </cfRule>
    <cfRule type="expression" dxfId="719" priority="4">
      <formula>$A2="сб"</formula>
    </cfRule>
    <cfRule type="expression" dxfId="718" priority="5">
      <formula>$A2="пт"</formula>
    </cfRule>
    <cfRule type="expression" dxfId="717" priority="6">
      <formula>$A2="чт"</formula>
    </cfRule>
    <cfRule type="expression" dxfId="716" priority="7">
      <formula>$A2="ср"</formula>
    </cfRule>
    <cfRule type="expression" dxfId="715" priority="8">
      <formula>$A2="вт"</formula>
    </cfRule>
  </conditionalFormatting>
  <conditionalFormatting sqref="D2:D19">
    <cfRule type="containsText" dxfId="7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9">
    <cfRule type="containsText" dxfId="7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4234"/>
  <sheetViews>
    <sheetView zoomScale="90" zoomScaleNormal="90" workbookViewId="0">
      <selection activeCell="C12" sqref="C12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x14ac:dyDescent="0.25">
      <c r="A40" t="s">
        <v>4</v>
      </c>
      <c r="B40" t="s">
        <v>8</v>
      </c>
      <c r="F40" t="s">
        <v>92</v>
      </c>
      <c r="G40" t="s">
        <v>12647</v>
      </c>
    </row>
    <row r="41" spans="1:7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12647</v>
      </c>
    </row>
    <row r="42" spans="1:7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12647</v>
      </c>
    </row>
    <row r="43" spans="1:7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12647</v>
      </c>
    </row>
    <row r="44" spans="1:7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12647</v>
      </c>
    </row>
    <row r="45" spans="1:7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12647</v>
      </c>
    </row>
    <row r="46" spans="1:7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12647</v>
      </c>
    </row>
    <row r="47" spans="1:7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12647</v>
      </c>
    </row>
    <row r="48" spans="1:7" x14ac:dyDescent="0.25">
      <c r="A48" t="s">
        <v>4</v>
      </c>
      <c r="B48" t="s">
        <v>8</v>
      </c>
      <c r="F48" t="s">
        <v>108</v>
      </c>
      <c r="G48" t="s">
        <v>12647</v>
      </c>
    </row>
    <row r="49" spans="1:7" x14ac:dyDescent="0.25">
      <c r="A49" t="s">
        <v>4</v>
      </c>
      <c r="B49" t="s">
        <v>8</v>
      </c>
      <c r="F49" t="s">
        <v>110</v>
      </c>
      <c r="G49" t="s">
        <v>12647</v>
      </c>
    </row>
    <row r="50" spans="1:7" x14ac:dyDescent="0.25">
      <c r="A50" t="s">
        <v>137</v>
      </c>
      <c r="B50" t="s">
        <v>63</v>
      </c>
      <c r="C50" t="s">
        <v>51</v>
      </c>
      <c r="F50" t="s">
        <v>112</v>
      </c>
      <c r="G50" t="s">
        <v>12647</v>
      </c>
    </row>
    <row r="51" spans="1:7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12647</v>
      </c>
    </row>
    <row r="52" spans="1:7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12647</v>
      </c>
    </row>
    <row r="53" spans="1:7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12647</v>
      </c>
    </row>
    <row r="54" spans="1:7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12647</v>
      </c>
    </row>
    <row r="55" spans="1:7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12647</v>
      </c>
    </row>
    <row r="56" spans="1:7" x14ac:dyDescent="0.25">
      <c r="A56" t="s">
        <v>4</v>
      </c>
      <c r="B56" t="s">
        <v>8</v>
      </c>
      <c r="F56" t="s">
        <v>124</v>
      </c>
      <c r="G56" t="s">
        <v>12647</v>
      </c>
    </row>
    <row r="57" spans="1:7" x14ac:dyDescent="0.25">
      <c r="A57" t="s">
        <v>4</v>
      </c>
      <c r="B57" t="s">
        <v>8</v>
      </c>
      <c r="F57" t="s">
        <v>126</v>
      </c>
      <c r="G57" t="s">
        <v>12647</v>
      </c>
    </row>
    <row r="58" spans="1:7" x14ac:dyDescent="0.25">
      <c r="A58" t="s">
        <v>137</v>
      </c>
      <c r="B58" t="s">
        <v>70</v>
      </c>
      <c r="F58" t="s">
        <v>128</v>
      </c>
      <c r="G58" t="s">
        <v>12647</v>
      </c>
    </row>
    <row r="59" spans="1:7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12647</v>
      </c>
    </row>
    <row r="60" spans="1:7" x14ac:dyDescent="0.25">
      <c r="A60" t="s">
        <v>4</v>
      </c>
      <c r="B60" t="s">
        <v>138</v>
      </c>
      <c r="F60" t="s">
        <v>132</v>
      </c>
      <c r="G60" t="s">
        <v>12647</v>
      </c>
    </row>
    <row r="61" spans="1:7" x14ac:dyDescent="0.25">
      <c r="A61" t="s">
        <v>4</v>
      </c>
      <c r="B61" t="s">
        <v>8</v>
      </c>
      <c r="F61" t="s">
        <v>134</v>
      </c>
      <c r="G61" t="s">
        <v>12647</v>
      </c>
    </row>
    <row r="62" spans="1:7" x14ac:dyDescent="0.25">
      <c r="A62" t="s">
        <v>4</v>
      </c>
      <c r="B62" t="s">
        <v>8</v>
      </c>
      <c r="F62" t="s">
        <v>139</v>
      </c>
      <c r="G62" t="s">
        <v>12647</v>
      </c>
    </row>
    <row r="63" spans="1:7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12647</v>
      </c>
    </row>
    <row r="64" spans="1:7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12647</v>
      </c>
    </row>
    <row r="65" spans="1:7" x14ac:dyDescent="0.25">
      <c r="A65" t="s">
        <v>166</v>
      </c>
      <c r="B65" t="s">
        <v>86</v>
      </c>
      <c r="C65" t="s">
        <v>51</v>
      </c>
      <c r="F65" t="s">
        <v>145</v>
      </c>
      <c r="G65" t="s">
        <v>12647</v>
      </c>
    </row>
    <row r="66" spans="1:7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12647</v>
      </c>
    </row>
    <row r="67" spans="1:7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12647</v>
      </c>
    </row>
    <row r="68" spans="1:7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12647</v>
      </c>
    </row>
    <row r="69" spans="1:7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12647</v>
      </c>
    </row>
    <row r="70" spans="1:7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12647</v>
      </c>
    </row>
    <row r="71" spans="1:7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12647</v>
      </c>
    </row>
    <row r="72" spans="1:7" x14ac:dyDescent="0.25">
      <c r="A72" t="s">
        <v>167</v>
      </c>
      <c r="B72" t="s">
        <v>86</v>
      </c>
      <c r="C72" t="s">
        <v>51</v>
      </c>
      <c r="F72" t="s">
        <v>159</v>
      </c>
      <c r="G72" t="s">
        <v>12647</v>
      </c>
    </row>
    <row r="73" spans="1:7" x14ac:dyDescent="0.25">
      <c r="A73" t="s">
        <v>137</v>
      </c>
      <c r="B73" t="s">
        <v>86</v>
      </c>
      <c r="C73" t="s">
        <v>87</v>
      </c>
      <c r="F73" t="s">
        <v>161</v>
      </c>
      <c r="G73" t="s">
        <v>12647</v>
      </c>
    </row>
    <row r="74" spans="1:7" x14ac:dyDescent="0.25">
      <c r="A74" t="s">
        <v>4</v>
      </c>
      <c r="B74" t="s">
        <v>8</v>
      </c>
      <c r="F74" t="s">
        <v>163</v>
      </c>
      <c r="G74" t="s">
        <v>12647</v>
      </c>
    </row>
    <row r="75" spans="1:7" x14ac:dyDescent="0.25">
      <c r="A75" t="s">
        <v>4</v>
      </c>
      <c r="B75" t="s">
        <v>8</v>
      </c>
      <c r="F75" t="s">
        <v>168</v>
      </c>
      <c r="G75" t="s">
        <v>11076</v>
      </c>
    </row>
    <row r="76" spans="1:7" x14ac:dyDescent="0.25">
      <c r="A76" t="s">
        <v>4</v>
      </c>
      <c r="B76" t="s">
        <v>8</v>
      </c>
      <c r="F76" t="s">
        <v>171</v>
      </c>
      <c r="G76" t="s">
        <v>11076</v>
      </c>
    </row>
    <row r="77" spans="1:7" x14ac:dyDescent="0.25">
      <c r="A77" t="s">
        <v>4</v>
      </c>
      <c r="B77" t="s">
        <v>8</v>
      </c>
      <c r="F77" t="s">
        <v>173</v>
      </c>
      <c r="G77" t="s">
        <v>11076</v>
      </c>
    </row>
    <row r="78" spans="1:7" x14ac:dyDescent="0.25">
      <c r="A78" t="s">
        <v>4</v>
      </c>
      <c r="B78" t="s">
        <v>8</v>
      </c>
      <c r="F78" t="s">
        <v>175</v>
      </c>
      <c r="G78" t="s">
        <v>11076</v>
      </c>
    </row>
    <row r="79" spans="1:7" x14ac:dyDescent="0.25">
      <c r="A79" t="s">
        <v>4</v>
      </c>
      <c r="B79" t="s">
        <v>8</v>
      </c>
      <c r="F79" t="s">
        <v>177</v>
      </c>
      <c r="G79" t="s">
        <v>11076</v>
      </c>
    </row>
    <row r="80" spans="1:7" x14ac:dyDescent="0.25">
      <c r="A80" t="s">
        <v>4</v>
      </c>
      <c r="B80" t="s">
        <v>8</v>
      </c>
      <c r="F80" t="s">
        <v>179</v>
      </c>
      <c r="G80" t="s">
        <v>11076</v>
      </c>
    </row>
    <row r="81" spans="1:7" x14ac:dyDescent="0.25">
      <c r="A81" t="s">
        <v>4</v>
      </c>
      <c r="B81" t="s">
        <v>8</v>
      </c>
      <c r="F81" t="s">
        <v>181</v>
      </c>
      <c r="G81" t="s">
        <v>11076</v>
      </c>
    </row>
    <row r="82" spans="1:7" x14ac:dyDescent="0.25">
      <c r="A82" t="s">
        <v>4</v>
      </c>
      <c r="B82" t="s">
        <v>8</v>
      </c>
      <c r="F82" t="s">
        <v>183</v>
      </c>
      <c r="G82" t="s">
        <v>11076</v>
      </c>
    </row>
    <row r="83" spans="1:7" x14ac:dyDescent="0.25">
      <c r="A83" t="s">
        <v>4</v>
      </c>
      <c r="B83" t="s">
        <v>8</v>
      </c>
      <c r="F83" t="s">
        <v>185</v>
      </c>
      <c r="G83" t="s">
        <v>11076</v>
      </c>
    </row>
    <row r="84" spans="1:7" x14ac:dyDescent="0.25">
      <c r="A84" t="s">
        <v>4</v>
      </c>
      <c r="B84" t="s">
        <v>8</v>
      </c>
      <c r="F84" t="s">
        <v>187</v>
      </c>
      <c r="G84" t="s">
        <v>11076</v>
      </c>
    </row>
    <row r="85" spans="1:7" x14ac:dyDescent="0.25">
      <c r="A85" t="s">
        <v>4</v>
      </c>
      <c r="B85" t="s">
        <v>8</v>
      </c>
      <c r="F85" t="s">
        <v>189</v>
      </c>
      <c r="G85" t="s">
        <v>11076</v>
      </c>
    </row>
    <row r="86" spans="1:7" x14ac:dyDescent="0.25">
      <c r="A86" t="s">
        <v>4</v>
      </c>
      <c r="B86" t="s">
        <v>8</v>
      </c>
      <c r="F86" t="s">
        <v>191</v>
      </c>
      <c r="G86" t="s">
        <v>11076</v>
      </c>
    </row>
    <row r="87" spans="1:7" x14ac:dyDescent="0.25">
      <c r="A87" t="s">
        <v>4</v>
      </c>
      <c r="B87" t="s">
        <v>8</v>
      </c>
      <c r="F87" t="s">
        <v>193</v>
      </c>
      <c r="G87" t="s">
        <v>11076</v>
      </c>
    </row>
    <row r="88" spans="1:7" x14ac:dyDescent="0.25">
      <c r="A88" t="s">
        <v>4</v>
      </c>
      <c r="B88" t="s">
        <v>8</v>
      </c>
      <c r="F88" t="s">
        <v>195</v>
      </c>
      <c r="G88" t="s">
        <v>11076</v>
      </c>
    </row>
    <row r="89" spans="1:7" x14ac:dyDescent="0.25">
      <c r="A89" t="s">
        <v>4</v>
      </c>
      <c r="B89" t="s">
        <v>8</v>
      </c>
      <c r="F89" t="s">
        <v>197</v>
      </c>
      <c r="G89" t="s">
        <v>11076</v>
      </c>
    </row>
    <row r="90" spans="1:7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11076</v>
      </c>
    </row>
    <row r="91" spans="1:7" x14ac:dyDescent="0.25">
      <c r="A91" t="s">
        <v>4</v>
      </c>
      <c r="B91" t="s">
        <v>8</v>
      </c>
      <c r="F91" t="s">
        <v>201</v>
      </c>
      <c r="G91" t="s">
        <v>11076</v>
      </c>
    </row>
    <row r="92" spans="1:7" x14ac:dyDescent="0.25">
      <c r="A92" t="s">
        <v>4</v>
      </c>
      <c r="B92" t="s">
        <v>8</v>
      </c>
      <c r="F92" t="s">
        <v>203</v>
      </c>
      <c r="G92" t="s">
        <v>11076</v>
      </c>
    </row>
    <row r="93" spans="1:7" x14ac:dyDescent="0.25">
      <c r="A93" t="s">
        <v>4</v>
      </c>
      <c r="B93" t="s">
        <v>8</v>
      </c>
      <c r="F93" t="s">
        <v>205</v>
      </c>
      <c r="G93" t="s">
        <v>11076</v>
      </c>
    </row>
    <row r="94" spans="1:7" x14ac:dyDescent="0.25">
      <c r="A94" t="s">
        <v>4</v>
      </c>
      <c r="B94" t="s">
        <v>8</v>
      </c>
      <c r="F94" t="s">
        <v>207</v>
      </c>
      <c r="G94" t="s">
        <v>11076</v>
      </c>
    </row>
    <row r="95" spans="1:7" x14ac:dyDescent="0.25">
      <c r="A95" t="s">
        <v>4</v>
      </c>
      <c r="B95" t="s">
        <v>8</v>
      </c>
      <c r="F95" t="s">
        <v>209</v>
      </c>
      <c r="G95" t="s">
        <v>11076</v>
      </c>
    </row>
    <row r="96" spans="1:7" x14ac:dyDescent="0.25">
      <c r="A96" t="s">
        <v>4</v>
      </c>
      <c r="B96" t="s">
        <v>8</v>
      </c>
      <c r="F96" t="s">
        <v>211</v>
      </c>
      <c r="G96" t="s">
        <v>11076</v>
      </c>
    </row>
    <row r="97" spans="1:7" x14ac:dyDescent="0.25">
      <c r="A97" t="s">
        <v>4</v>
      </c>
      <c r="B97" t="s">
        <v>8</v>
      </c>
      <c r="F97" t="s">
        <v>213</v>
      </c>
      <c r="G97" t="s">
        <v>11076</v>
      </c>
    </row>
    <row r="98" spans="1:7" x14ac:dyDescent="0.25">
      <c r="A98" t="s">
        <v>4</v>
      </c>
      <c r="B98" t="s">
        <v>8</v>
      </c>
      <c r="F98" t="s">
        <v>215</v>
      </c>
      <c r="G98" t="s">
        <v>11076</v>
      </c>
    </row>
    <row r="99" spans="1:7" x14ac:dyDescent="0.25">
      <c r="A99" t="s">
        <v>4</v>
      </c>
      <c r="B99" t="s">
        <v>8</v>
      </c>
      <c r="F99" t="s">
        <v>217</v>
      </c>
      <c r="G99" t="s">
        <v>11076</v>
      </c>
    </row>
    <row r="100" spans="1:7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11076</v>
      </c>
    </row>
    <row r="101" spans="1:7" x14ac:dyDescent="0.25">
      <c r="A101" t="s">
        <v>4</v>
      </c>
      <c r="B101" t="s">
        <v>8</v>
      </c>
      <c r="F101" t="s">
        <v>221</v>
      </c>
      <c r="G101" t="s">
        <v>11076</v>
      </c>
    </row>
    <row r="102" spans="1:7" x14ac:dyDescent="0.25">
      <c r="A102" t="s">
        <v>4</v>
      </c>
      <c r="B102" t="s">
        <v>8</v>
      </c>
      <c r="F102" t="s">
        <v>223</v>
      </c>
      <c r="G102" t="s">
        <v>11076</v>
      </c>
    </row>
    <row r="103" spans="1:7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x14ac:dyDescent="0.25">
      <c r="A212" t="s">
        <v>4</v>
      </c>
      <c r="B212" t="s">
        <v>9</v>
      </c>
      <c r="F212" t="s">
        <v>591</v>
      </c>
      <c r="G212" t="s">
        <v>12648</v>
      </c>
    </row>
    <row r="213" spans="1:7" x14ac:dyDescent="0.25">
      <c r="A213" t="s">
        <v>885</v>
      </c>
      <c r="B213" t="s">
        <v>886</v>
      </c>
      <c r="F213" t="s">
        <v>593</v>
      </c>
      <c r="G213" t="s">
        <v>12648</v>
      </c>
    </row>
    <row r="214" spans="1:7" x14ac:dyDescent="0.25">
      <c r="A214" t="s">
        <v>885</v>
      </c>
      <c r="B214" t="s">
        <v>886</v>
      </c>
      <c r="F214" t="s">
        <v>595</v>
      </c>
      <c r="G214" t="s">
        <v>12648</v>
      </c>
    </row>
    <row r="215" spans="1:7" x14ac:dyDescent="0.25">
      <c r="A215" t="s">
        <v>4</v>
      </c>
      <c r="B215" t="s">
        <v>683</v>
      </c>
      <c r="F215" t="s">
        <v>597</v>
      </c>
      <c r="G215" t="s">
        <v>12648</v>
      </c>
    </row>
    <row r="216" spans="1:7" x14ac:dyDescent="0.25">
      <c r="A216" t="s">
        <v>4</v>
      </c>
      <c r="B216" t="s">
        <v>9</v>
      </c>
      <c r="F216" t="s">
        <v>599</v>
      </c>
      <c r="G216" t="s">
        <v>12648</v>
      </c>
    </row>
    <row r="217" spans="1:7" x14ac:dyDescent="0.25">
      <c r="A217" t="s">
        <v>684</v>
      </c>
      <c r="B217" t="s">
        <v>468</v>
      </c>
      <c r="F217" t="s">
        <v>601</v>
      </c>
      <c r="G217" t="s">
        <v>12648</v>
      </c>
    </row>
    <row r="218" spans="1:7" x14ac:dyDescent="0.25">
      <c r="A218" t="s">
        <v>684</v>
      </c>
      <c r="B218" t="s">
        <v>468</v>
      </c>
      <c r="F218" t="s">
        <v>603</v>
      </c>
      <c r="G218" t="s">
        <v>12648</v>
      </c>
    </row>
    <row r="219" spans="1:7" x14ac:dyDescent="0.25">
      <c r="A219" t="s">
        <v>4</v>
      </c>
      <c r="B219" t="s">
        <v>9</v>
      </c>
      <c r="F219" t="s">
        <v>605</v>
      </c>
      <c r="G219" t="s">
        <v>12648</v>
      </c>
    </row>
    <row r="220" spans="1:7" x14ac:dyDescent="0.25">
      <c r="A220" t="s">
        <v>685</v>
      </c>
      <c r="F220" t="s">
        <v>607</v>
      </c>
      <c r="G220" t="s">
        <v>12648</v>
      </c>
    </row>
    <row r="221" spans="1:7" x14ac:dyDescent="0.25">
      <c r="A221" t="s">
        <v>889</v>
      </c>
      <c r="B221" t="s">
        <v>468</v>
      </c>
      <c r="F221" t="s">
        <v>609</v>
      </c>
      <c r="G221" t="s">
        <v>12648</v>
      </c>
    </row>
    <row r="222" spans="1:7" x14ac:dyDescent="0.25">
      <c r="A222" t="s">
        <v>4</v>
      </c>
      <c r="B222" t="s">
        <v>9</v>
      </c>
      <c r="F222" t="s">
        <v>611</v>
      </c>
      <c r="G222" t="s">
        <v>12648</v>
      </c>
    </row>
    <row r="223" spans="1:7" x14ac:dyDescent="0.25">
      <c r="A223" t="s">
        <v>4</v>
      </c>
      <c r="B223" t="s">
        <v>9</v>
      </c>
      <c r="F223" t="s">
        <v>613</v>
      </c>
      <c r="G223" t="s">
        <v>12648</v>
      </c>
    </row>
    <row r="224" spans="1:7" x14ac:dyDescent="0.25">
      <c r="A224" t="s">
        <v>686</v>
      </c>
      <c r="B224" t="s">
        <v>687</v>
      </c>
      <c r="F224" t="s">
        <v>615</v>
      </c>
      <c r="G224" t="s">
        <v>12648</v>
      </c>
    </row>
    <row r="225" spans="1:7" x14ac:dyDescent="0.25">
      <c r="A225" t="s">
        <v>686</v>
      </c>
      <c r="B225" t="s">
        <v>687</v>
      </c>
      <c r="F225" t="s">
        <v>617</v>
      </c>
      <c r="G225" t="s">
        <v>12648</v>
      </c>
    </row>
    <row r="226" spans="1:7" x14ac:dyDescent="0.25">
      <c r="A226" t="s">
        <v>686</v>
      </c>
      <c r="B226" t="s">
        <v>687</v>
      </c>
      <c r="F226" t="s">
        <v>619</v>
      </c>
      <c r="G226" t="s">
        <v>12648</v>
      </c>
    </row>
    <row r="227" spans="1:7" x14ac:dyDescent="0.25">
      <c r="A227" t="s">
        <v>4</v>
      </c>
      <c r="B227" t="s">
        <v>9</v>
      </c>
      <c r="F227" t="s">
        <v>621</v>
      </c>
      <c r="G227" t="s">
        <v>12648</v>
      </c>
    </row>
    <row r="228" spans="1:7" x14ac:dyDescent="0.25">
      <c r="A228" t="s">
        <v>4</v>
      </c>
      <c r="B228" t="s">
        <v>9</v>
      </c>
      <c r="F228" t="s">
        <v>623</v>
      </c>
      <c r="G228" t="s">
        <v>12648</v>
      </c>
    </row>
    <row r="229" spans="1:7" x14ac:dyDescent="0.25">
      <c r="A229" t="s">
        <v>4</v>
      </c>
      <c r="B229" t="s">
        <v>9</v>
      </c>
      <c r="F229" t="s">
        <v>625</v>
      </c>
      <c r="G229" t="s">
        <v>12648</v>
      </c>
    </row>
    <row r="230" spans="1:7" x14ac:dyDescent="0.25">
      <c r="A230" t="s">
        <v>4</v>
      </c>
      <c r="B230" t="s">
        <v>9</v>
      </c>
      <c r="F230" t="s">
        <v>627</v>
      </c>
      <c r="G230" t="s">
        <v>12648</v>
      </c>
    </row>
    <row r="231" spans="1:7" x14ac:dyDescent="0.25">
      <c r="A231" t="s">
        <v>4</v>
      </c>
      <c r="B231" t="s">
        <v>9</v>
      </c>
      <c r="F231" t="s">
        <v>629</v>
      </c>
      <c r="G231" t="s">
        <v>12648</v>
      </c>
    </row>
    <row r="232" spans="1:7" x14ac:dyDescent="0.25">
      <c r="A232" t="s">
        <v>4</v>
      </c>
      <c r="B232" t="s">
        <v>9</v>
      </c>
      <c r="F232" t="s">
        <v>631</v>
      </c>
      <c r="G232" t="s">
        <v>12648</v>
      </c>
    </row>
    <row r="233" spans="1:7" x14ac:dyDescent="0.25">
      <c r="A233" t="s">
        <v>686</v>
      </c>
      <c r="B233" t="s">
        <v>687</v>
      </c>
      <c r="F233" t="s">
        <v>633</v>
      </c>
      <c r="G233" t="s">
        <v>12648</v>
      </c>
    </row>
    <row r="234" spans="1:7" x14ac:dyDescent="0.25">
      <c r="A234" t="s">
        <v>4</v>
      </c>
      <c r="B234" t="s">
        <v>9</v>
      </c>
      <c r="F234" t="s">
        <v>635</v>
      </c>
      <c r="G234" t="s">
        <v>12648</v>
      </c>
    </row>
    <row r="235" spans="1:7" x14ac:dyDescent="0.25">
      <c r="A235" t="s">
        <v>4</v>
      </c>
      <c r="B235" t="s">
        <v>9</v>
      </c>
      <c r="F235" t="s">
        <v>637</v>
      </c>
      <c r="G235" t="s">
        <v>12648</v>
      </c>
    </row>
    <row r="236" spans="1:7" x14ac:dyDescent="0.25">
      <c r="A236" t="s">
        <v>4</v>
      </c>
      <c r="B236" t="s">
        <v>9</v>
      </c>
      <c r="F236" t="s">
        <v>639</v>
      </c>
      <c r="G236" t="s">
        <v>12648</v>
      </c>
    </row>
    <row r="237" spans="1:7" x14ac:dyDescent="0.25">
      <c r="A237" t="s">
        <v>4</v>
      </c>
      <c r="B237" t="s">
        <v>9</v>
      </c>
      <c r="F237" t="s">
        <v>641</v>
      </c>
      <c r="G237" t="s">
        <v>12648</v>
      </c>
    </row>
    <row r="238" spans="1:7" x14ac:dyDescent="0.25">
      <c r="A238" t="s">
        <v>4</v>
      </c>
      <c r="B238" t="s">
        <v>9</v>
      </c>
      <c r="F238" t="s">
        <v>643</v>
      </c>
      <c r="G238" t="s">
        <v>12648</v>
      </c>
    </row>
    <row r="239" spans="1:7" x14ac:dyDescent="0.25">
      <c r="A239" t="s">
        <v>4</v>
      </c>
      <c r="B239" t="s">
        <v>9</v>
      </c>
      <c r="F239" t="s">
        <v>645</v>
      </c>
      <c r="G239" t="s">
        <v>12648</v>
      </c>
    </row>
    <row r="240" spans="1:7" x14ac:dyDescent="0.25">
      <c r="A240" t="s">
        <v>4</v>
      </c>
      <c r="B240" t="s">
        <v>9</v>
      </c>
      <c r="F240" t="s">
        <v>647</v>
      </c>
      <c r="G240" t="s">
        <v>12648</v>
      </c>
    </row>
    <row r="241" spans="1:7" x14ac:dyDescent="0.25">
      <c r="A241" t="s">
        <v>4</v>
      </c>
      <c r="B241" t="s">
        <v>9</v>
      </c>
      <c r="F241" t="s">
        <v>649</v>
      </c>
      <c r="G241" t="s">
        <v>12648</v>
      </c>
    </row>
    <row r="242" spans="1:7" x14ac:dyDescent="0.25">
      <c r="A242" t="s">
        <v>4</v>
      </c>
      <c r="B242" t="s">
        <v>9</v>
      </c>
      <c r="F242" t="s">
        <v>651</v>
      </c>
      <c r="G242" t="s">
        <v>12648</v>
      </c>
    </row>
    <row r="243" spans="1:7" x14ac:dyDescent="0.25">
      <c r="A243" t="s">
        <v>4</v>
      </c>
      <c r="B243" t="s">
        <v>9</v>
      </c>
      <c r="F243" t="s">
        <v>653</v>
      </c>
      <c r="G243" t="s">
        <v>12648</v>
      </c>
    </row>
    <row r="244" spans="1:7" x14ac:dyDescent="0.25">
      <c r="A244" t="s">
        <v>686</v>
      </c>
      <c r="B244" t="s">
        <v>687</v>
      </c>
      <c r="F244" t="s">
        <v>655</v>
      </c>
      <c r="G244" t="s">
        <v>12648</v>
      </c>
    </row>
    <row r="245" spans="1:7" x14ac:dyDescent="0.25">
      <c r="A245" t="s">
        <v>686</v>
      </c>
      <c r="B245" t="s">
        <v>687</v>
      </c>
      <c r="F245" t="s">
        <v>657</v>
      </c>
      <c r="G245" t="s">
        <v>12648</v>
      </c>
    </row>
    <row r="246" spans="1:7" x14ac:dyDescent="0.25">
      <c r="A246" t="s">
        <v>4</v>
      </c>
      <c r="B246" t="s">
        <v>9</v>
      </c>
      <c r="F246" t="s">
        <v>659</v>
      </c>
      <c r="G246" t="s">
        <v>12648</v>
      </c>
    </row>
    <row r="247" spans="1:7" x14ac:dyDescent="0.25">
      <c r="A247" t="s">
        <v>4</v>
      </c>
      <c r="B247" t="s">
        <v>9</v>
      </c>
      <c r="F247" t="s">
        <v>661</v>
      </c>
      <c r="G247" t="s">
        <v>12648</v>
      </c>
    </row>
    <row r="248" spans="1:7" x14ac:dyDescent="0.25">
      <c r="A248" t="s">
        <v>686</v>
      </c>
      <c r="B248" t="s">
        <v>687</v>
      </c>
      <c r="F248" t="s">
        <v>663</v>
      </c>
      <c r="G248" t="s">
        <v>12648</v>
      </c>
    </row>
    <row r="249" spans="1:7" x14ac:dyDescent="0.25">
      <c r="A249" t="s">
        <v>686</v>
      </c>
      <c r="B249" t="s">
        <v>687</v>
      </c>
      <c r="F249" t="s">
        <v>665</v>
      </c>
      <c r="G249" t="s">
        <v>12648</v>
      </c>
    </row>
    <row r="250" spans="1:7" x14ac:dyDescent="0.25">
      <c r="A250" t="s">
        <v>686</v>
      </c>
      <c r="B250" t="s">
        <v>687</v>
      </c>
      <c r="F250" t="s">
        <v>667</v>
      </c>
      <c r="G250" t="s">
        <v>12648</v>
      </c>
    </row>
    <row r="251" spans="1:7" x14ac:dyDescent="0.25">
      <c r="A251" t="s">
        <v>4</v>
      </c>
      <c r="B251" t="s">
        <v>9</v>
      </c>
      <c r="F251" t="s">
        <v>669</v>
      </c>
      <c r="G251" t="s">
        <v>12648</v>
      </c>
    </row>
    <row r="252" spans="1:7" x14ac:dyDescent="0.25">
      <c r="A252" t="s">
        <v>686</v>
      </c>
      <c r="B252" t="s">
        <v>687</v>
      </c>
      <c r="F252" t="s">
        <v>671</v>
      </c>
      <c r="G252" t="s">
        <v>12648</v>
      </c>
    </row>
    <row r="253" spans="1:7" x14ac:dyDescent="0.25">
      <c r="A253" t="s">
        <v>686</v>
      </c>
      <c r="B253" t="s">
        <v>687</v>
      </c>
      <c r="F253" t="s">
        <v>673</v>
      </c>
      <c r="G253" t="s">
        <v>12648</v>
      </c>
    </row>
    <row r="254" spans="1:7" x14ac:dyDescent="0.25">
      <c r="A254" t="s">
        <v>686</v>
      </c>
      <c r="B254" t="s">
        <v>687</v>
      </c>
      <c r="F254" t="s">
        <v>675</v>
      </c>
      <c r="G254" t="s">
        <v>12648</v>
      </c>
    </row>
    <row r="255" spans="1:7" x14ac:dyDescent="0.25">
      <c r="A255" t="s">
        <v>4</v>
      </c>
      <c r="B255" t="s">
        <v>9</v>
      </c>
      <c r="F255" t="s">
        <v>677</v>
      </c>
      <c r="G255" t="s">
        <v>12648</v>
      </c>
    </row>
    <row r="256" spans="1:7" x14ac:dyDescent="0.25">
      <c r="A256" t="s">
        <v>4</v>
      </c>
      <c r="B256" t="s">
        <v>9</v>
      </c>
      <c r="F256" t="s">
        <v>679</v>
      </c>
      <c r="G256" t="s">
        <v>12648</v>
      </c>
    </row>
    <row r="257" spans="1:7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12648</v>
      </c>
    </row>
    <row r="258" spans="1:7" x14ac:dyDescent="0.25">
      <c r="A258" t="s">
        <v>4</v>
      </c>
      <c r="B258" t="s">
        <v>9</v>
      </c>
      <c r="F258" t="s">
        <v>688</v>
      </c>
      <c r="G258" t="s">
        <v>12649</v>
      </c>
    </row>
    <row r="259" spans="1:7" x14ac:dyDescent="0.25">
      <c r="A259" t="s">
        <v>884</v>
      </c>
      <c r="B259" t="s">
        <v>890</v>
      </c>
      <c r="F259" t="s">
        <v>690</v>
      </c>
      <c r="G259" t="s">
        <v>12649</v>
      </c>
    </row>
    <row r="260" spans="1:7" x14ac:dyDescent="0.25">
      <c r="A260" t="s">
        <v>684</v>
      </c>
      <c r="B260" t="s">
        <v>468</v>
      </c>
      <c r="F260" t="s">
        <v>692</v>
      </c>
      <c r="G260" t="s">
        <v>12649</v>
      </c>
    </row>
    <row r="261" spans="1:7" x14ac:dyDescent="0.25">
      <c r="A261" t="s">
        <v>684</v>
      </c>
      <c r="B261" t="s">
        <v>468</v>
      </c>
      <c r="F261" t="s">
        <v>694</v>
      </c>
      <c r="G261" t="s">
        <v>12649</v>
      </c>
    </row>
    <row r="262" spans="1:7" x14ac:dyDescent="0.25">
      <c r="A262" t="s">
        <v>4</v>
      </c>
      <c r="B262" t="s">
        <v>9</v>
      </c>
      <c r="F262" t="s">
        <v>696</v>
      </c>
      <c r="G262" t="s">
        <v>12649</v>
      </c>
    </row>
    <row r="263" spans="1:7" x14ac:dyDescent="0.25">
      <c r="A263" t="s">
        <v>891</v>
      </c>
      <c r="B263" t="s">
        <v>468</v>
      </c>
      <c r="F263" t="s">
        <v>698</v>
      </c>
      <c r="G263" t="s">
        <v>12649</v>
      </c>
    </row>
    <row r="264" spans="1:7" x14ac:dyDescent="0.25">
      <c r="A264" t="s">
        <v>226</v>
      </c>
      <c r="B264" t="s">
        <v>892</v>
      </c>
      <c r="F264" t="s">
        <v>700</v>
      </c>
      <c r="G264" t="s">
        <v>12649</v>
      </c>
    </row>
    <row r="265" spans="1:7" x14ac:dyDescent="0.25">
      <c r="A265" t="s">
        <v>4</v>
      </c>
      <c r="B265" t="s">
        <v>9</v>
      </c>
      <c r="F265" t="s">
        <v>702</v>
      </c>
      <c r="G265" t="s">
        <v>12649</v>
      </c>
    </row>
    <row r="266" spans="1:7" x14ac:dyDescent="0.25">
      <c r="A266" t="s">
        <v>4</v>
      </c>
      <c r="B266" t="s">
        <v>9</v>
      </c>
      <c r="F266" t="s">
        <v>704</v>
      </c>
      <c r="G266" t="s">
        <v>12649</v>
      </c>
    </row>
    <row r="267" spans="1:7" x14ac:dyDescent="0.25">
      <c r="A267" t="s">
        <v>4</v>
      </c>
      <c r="B267" t="s">
        <v>9</v>
      </c>
      <c r="F267" t="s">
        <v>706</v>
      </c>
      <c r="G267" t="s">
        <v>12649</v>
      </c>
    </row>
    <row r="268" spans="1:7" x14ac:dyDescent="0.25">
      <c r="A268" t="s">
        <v>1627</v>
      </c>
      <c r="B268" t="s">
        <v>1058</v>
      </c>
      <c r="F268" t="s">
        <v>708</v>
      </c>
      <c r="G268" t="s">
        <v>12649</v>
      </c>
    </row>
    <row r="269" spans="1:7" x14ac:dyDescent="0.25">
      <c r="A269" t="s">
        <v>4</v>
      </c>
      <c r="B269" t="s">
        <v>9</v>
      </c>
      <c r="F269" t="s">
        <v>710</v>
      </c>
      <c r="G269" t="s">
        <v>12649</v>
      </c>
    </row>
    <row r="270" spans="1:7" x14ac:dyDescent="0.25">
      <c r="A270" t="s">
        <v>4</v>
      </c>
      <c r="B270" t="s">
        <v>9</v>
      </c>
      <c r="F270" t="s">
        <v>712</v>
      </c>
      <c r="G270" t="s">
        <v>12649</v>
      </c>
    </row>
    <row r="271" spans="1:7" x14ac:dyDescent="0.25">
      <c r="A271" t="s">
        <v>4</v>
      </c>
      <c r="B271" t="s">
        <v>9</v>
      </c>
      <c r="F271" t="s">
        <v>714</v>
      </c>
      <c r="G271" t="s">
        <v>12649</v>
      </c>
    </row>
    <row r="272" spans="1:7" x14ac:dyDescent="0.25">
      <c r="A272" t="s">
        <v>4</v>
      </c>
      <c r="B272" t="s">
        <v>9</v>
      </c>
      <c r="F272" t="s">
        <v>716</v>
      </c>
      <c r="G272" t="s">
        <v>12649</v>
      </c>
    </row>
    <row r="273" spans="1:7" x14ac:dyDescent="0.25">
      <c r="A273" t="s">
        <v>4</v>
      </c>
      <c r="B273" t="s">
        <v>9</v>
      </c>
      <c r="F273" t="s">
        <v>718</v>
      </c>
      <c r="G273" t="s">
        <v>12649</v>
      </c>
    </row>
    <row r="274" spans="1:7" x14ac:dyDescent="0.25">
      <c r="A274" t="s">
        <v>4</v>
      </c>
      <c r="B274" t="s">
        <v>9</v>
      </c>
      <c r="F274" t="s">
        <v>720</v>
      </c>
      <c r="G274" t="s">
        <v>12649</v>
      </c>
    </row>
    <row r="275" spans="1:7" x14ac:dyDescent="0.25">
      <c r="A275" t="s">
        <v>4</v>
      </c>
      <c r="B275" t="s">
        <v>9</v>
      </c>
      <c r="F275" t="s">
        <v>722</v>
      </c>
      <c r="G275" t="s">
        <v>12649</v>
      </c>
    </row>
    <row r="276" spans="1:7" x14ac:dyDescent="0.25">
      <c r="A276" t="s">
        <v>4</v>
      </c>
      <c r="B276" t="s">
        <v>9</v>
      </c>
      <c r="F276" t="s">
        <v>724</v>
      </c>
      <c r="G276" t="s">
        <v>12649</v>
      </c>
    </row>
    <row r="277" spans="1:7" x14ac:dyDescent="0.25">
      <c r="A277" t="s">
        <v>4</v>
      </c>
      <c r="B277" t="s">
        <v>9</v>
      </c>
      <c r="F277" t="s">
        <v>726</v>
      </c>
      <c r="G277" t="s">
        <v>12649</v>
      </c>
    </row>
    <row r="278" spans="1:7" x14ac:dyDescent="0.25">
      <c r="A278" t="s">
        <v>4</v>
      </c>
      <c r="B278" t="s">
        <v>9</v>
      </c>
      <c r="F278" t="s">
        <v>728</v>
      </c>
      <c r="G278" t="s">
        <v>12649</v>
      </c>
    </row>
    <row r="279" spans="1:7" x14ac:dyDescent="0.25">
      <c r="A279" t="s">
        <v>4</v>
      </c>
      <c r="B279" t="s">
        <v>9</v>
      </c>
      <c r="F279" t="s">
        <v>730</v>
      </c>
      <c r="G279" t="s">
        <v>12649</v>
      </c>
    </row>
    <row r="280" spans="1:7" x14ac:dyDescent="0.25">
      <c r="A280" t="s">
        <v>4</v>
      </c>
      <c r="B280" t="s">
        <v>9</v>
      </c>
      <c r="F280" t="s">
        <v>732</v>
      </c>
      <c r="G280" t="s">
        <v>12649</v>
      </c>
    </row>
    <row r="281" spans="1:7" x14ac:dyDescent="0.25">
      <c r="A281" t="s">
        <v>4</v>
      </c>
      <c r="B281" t="s">
        <v>9</v>
      </c>
      <c r="F281" t="s">
        <v>734</v>
      </c>
      <c r="G281" t="s">
        <v>12649</v>
      </c>
    </row>
    <row r="282" spans="1:7" x14ac:dyDescent="0.25">
      <c r="A282" t="s">
        <v>4</v>
      </c>
      <c r="B282" t="s">
        <v>9</v>
      </c>
      <c r="F282" t="s">
        <v>736</v>
      </c>
      <c r="G282" t="s">
        <v>12649</v>
      </c>
    </row>
    <row r="283" spans="1:7" x14ac:dyDescent="0.25">
      <c r="A283" t="s">
        <v>4</v>
      </c>
      <c r="B283" t="s">
        <v>9</v>
      </c>
      <c r="F283" t="s">
        <v>738</v>
      </c>
      <c r="G283" t="s">
        <v>12649</v>
      </c>
    </row>
    <row r="284" spans="1:7" x14ac:dyDescent="0.25">
      <c r="A284" t="s">
        <v>4</v>
      </c>
      <c r="B284" t="s">
        <v>9</v>
      </c>
      <c r="F284" t="s">
        <v>740</v>
      </c>
      <c r="G284" t="s">
        <v>12649</v>
      </c>
    </row>
    <row r="285" spans="1:7" x14ac:dyDescent="0.25">
      <c r="A285" t="s">
        <v>1627</v>
      </c>
      <c r="B285" t="s">
        <v>1058</v>
      </c>
      <c r="F285" t="s">
        <v>742</v>
      </c>
      <c r="G285" t="s">
        <v>12649</v>
      </c>
    </row>
    <row r="286" spans="1:7" x14ac:dyDescent="0.25">
      <c r="A286" t="s">
        <v>1627</v>
      </c>
      <c r="B286" t="s">
        <v>1058</v>
      </c>
      <c r="F286" t="s">
        <v>744</v>
      </c>
      <c r="G286" t="s">
        <v>12649</v>
      </c>
    </row>
    <row r="287" spans="1:7" x14ac:dyDescent="0.25">
      <c r="A287" t="s">
        <v>1627</v>
      </c>
      <c r="B287" t="s">
        <v>1058</v>
      </c>
      <c r="F287" t="s">
        <v>746</v>
      </c>
      <c r="G287" t="s">
        <v>12649</v>
      </c>
    </row>
    <row r="288" spans="1:7" x14ac:dyDescent="0.25">
      <c r="A288" t="s">
        <v>4</v>
      </c>
      <c r="B288" t="s">
        <v>9</v>
      </c>
      <c r="F288" t="s">
        <v>748</v>
      </c>
      <c r="G288" t="s">
        <v>12649</v>
      </c>
    </row>
    <row r="289" spans="1:7" x14ac:dyDescent="0.25">
      <c r="A289" t="s">
        <v>4</v>
      </c>
      <c r="B289" t="s">
        <v>9</v>
      </c>
      <c r="F289" t="s">
        <v>750</v>
      </c>
      <c r="G289" t="s">
        <v>12649</v>
      </c>
    </row>
    <row r="290" spans="1:7" x14ac:dyDescent="0.25">
      <c r="A290" t="s">
        <v>4</v>
      </c>
      <c r="B290" t="s">
        <v>9</v>
      </c>
      <c r="F290" t="s">
        <v>752</v>
      </c>
      <c r="G290" t="s">
        <v>12649</v>
      </c>
    </row>
    <row r="291" spans="1:7" x14ac:dyDescent="0.25">
      <c r="A291" t="s">
        <v>4</v>
      </c>
      <c r="B291" t="s">
        <v>9</v>
      </c>
      <c r="F291" t="s">
        <v>754</v>
      </c>
      <c r="G291" t="s">
        <v>12649</v>
      </c>
    </row>
    <row r="292" spans="1:7" x14ac:dyDescent="0.25">
      <c r="A292" t="s">
        <v>1627</v>
      </c>
      <c r="B292" t="s">
        <v>1058</v>
      </c>
      <c r="F292" t="s">
        <v>756</v>
      </c>
      <c r="G292" t="s">
        <v>12649</v>
      </c>
    </row>
    <row r="293" spans="1:7" x14ac:dyDescent="0.25">
      <c r="A293" t="s">
        <v>4</v>
      </c>
      <c r="B293" t="s">
        <v>9</v>
      </c>
      <c r="F293" t="s">
        <v>758</v>
      </c>
      <c r="G293" t="s">
        <v>12649</v>
      </c>
    </row>
    <row r="294" spans="1:7" x14ac:dyDescent="0.25">
      <c r="A294" t="s">
        <v>686</v>
      </c>
      <c r="B294" t="s">
        <v>1058</v>
      </c>
      <c r="F294" t="s">
        <v>760</v>
      </c>
      <c r="G294" t="s">
        <v>12649</v>
      </c>
    </row>
    <row r="295" spans="1:7" x14ac:dyDescent="0.25">
      <c r="A295" t="s">
        <v>4</v>
      </c>
      <c r="B295" t="s">
        <v>9</v>
      </c>
      <c r="F295" t="s">
        <v>762</v>
      </c>
      <c r="G295" t="s">
        <v>12649</v>
      </c>
    </row>
    <row r="296" spans="1:7" x14ac:dyDescent="0.25">
      <c r="A296" t="s">
        <v>4</v>
      </c>
      <c r="B296" t="s">
        <v>9</v>
      </c>
      <c r="F296" t="s">
        <v>764</v>
      </c>
      <c r="G296" t="s">
        <v>12649</v>
      </c>
    </row>
    <row r="297" spans="1:7" x14ac:dyDescent="0.25">
      <c r="A297" t="s">
        <v>4</v>
      </c>
      <c r="B297" t="s">
        <v>9</v>
      </c>
      <c r="F297" t="s">
        <v>766</v>
      </c>
      <c r="G297" t="s">
        <v>12649</v>
      </c>
    </row>
    <row r="298" spans="1:7" x14ac:dyDescent="0.25">
      <c r="A298" t="s">
        <v>4</v>
      </c>
      <c r="B298" t="s">
        <v>9</v>
      </c>
      <c r="F298" t="s">
        <v>768</v>
      </c>
      <c r="G298" t="s">
        <v>12649</v>
      </c>
    </row>
    <row r="299" spans="1:7" x14ac:dyDescent="0.25">
      <c r="A299" t="s">
        <v>4</v>
      </c>
      <c r="B299" t="s">
        <v>9</v>
      </c>
      <c r="F299" t="s">
        <v>770</v>
      </c>
      <c r="G299" t="s">
        <v>12649</v>
      </c>
    </row>
    <row r="300" spans="1:7" x14ac:dyDescent="0.25">
      <c r="A300" t="s">
        <v>884</v>
      </c>
      <c r="B300" t="s">
        <v>886</v>
      </c>
      <c r="F300" t="s">
        <v>772</v>
      </c>
      <c r="G300" t="s">
        <v>12649</v>
      </c>
    </row>
    <row r="301" spans="1:7" x14ac:dyDescent="0.25">
      <c r="A301" t="s">
        <v>4</v>
      </c>
      <c r="B301" t="s">
        <v>9</v>
      </c>
      <c r="F301" t="s">
        <v>774</v>
      </c>
      <c r="G301" t="s">
        <v>12649</v>
      </c>
    </row>
    <row r="302" spans="1:7" x14ac:dyDescent="0.25">
      <c r="A302" t="s">
        <v>686</v>
      </c>
      <c r="B302" t="s">
        <v>1058</v>
      </c>
      <c r="F302" t="s">
        <v>776</v>
      </c>
      <c r="G302" t="s">
        <v>12649</v>
      </c>
    </row>
    <row r="303" spans="1:7" x14ac:dyDescent="0.25">
      <c r="A303" t="s">
        <v>1059</v>
      </c>
      <c r="B303" t="s">
        <v>890</v>
      </c>
      <c r="F303" t="s">
        <v>778</v>
      </c>
      <c r="G303" t="s">
        <v>12649</v>
      </c>
    </row>
    <row r="304" spans="1:7" x14ac:dyDescent="0.25">
      <c r="A304" t="s">
        <v>4</v>
      </c>
      <c r="B304" t="s">
        <v>9</v>
      </c>
      <c r="F304" t="s">
        <v>780</v>
      </c>
      <c r="G304" t="s">
        <v>12649</v>
      </c>
    </row>
    <row r="305" spans="1:7" x14ac:dyDescent="0.25">
      <c r="A305" t="s">
        <v>4</v>
      </c>
      <c r="B305" t="s">
        <v>9</v>
      </c>
      <c r="F305" t="s">
        <v>782</v>
      </c>
      <c r="G305" t="s">
        <v>12649</v>
      </c>
    </row>
    <row r="306" spans="1:7" x14ac:dyDescent="0.25">
      <c r="A306" t="s">
        <v>884</v>
      </c>
      <c r="B306" t="s">
        <v>888</v>
      </c>
      <c r="F306" t="s">
        <v>784</v>
      </c>
      <c r="G306" t="s">
        <v>12649</v>
      </c>
    </row>
    <row r="307" spans="1:7" x14ac:dyDescent="0.25">
      <c r="A307" t="s">
        <v>4</v>
      </c>
      <c r="B307" t="s">
        <v>9</v>
      </c>
      <c r="F307" t="s">
        <v>786</v>
      </c>
      <c r="G307" t="s">
        <v>12649</v>
      </c>
    </row>
    <row r="308" spans="1:7" x14ac:dyDescent="0.25">
      <c r="A308" t="s">
        <v>4</v>
      </c>
      <c r="B308" t="s">
        <v>1060</v>
      </c>
      <c r="F308" t="s">
        <v>788</v>
      </c>
      <c r="G308" t="s">
        <v>12649</v>
      </c>
    </row>
    <row r="309" spans="1:7" x14ac:dyDescent="0.25">
      <c r="A309" t="s">
        <v>884</v>
      </c>
      <c r="B309" t="s">
        <v>1060</v>
      </c>
      <c r="F309" t="s">
        <v>790</v>
      </c>
      <c r="G309" t="s">
        <v>12649</v>
      </c>
    </row>
    <row r="310" spans="1:7" x14ac:dyDescent="0.25">
      <c r="A310" t="s">
        <v>4</v>
      </c>
      <c r="B310" t="s">
        <v>9</v>
      </c>
      <c r="F310" t="s">
        <v>792</v>
      </c>
      <c r="G310" t="s">
        <v>12649</v>
      </c>
    </row>
    <row r="311" spans="1:7" x14ac:dyDescent="0.25">
      <c r="A311" t="s">
        <v>4</v>
      </c>
      <c r="B311" t="s">
        <v>9</v>
      </c>
      <c r="F311" t="s">
        <v>794</v>
      </c>
      <c r="G311" t="s">
        <v>12649</v>
      </c>
    </row>
    <row r="312" spans="1:7" x14ac:dyDescent="0.25">
      <c r="A312" t="s">
        <v>4</v>
      </c>
      <c r="B312" t="s">
        <v>9</v>
      </c>
      <c r="F312" t="s">
        <v>796</v>
      </c>
      <c r="G312" t="s">
        <v>12649</v>
      </c>
    </row>
    <row r="313" spans="1:7" x14ac:dyDescent="0.25">
      <c r="A313" t="s">
        <v>4</v>
      </c>
      <c r="B313" t="s">
        <v>9</v>
      </c>
      <c r="F313" t="s">
        <v>798</v>
      </c>
      <c r="G313" t="s">
        <v>12649</v>
      </c>
    </row>
    <row r="314" spans="1:7" x14ac:dyDescent="0.25">
      <c r="A314" t="s">
        <v>4</v>
      </c>
      <c r="B314" t="s">
        <v>9</v>
      </c>
      <c r="F314" t="s">
        <v>800</v>
      </c>
      <c r="G314" t="s">
        <v>12649</v>
      </c>
    </row>
    <row r="315" spans="1:7" x14ac:dyDescent="0.25">
      <c r="A315" t="s">
        <v>4</v>
      </c>
      <c r="B315" t="s">
        <v>9</v>
      </c>
      <c r="F315" t="s">
        <v>802</v>
      </c>
      <c r="G315" t="s">
        <v>12649</v>
      </c>
    </row>
    <row r="316" spans="1:7" x14ac:dyDescent="0.25">
      <c r="A316" t="s">
        <v>4</v>
      </c>
      <c r="B316" t="s">
        <v>9</v>
      </c>
      <c r="F316" t="s">
        <v>804</v>
      </c>
      <c r="G316" t="s">
        <v>12649</v>
      </c>
    </row>
    <row r="317" spans="1:7" x14ac:dyDescent="0.25">
      <c r="A317" t="s">
        <v>4</v>
      </c>
      <c r="B317" t="s">
        <v>9</v>
      </c>
      <c r="F317" t="s">
        <v>806</v>
      </c>
      <c r="G317" t="s">
        <v>12649</v>
      </c>
    </row>
    <row r="318" spans="1:7" x14ac:dyDescent="0.25">
      <c r="A318" t="s">
        <v>4</v>
      </c>
      <c r="B318" t="s">
        <v>9</v>
      </c>
      <c r="F318" t="s">
        <v>808</v>
      </c>
      <c r="G318" t="s">
        <v>12649</v>
      </c>
    </row>
    <row r="319" spans="1:7" x14ac:dyDescent="0.25">
      <c r="A319" t="s">
        <v>4</v>
      </c>
      <c r="B319" t="s">
        <v>9</v>
      </c>
      <c r="F319" t="s">
        <v>810</v>
      </c>
      <c r="G319" t="s">
        <v>12649</v>
      </c>
    </row>
    <row r="320" spans="1:7" x14ac:dyDescent="0.25">
      <c r="A320" t="s">
        <v>4</v>
      </c>
      <c r="B320" t="s">
        <v>9</v>
      </c>
      <c r="F320" t="s">
        <v>812</v>
      </c>
      <c r="G320" t="s">
        <v>12649</v>
      </c>
    </row>
    <row r="321" spans="1:7" x14ac:dyDescent="0.25">
      <c r="A321" t="s">
        <v>4</v>
      </c>
      <c r="B321" t="s">
        <v>9</v>
      </c>
      <c r="F321" t="s">
        <v>814</v>
      </c>
      <c r="G321" t="s">
        <v>12649</v>
      </c>
    </row>
    <row r="322" spans="1:7" x14ac:dyDescent="0.25">
      <c r="A322" t="s">
        <v>4</v>
      </c>
      <c r="B322" t="s">
        <v>9</v>
      </c>
      <c r="F322" t="s">
        <v>816</v>
      </c>
      <c r="G322" t="s">
        <v>12649</v>
      </c>
    </row>
    <row r="323" spans="1:7" x14ac:dyDescent="0.25">
      <c r="A323" t="s">
        <v>4</v>
      </c>
      <c r="B323" t="s">
        <v>9</v>
      </c>
      <c r="F323" t="s">
        <v>818</v>
      </c>
      <c r="G323" t="s">
        <v>12649</v>
      </c>
    </row>
    <row r="324" spans="1:7" x14ac:dyDescent="0.25">
      <c r="A324" t="s">
        <v>4</v>
      </c>
      <c r="B324" t="s">
        <v>9</v>
      </c>
      <c r="F324" t="s">
        <v>820</v>
      </c>
      <c r="G324" t="s">
        <v>12649</v>
      </c>
    </row>
    <row r="325" spans="1:7" x14ac:dyDescent="0.25">
      <c r="A325" t="s">
        <v>4</v>
      </c>
      <c r="B325" t="s">
        <v>9</v>
      </c>
      <c r="F325" t="s">
        <v>822</v>
      </c>
      <c r="G325" t="s">
        <v>12649</v>
      </c>
    </row>
    <row r="326" spans="1:7" x14ac:dyDescent="0.25">
      <c r="A326" t="s">
        <v>4</v>
      </c>
      <c r="B326" t="s">
        <v>9</v>
      </c>
      <c r="F326" t="s">
        <v>824</v>
      </c>
      <c r="G326" t="s">
        <v>12649</v>
      </c>
    </row>
    <row r="327" spans="1:7" x14ac:dyDescent="0.25">
      <c r="A327" t="s">
        <v>4</v>
      </c>
      <c r="B327" t="s">
        <v>9</v>
      </c>
      <c r="F327" t="s">
        <v>826</v>
      </c>
      <c r="G327" t="s">
        <v>12649</v>
      </c>
    </row>
    <row r="328" spans="1:7" x14ac:dyDescent="0.25">
      <c r="A328" t="s">
        <v>4</v>
      </c>
      <c r="B328" t="s">
        <v>9</v>
      </c>
      <c r="F328" t="s">
        <v>828</v>
      </c>
      <c r="G328" t="s">
        <v>12649</v>
      </c>
    </row>
    <row r="329" spans="1:7" x14ac:dyDescent="0.25">
      <c r="A329" t="s">
        <v>1627</v>
      </c>
      <c r="B329" t="s">
        <v>1058</v>
      </c>
      <c r="F329" t="s">
        <v>830</v>
      </c>
      <c r="G329" t="s">
        <v>12649</v>
      </c>
    </row>
    <row r="330" spans="1:7" x14ac:dyDescent="0.25">
      <c r="A330" t="s">
        <v>4</v>
      </c>
      <c r="B330" t="s">
        <v>9</v>
      </c>
      <c r="F330" t="s">
        <v>832</v>
      </c>
      <c r="G330" t="s">
        <v>12649</v>
      </c>
    </row>
    <row r="331" spans="1:7" x14ac:dyDescent="0.25">
      <c r="A331" t="s">
        <v>4</v>
      </c>
      <c r="B331" t="s">
        <v>9</v>
      </c>
      <c r="F331" t="s">
        <v>834</v>
      </c>
      <c r="G331" t="s">
        <v>12649</v>
      </c>
    </row>
    <row r="332" spans="1:7" x14ac:dyDescent="0.25">
      <c r="A332" t="s">
        <v>4</v>
      </c>
      <c r="B332" t="s">
        <v>9</v>
      </c>
      <c r="F332" t="s">
        <v>836</v>
      </c>
      <c r="G332" t="s">
        <v>12649</v>
      </c>
    </row>
    <row r="333" spans="1:7" x14ac:dyDescent="0.25">
      <c r="A333" t="s">
        <v>884</v>
      </c>
      <c r="B333" t="s">
        <v>888</v>
      </c>
      <c r="F333" t="s">
        <v>838</v>
      </c>
      <c r="G333" t="s">
        <v>12649</v>
      </c>
    </row>
    <row r="334" spans="1:7" x14ac:dyDescent="0.25">
      <c r="A334" t="s">
        <v>884</v>
      </c>
      <c r="B334" t="s">
        <v>888</v>
      </c>
      <c r="F334" t="s">
        <v>840</v>
      </c>
      <c r="G334" t="s">
        <v>12649</v>
      </c>
    </row>
    <row r="335" spans="1:7" x14ac:dyDescent="0.25">
      <c r="A335" t="s">
        <v>4</v>
      </c>
      <c r="B335" t="s">
        <v>9</v>
      </c>
      <c r="F335" t="s">
        <v>842</v>
      </c>
      <c r="G335" t="s">
        <v>12649</v>
      </c>
    </row>
    <row r="336" spans="1:7" x14ac:dyDescent="0.25">
      <c r="A336" t="s">
        <v>4</v>
      </c>
      <c r="B336" t="s">
        <v>9</v>
      </c>
      <c r="F336" t="s">
        <v>844</v>
      </c>
      <c r="G336" t="s">
        <v>12649</v>
      </c>
    </row>
    <row r="337" spans="1:7" x14ac:dyDescent="0.25">
      <c r="A337" t="s">
        <v>4</v>
      </c>
      <c r="B337" t="s">
        <v>9</v>
      </c>
      <c r="F337" t="s">
        <v>846</v>
      </c>
      <c r="G337" t="s">
        <v>12649</v>
      </c>
    </row>
    <row r="338" spans="1:7" x14ac:dyDescent="0.25">
      <c r="A338" t="s">
        <v>4</v>
      </c>
      <c r="B338" t="s">
        <v>9</v>
      </c>
      <c r="F338" t="s">
        <v>848</v>
      </c>
      <c r="G338" t="s">
        <v>12649</v>
      </c>
    </row>
    <row r="339" spans="1:7" x14ac:dyDescent="0.25">
      <c r="A339" t="s">
        <v>4</v>
      </c>
      <c r="B339" t="s">
        <v>9</v>
      </c>
      <c r="F339" t="s">
        <v>850</v>
      </c>
      <c r="G339" t="s">
        <v>12649</v>
      </c>
    </row>
    <row r="340" spans="1:7" x14ac:dyDescent="0.25">
      <c r="A340" t="s">
        <v>4</v>
      </c>
      <c r="B340" t="s">
        <v>9</v>
      </c>
      <c r="F340" t="s">
        <v>852</v>
      </c>
      <c r="G340" t="s">
        <v>12649</v>
      </c>
    </row>
    <row r="341" spans="1:7" x14ac:dyDescent="0.25">
      <c r="A341" t="s">
        <v>4</v>
      </c>
      <c r="B341" t="s">
        <v>9</v>
      </c>
      <c r="F341" t="s">
        <v>854</v>
      </c>
      <c r="G341" t="s">
        <v>12649</v>
      </c>
    </row>
    <row r="342" spans="1:7" x14ac:dyDescent="0.25">
      <c r="A342" t="s">
        <v>1627</v>
      </c>
      <c r="B342" t="s">
        <v>1058</v>
      </c>
      <c r="F342" t="s">
        <v>856</v>
      </c>
      <c r="G342" t="s">
        <v>12649</v>
      </c>
    </row>
    <row r="343" spans="1:7" x14ac:dyDescent="0.25">
      <c r="A343" t="s">
        <v>4</v>
      </c>
      <c r="B343" t="s">
        <v>9</v>
      </c>
      <c r="F343" t="s">
        <v>858</v>
      </c>
      <c r="G343" t="s">
        <v>12649</v>
      </c>
    </row>
    <row r="344" spans="1:7" x14ac:dyDescent="0.25">
      <c r="A344" t="s">
        <v>686</v>
      </c>
      <c r="B344" t="s">
        <v>1058</v>
      </c>
      <c r="F344" t="s">
        <v>860</v>
      </c>
      <c r="G344" t="s">
        <v>12649</v>
      </c>
    </row>
    <row r="345" spans="1:7" x14ac:dyDescent="0.25">
      <c r="A345" t="s">
        <v>4</v>
      </c>
      <c r="B345" t="s">
        <v>9</v>
      </c>
      <c r="F345" t="s">
        <v>862</v>
      </c>
      <c r="G345" t="s">
        <v>12649</v>
      </c>
    </row>
    <row r="346" spans="1:7" x14ac:dyDescent="0.25">
      <c r="A346" t="s">
        <v>4</v>
      </c>
      <c r="B346" t="s">
        <v>9</v>
      </c>
      <c r="F346" t="s">
        <v>864</v>
      </c>
      <c r="G346" t="s">
        <v>12649</v>
      </c>
    </row>
    <row r="347" spans="1:7" x14ac:dyDescent="0.25">
      <c r="A347" t="s">
        <v>4</v>
      </c>
      <c r="B347" t="s">
        <v>9</v>
      </c>
      <c r="F347" t="s">
        <v>866</v>
      </c>
      <c r="G347" t="s">
        <v>12649</v>
      </c>
    </row>
    <row r="348" spans="1:7" x14ac:dyDescent="0.25">
      <c r="A348" t="s">
        <v>4</v>
      </c>
      <c r="B348" t="s">
        <v>9</v>
      </c>
      <c r="F348" t="s">
        <v>868</v>
      </c>
      <c r="G348" t="s">
        <v>12649</v>
      </c>
    </row>
    <row r="349" spans="1:7" x14ac:dyDescent="0.25">
      <c r="A349" t="s">
        <v>4</v>
      </c>
      <c r="B349" t="s">
        <v>9</v>
      </c>
      <c r="F349" t="s">
        <v>870</v>
      </c>
      <c r="G349" t="s">
        <v>12649</v>
      </c>
    </row>
    <row r="350" spans="1:7" x14ac:dyDescent="0.25">
      <c r="A350" t="s">
        <v>4</v>
      </c>
      <c r="B350" t="s">
        <v>9</v>
      </c>
      <c r="F350" t="s">
        <v>872</v>
      </c>
      <c r="G350" t="s">
        <v>12649</v>
      </c>
    </row>
    <row r="351" spans="1:7" x14ac:dyDescent="0.25">
      <c r="A351" t="s">
        <v>4</v>
      </c>
      <c r="B351" t="s">
        <v>9</v>
      </c>
      <c r="F351" t="s">
        <v>874</v>
      </c>
      <c r="G351" t="s">
        <v>12649</v>
      </c>
    </row>
    <row r="352" spans="1:7" x14ac:dyDescent="0.25">
      <c r="A352" t="s">
        <v>4</v>
      </c>
      <c r="B352" t="s">
        <v>9</v>
      </c>
      <c r="F352" t="s">
        <v>876</v>
      </c>
      <c r="G352" t="s">
        <v>12649</v>
      </c>
    </row>
    <row r="353" spans="1:7" x14ac:dyDescent="0.25">
      <c r="A353" t="s">
        <v>4</v>
      </c>
      <c r="B353" t="s">
        <v>9</v>
      </c>
      <c r="F353" t="s">
        <v>878</v>
      </c>
      <c r="G353" t="s">
        <v>12649</v>
      </c>
    </row>
    <row r="354" spans="1:7" x14ac:dyDescent="0.25">
      <c r="A354" t="s">
        <v>4</v>
      </c>
      <c r="B354" t="s">
        <v>9</v>
      </c>
      <c r="F354" t="s">
        <v>880</v>
      </c>
      <c r="G354" t="s">
        <v>12649</v>
      </c>
    </row>
    <row r="355" spans="1:7" x14ac:dyDescent="0.25">
      <c r="A355" t="s">
        <v>4</v>
      </c>
      <c r="B355" t="s">
        <v>9</v>
      </c>
      <c r="F355" t="s">
        <v>882</v>
      </c>
      <c r="G355" t="s">
        <v>12649</v>
      </c>
    </row>
    <row r="356" spans="1:7" x14ac:dyDescent="0.25">
      <c r="A356" t="s">
        <v>1627</v>
      </c>
      <c r="B356" t="s">
        <v>1058</v>
      </c>
      <c r="F356" t="s">
        <v>960</v>
      </c>
      <c r="G356" t="s">
        <v>12649</v>
      </c>
    </row>
    <row r="357" spans="1:7" x14ac:dyDescent="0.25">
      <c r="A357" t="s">
        <v>4</v>
      </c>
      <c r="B357" t="s">
        <v>9</v>
      </c>
      <c r="F357" t="s">
        <v>962</v>
      </c>
      <c r="G357" t="s">
        <v>12649</v>
      </c>
    </row>
    <row r="358" spans="1:7" x14ac:dyDescent="0.25">
      <c r="A358" t="s">
        <v>4</v>
      </c>
      <c r="B358" t="s">
        <v>9</v>
      </c>
      <c r="F358" t="s">
        <v>964</v>
      </c>
      <c r="G358" t="s">
        <v>12649</v>
      </c>
    </row>
    <row r="359" spans="1:7" x14ac:dyDescent="0.25">
      <c r="A359" t="s">
        <v>4</v>
      </c>
      <c r="B359" t="s">
        <v>9</v>
      </c>
      <c r="F359" t="s">
        <v>966</v>
      </c>
      <c r="G359" t="s">
        <v>12649</v>
      </c>
    </row>
    <row r="360" spans="1:7" x14ac:dyDescent="0.25">
      <c r="A360" t="s">
        <v>4</v>
      </c>
      <c r="B360" t="s">
        <v>9</v>
      </c>
      <c r="F360" t="s">
        <v>968</v>
      </c>
      <c r="G360" t="s">
        <v>12649</v>
      </c>
    </row>
    <row r="361" spans="1:7" x14ac:dyDescent="0.25">
      <c r="A361" t="s">
        <v>4</v>
      </c>
      <c r="B361" t="s">
        <v>9</v>
      </c>
      <c r="F361" t="s">
        <v>970</v>
      </c>
      <c r="G361" t="s">
        <v>12649</v>
      </c>
    </row>
    <row r="362" spans="1:7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12649</v>
      </c>
    </row>
    <row r="363" spans="1:7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12650</v>
      </c>
    </row>
    <row r="364" spans="1:7" x14ac:dyDescent="0.25">
      <c r="A364" t="s">
        <v>4</v>
      </c>
      <c r="B364" t="s">
        <v>8</v>
      </c>
      <c r="F364" t="s">
        <v>1064</v>
      </c>
      <c r="G364" t="s">
        <v>12650</v>
      </c>
    </row>
    <row r="365" spans="1:7" x14ac:dyDescent="0.25">
      <c r="A365" t="s">
        <v>4</v>
      </c>
      <c r="B365" t="s">
        <v>8</v>
      </c>
      <c r="F365" t="s">
        <v>1066</v>
      </c>
      <c r="G365" t="s">
        <v>12650</v>
      </c>
    </row>
    <row r="366" spans="1:7" x14ac:dyDescent="0.25">
      <c r="A366" t="s">
        <v>1271</v>
      </c>
      <c r="B366" t="s">
        <v>890</v>
      </c>
      <c r="F366" t="s">
        <v>1068</v>
      </c>
      <c r="G366" t="s">
        <v>12650</v>
      </c>
    </row>
    <row r="367" spans="1:7" x14ac:dyDescent="0.25">
      <c r="A367" t="s">
        <v>1271</v>
      </c>
      <c r="B367" t="s">
        <v>890</v>
      </c>
      <c r="F367" t="s">
        <v>1070</v>
      </c>
      <c r="G367" t="s">
        <v>12650</v>
      </c>
    </row>
    <row r="368" spans="1:7" x14ac:dyDescent="0.25">
      <c r="A368" t="s">
        <v>1271</v>
      </c>
      <c r="B368" t="s">
        <v>890</v>
      </c>
      <c r="F368" t="s">
        <v>1072</v>
      </c>
      <c r="G368" t="s">
        <v>12650</v>
      </c>
    </row>
    <row r="369" spans="1:7" x14ac:dyDescent="0.25">
      <c r="A369" t="s">
        <v>1271</v>
      </c>
      <c r="B369" t="s">
        <v>890</v>
      </c>
      <c r="F369" t="s">
        <v>1074</v>
      </c>
      <c r="G369" t="s">
        <v>12650</v>
      </c>
    </row>
    <row r="370" spans="1:7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12650</v>
      </c>
    </row>
    <row r="371" spans="1:7" x14ac:dyDescent="0.25">
      <c r="A371" t="s">
        <v>887</v>
      </c>
      <c r="B371" t="s">
        <v>888</v>
      </c>
      <c r="F371" t="s">
        <v>1078</v>
      </c>
      <c r="G371" t="s">
        <v>12650</v>
      </c>
    </row>
    <row r="372" spans="1:7" x14ac:dyDescent="0.25">
      <c r="A372" t="s">
        <v>887</v>
      </c>
      <c r="B372" t="s">
        <v>888</v>
      </c>
      <c r="F372" t="s">
        <v>1080</v>
      </c>
      <c r="G372" t="s">
        <v>12650</v>
      </c>
    </row>
    <row r="373" spans="1:7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12650</v>
      </c>
    </row>
    <row r="374" spans="1:7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12650</v>
      </c>
    </row>
    <row r="375" spans="1:7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12650</v>
      </c>
    </row>
    <row r="376" spans="1:7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12650</v>
      </c>
    </row>
    <row r="377" spans="1:7" x14ac:dyDescent="0.25">
      <c r="A377" t="s">
        <v>4</v>
      </c>
      <c r="B377" t="s">
        <v>8</v>
      </c>
      <c r="F377" t="s">
        <v>1090</v>
      </c>
      <c r="G377" t="s">
        <v>12650</v>
      </c>
    </row>
    <row r="378" spans="1:7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12650</v>
      </c>
    </row>
    <row r="379" spans="1:7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12650</v>
      </c>
    </row>
    <row r="380" spans="1:7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12650</v>
      </c>
    </row>
    <row r="381" spans="1:7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12650</v>
      </c>
    </row>
    <row r="382" spans="1:7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12650</v>
      </c>
    </row>
    <row r="383" spans="1:7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12650</v>
      </c>
    </row>
    <row r="384" spans="1:7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12650</v>
      </c>
    </row>
    <row r="385" spans="1:7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12650</v>
      </c>
    </row>
    <row r="386" spans="1:7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12650</v>
      </c>
    </row>
    <row r="387" spans="1:7" x14ac:dyDescent="0.25">
      <c r="A387" t="s">
        <v>4</v>
      </c>
      <c r="B387" t="s">
        <v>8</v>
      </c>
      <c r="F387" t="s">
        <v>1110</v>
      </c>
      <c r="G387" t="s">
        <v>12650</v>
      </c>
    </row>
    <row r="388" spans="1:7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12650</v>
      </c>
    </row>
    <row r="389" spans="1:7" x14ac:dyDescent="0.25">
      <c r="A389" t="s">
        <v>4</v>
      </c>
      <c r="B389" t="s">
        <v>8</v>
      </c>
      <c r="F389" t="s">
        <v>1114</v>
      </c>
      <c r="G389" t="s">
        <v>12650</v>
      </c>
    </row>
    <row r="390" spans="1:7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12650</v>
      </c>
    </row>
    <row r="391" spans="1:7" x14ac:dyDescent="0.25">
      <c r="A391" t="s">
        <v>4</v>
      </c>
      <c r="B391" t="s">
        <v>8</v>
      </c>
      <c r="F391" t="s">
        <v>1118</v>
      </c>
      <c r="G391" t="s">
        <v>12650</v>
      </c>
    </row>
    <row r="392" spans="1:7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12650</v>
      </c>
    </row>
    <row r="393" spans="1:7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12650</v>
      </c>
    </row>
    <row r="394" spans="1:7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12650</v>
      </c>
    </row>
    <row r="395" spans="1:7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12650</v>
      </c>
    </row>
    <row r="396" spans="1:7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12650</v>
      </c>
    </row>
    <row r="397" spans="1:7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12650</v>
      </c>
    </row>
    <row r="398" spans="1:7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12650</v>
      </c>
    </row>
    <row r="399" spans="1:7" x14ac:dyDescent="0.25">
      <c r="A399" t="s">
        <v>4</v>
      </c>
      <c r="B399" t="s">
        <v>8</v>
      </c>
      <c r="F399" t="s">
        <v>1135</v>
      </c>
      <c r="G399" t="s">
        <v>12650</v>
      </c>
    </row>
    <row r="400" spans="1:7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12650</v>
      </c>
    </row>
    <row r="401" spans="1:7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12650</v>
      </c>
    </row>
    <row r="402" spans="1:7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12650</v>
      </c>
    </row>
    <row r="403" spans="1:7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12650</v>
      </c>
    </row>
    <row r="404" spans="1:7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12650</v>
      </c>
    </row>
    <row r="405" spans="1:7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12650</v>
      </c>
    </row>
    <row r="406" spans="1:7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12650</v>
      </c>
    </row>
    <row r="407" spans="1:7" x14ac:dyDescent="0.25">
      <c r="A407" t="s">
        <v>4</v>
      </c>
      <c r="B407" t="s">
        <v>8</v>
      </c>
      <c r="F407" t="s">
        <v>1150</v>
      </c>
      <c r="G407" t="s">
        <v>12650</v>
      </c>
    </row>
    <row r="408" spans="1:7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12650</v>
      </c>
    </row>
    <row r="409" spans="1:7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12650</v>
      </c>
    </row>
    <row r="410" spans="1:7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12650</v>
      </c>
    </row>
    <row r="411" spans="1:7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12650</v>
      </c>
    </row>
    <row r="412" spans="1:7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12650</v>
      </c>
    </row>
    <row r="413" spans="1:7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12650</v>
      </c>
    </row>
    <row r="414" spans="1:7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12650</v>
      </c>
    </row>
    <row r="415" spans="1:7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12650</v>
      </c>
    </row>
    <row r="416" spans="1:7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12650</v>
      </c>
    </row>
    <row r="417" spans="1:7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12650</v>
      </c>
    </row>
    <row r="418" spans="1:7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12650</v>
      </c>
    </row>
    <row r="419" spans="1:7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12650</v>
      </c>
    </row>
    <row r="420" spans="1:7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12650</v>
      </c>
    </row>
    <row r="421" spans="1:7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12650</v>
      </c>
    </row>
    <row r="422" spans="1:7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12650</v>
      </c>
    </row>
    <row r="423" spans="1:7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12650</v>
      </c>
    </row>
    <row r="424" spans="1:7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12650</v>
      </c>
    </row>
    <row r="425" spans="1:7" x14ac:dyDescent="0.25">
      <c r="A425" t="s">
        <v>4</v>
      </c>
      <c r="B425" t="s">
        <v>8</v>
      </c>
      <c r="F425" t="s">
        <v>1195</v>
      </c>
      <c r="G425" t="s">
        <v>12650</v>
      </c>
    </row>
    <row r="426" spans="1:7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12650</v>
      </c>
    </row>
    <row r="427" spans="1:7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12650</v>
      </c>
    </row>
    <row r="428" spans="1:7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12650</v>
      </c>
    </row>
    <row r="429" spans="1:7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12650</v>
      </c>
    </row>
    <row r="430" spans="1:7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12650</v>
      </c>
    </row>
    <row r="431" spans="1:7" x14ac:dyDescent="0.25">
      <c r="A431" t="s">
        <v>4</v>
      </c>
      <c r="B431" t="s">
        <v>8</v>
      </c>
      <c r="F431" t="s">
        <v>1207</v>
      </c>
      <c r="G431" t="s">
        <v>12650</v>
      </c>
    </row>
    <row r="432" spans="1:7" x14ac:dyDescent="0.25">
      <c r="A432" t="s">
        <v>1290</v>
      </c>
      <c r="F432" t="s">
        <v>1209</v>
      </c>
      <c r="G432" t="s">
        <v>12650</v>
      </c>
    </row>
    <row r="433" spans="1:7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12650</v>
      </c>
    </row>
    <row r="434" spans="1:7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12650</v>
      </c>
    </row>
    <row r="435" spans="1:7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12650</v>
      </c>
    </row>
    <row r="436" spans="1:7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12650</v>
      </c>
    </row>
    <row r="437" spans="1:7" x14ac:dyDescent="0.25">
      <c r="A437" t="s">
        <v>4</v>
      </c>
      <c r="B437" t="s">
        <v>8</v>
      </c>
      <c r="F437" t="s">
        <v>1221</v>
      </c>
      <c r="G437" t="s">
        <v>12650</v>
      </c>
    </row>
    <row r="438" spans="1:7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12650</v>
      </c>
    </row>
    <row r="439" spans="1:7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12650</v>
      </c>
    </row>
    <row r="440" spans="1:7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12650</v>
      </c>
    </row>
    <row r="441" spans="1:7" x14ac:dyDescent="0.25">
      <c r="A441" t="s">
        <v>1290</v>
      </c>
      <c r="F441" t="s">
        <v>1229</v>
      </c>
      <c r="G441" t="s">
        <v>12650</v>
      </c>
    </row>
    <row r="442" spans="1:7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12650</v>
      </c>
    </row>
    <row r="443" spans="1:7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12650</v>
      </c>
    </row>
    <row r="444" spans="1:7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12650</v>
      </c>
    </row>
    <row r="445" spans="1:7" x14ac:dyDescent="0.25">
      <c r="A445" t="s">
        <v>4</v>
      </c>
      <c r="B445" t="s">
        <v>8</v>
      </c>
      <c r="F445" t="s">
        <v>1237</v>
      </c>
      <c r="G445" t="s">
        <v>12650</v>
      </c>
    </row>
    <row r="446" spans="1:7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12650</v>
      </c>
    </row>
    <row r="447" spans="1:7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12650</v>
      </c>
    </row>
    <row r="448" spans="1:7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12650</v>
      </c>
    </row>
    <row r="449" spans="1:7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12650</v>
      </c>
    </row>
    <row r="450" spans="1:7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12650</v>
      </c>
    </row>
    <row r="451" spans="1:7" x14ac:dyDescent="0.25">
      <c r="A451" t="s">
        <v>1290</v>
      </c>
      <c r="F451" t="s">
        <v>1249</v>
      </c>
      <c r="G451" t="s">
        <v>12650</v>
      </c>
    </row>
    <row r="452" spans="1:7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12650</v>
      </c>
    </row>
    <row r="453" spans="1:7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12650</v>
      </c>
    </row>
    <row r="454" spans="1:7" x14ac:dyDescent="0.25">
      <c r="A454" t="s">
        <v>1290</v>
      </c>
      <c r="F454" t="s">
        <v>1255</v>
      </c>
      <c r="G454" t="s">
        <v>12650</v>
      </c>
    </row>
    <row r="455" spans="1:7" x14ac:dyDescent="0.25">
      <c r="A455" t="s">
        <v>4</v>
      </c>
      <c r="B455" t="s">
        <v>8</v>
      </c>
      <c r="F455" t="s">
        <v>1257</v>
      </c>
      <c r="G455" t="s">
        <v>12650</v>
      </c>
    </row>
    <row r="456" spans="1:7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12650</v>
      </c>
    </row>
    <row r="457" spans="1:7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12650</v>
      </c>
    </row>
    <row r="458" spans="1:7" x14ac:dyDescent="0.25">
      <c r="A458" t="s">
        <v>1290</v>
      </c>
      <c r="F458" t="s">
        <v>1263</v>
      </c>
      <c r="G458" t="s">
        <v>12650</v>
      </c>
    </row>
    <row r="459" spans="1:7" x14ac:dyDescent="0.25">
      <c r="A459" t="s">
        <v>4</v>
      </c>
      <c r="B459" t="s">
        <v>8</v>
      </c>
      <c r="F459" t="s">
        <v>1265</v>
      </c>
      <c r="G459" t="s">
        <v>12650</v>
      </c>
    </row>
    <row r="460" spans="1:7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12650</v>
      </c>
    </row>
    <row r="461" spans="1:7" x14ac:dyDescent="0.25">
      <c r="A461" t="s">
        <v>1290</v>
      </c>
      <c r="F461" t="s">
        <v>1269</v>
      </c>
      <c r="G461" t="s">
        <v>12650</v>
      </c>
    </row>
    <row r="462" spans="1:7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12651</v>
      </c>
    </row>
    <row r="463" spans="1:7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12651</v>
      </c>
    </row>
    <row r="464" spans="1:7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12651</v>
      </c>
    </row>
    <row r="465" spans="1:7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12651</v>
      </c>
    </row>
    <row r="466" spans="1:7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12651</v>
      </c>
    </row>
    <row r="467" spans="1:7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12651</v>
      </c>
    </row>
    <row r="468" spans="1:7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12651</v>
      </c>
    </row>
    <row r="469" spans="1:7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12651</v>
      </c>
    </row>
    <row r="470" spans="1:7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12651</v>
      </c>
    </row>
    <row r="471" spans="1:7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12651</v>
      </c>
    </row>
    <row r="472" spans="1:7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12651</v>
      </c>
    </row>
    <row r="473" spans="1:7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12651</v>
      </c>
    </row>
    <row r="474" spans="1:7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12651</v>
      </c>
    </row>
    <row r="475" spans="1:7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12651</v>
      </c>
    </row>
    <row r="476" spans="1:7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12651</v>
      </c>
    </row>
    <row r="477" spans="1:7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12651</v>
      </c>
    </row>
    <row r="478" spans="1:7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12651</v>
      </c>
    </row>
    <row r="479" spans="1:7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12651</v>
      </c>
    </row>
    <row r="480" spans="1:7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12651</v>
      </c>
    </row>
    <row r="481" spans="1:7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12651</v>
      </c>
    </row>
    <row r="482" spans="1:7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12651</v>
      </c>
    </row>
    <row r="483" spans="1:7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12651</v>
      </c>
    </row>
    <row r="484" spans="1:7" x14ac:dyDescent="0.25">
      <c r="A484" t="s">
        <v>1424</v>
      </c>
      <c r="B484" t="s">
        <v>55</v>
      </c>
      <c r="F484" t="s">
        <v>1339</v>
      </c>
      <c r="G484" t="s">
        <v>12651</v>
      </c>
    </row>
    <row r="485" spans="1:7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12651</v>
      </c>
    </row>
    <row r="486" spans="1:7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12651</v>
      </c>
    </row>
    <row r="487" spans="1:7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12651</v>
      </c>
    </row>
    <row r="488" spans="1:7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12651</v>
      </c>
    </row>
    <row r="489" spans="1:7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12651</v>
      </c>
    </row>
    <row r="490" spans="1:7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12651</v>
      </c>
    </row>
    <row r="491" spans="1:7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12651</v>
      </c>
    </row>
    <row r="492" spans="1:7" x14ac:dyDescent="0.25">
      <c r="A492" t="s">
        <v>4</v>
      </c>
      <c r="B492" t="s">
        <v>8</v>
      </c>
      <c r="F492" t="s">
        <v>1355</v>
      </c>
      <c r="G492" t="s">
        <v>12651</v>
      </c>
    </row>
    <row r="493" spans="1:7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12651</v>
      </c>
    </row>
    <row r="494" spans="1:7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12651</v>
      </c>
    </row>
    <row r="495" spans="1:7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12651</v>
      </c>
    </row>
    <row r="496" spans="1:7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12651</v>
      </c>
    </row>
    <row r="497" spans="1:7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12651</v>
      </c>
    </row>
    <row r="498" spans="1:7" x14ac:dyDescent="0.25">
      <c r="A498" t="s">
        <v>4</v>
      </c>
      <c r="B498" t="s">
        <v>8</v>
      </c>
      <c r="F498" t="s">
        <v>1367</v>
      </c>
      <c r="G498" t="s">
        <v>12651</v>
      </c>
    </row>
    <row r="499" spans="1:7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12651</v>
      </c>
    </row>
    <row r="500" spans="1:7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12651</v>
      </c>
    </row>
    <row r="501" spans="1:7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12651</v>
      </c>
    </row>
    <row r="502" spans="1:7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12651</v>
      </c>
    </row>
    <row r="503" spans="1:7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12651</v>
      </c>
    </row>
    <row r="504" spans="1:7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12651</v>
      </c>
    </row>
    <row r="505" spans="1:7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12651</v>
      </c>
    </row>
    <row r="506" spans="1:7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12651</v>
      </c>
    </row>
    <row r="507" spans="1:7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12651</v>
      </c>
    </row>
    <row r="508" spans="1:7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12651</v>
      </c>
    </row>
    <row r="509" spans="1:7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12651</v>
      </c>
    </row>
    <row r="510" spans="1:7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12651</v>
      </c>
    </row>
    <row r="511" spans="1:7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12651</v>
      </c>
    </row>
    <row r="512" spans="1:7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12651</v>
      </c>
    </row>
    <row r="513" spans="1:7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12651</v>
      </c>
    </row>
    <row r="514" spans="1:7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12651</v>
      </c>
    </row>
    <row r="515" spans="1:7" x14ac:dyDescent="0.25">
      <c r="A515" t="s">
        <v>4</v>
      </c>
      <c r="B515" t="s">
        <v>8</v>
      </c>
      <c r="F515" t="s">
        <v>1401</v>
      </c>
      <c r="G515" t="s">
        <v>12651</v>
      </c>
    </row>
    <row r="516" spans="1:7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12651</v>
      </c>
    </row>
    <row r="517" spans="1:7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12651</v>
      </c>
    </row>
    <row r="518" spans="1:7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12651</v>
      </c>
    </row>
    <row r="519" spans="1:7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12651</v>
      </c>
    </row>
    <row r="520" spans="1:7" x14ac:dyDescent="0.25">
      <c r="A520" t="s">
        <v>4</v>
      </c>
      <c r="B520" t="s">
        <v>8</v>
      </c>
      <c r="F520" t="s">
        <v>1411</v>
      </c>
      <c r="G520" t="s">
        <v>12651</v>
      </c>
    </row>
    <row r="521" spans="1:7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12651</v>
      </c>
    </row>
    <row r="522" spans="1:7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12651</v>
      </c>
    </row>
    <row r="523" spans="1:7" x14ac:dyDescent="0.25">
      <c r="A523" t="s">
        <v>4</v>
      </c>
      <c r="B523" t="s">
        <v>8</v>
      </c>
      <c r="F523" t="s">
        <v>1417</v>
      </c>
      <c r="G523" t="s">
        <v>12651</v>
      </c>
    </row>
    <row r="524" spans="1:7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12651</v>
      </c>
    </row>
    <row r="525" spans="1:7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12647</v>
      </c>
    </row>
    <row r="590" spans="1:7" x14ac:dyDescent="0.25">
      <c r="A590" t="s">
        <v>4</v>
      </c>
      <c r="B590" t="s">
        <v>8</v>
      </c>
      <c r="F590" t="s">
        <v>954</v>
      </c>
      <c r="G590" t="s">
        <v>12647</v>
      </c>
    </row>
    <row r="591" spans="1:7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12647</v>
      </c>
    </row>
    <row r="592" spans="1:7" x14ac:dyDescent="0.25">
      <c r="A592" t="s">
        <v>4</v>
      </c>
      <c r="B592" t="s">
        <v>8</v>
      </c>
      <c r="F592" t="s">
        <v>958</v>
      </c>
      <c r="G592" t="s">
        <v>12647</v>
      </c>
    </row>
    <row r="593" spans="1:7" x14ac:dyDescent="0.25">
      <c r="A593" t="s">
        <v>4</v>
      </c>
      <c r="B593" t="s">
        <v>8</v>
      </c>
      <c r="F593" t="s">
        <v>974</v>
      </c>
      <c r="G593" t="s">
        <v>11076</v>
      </c>
    </row>
    <row r="594" spans="1:7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11076</v>
      </c>
    </row>
    <row r="595" spans="1:7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11076</v>
      </c>
    </row>
    <row r="596" spans="1:7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11076</v>
      </c>
    </row>
    <row r="597" spans="1:7" x14ac:dyDescent="0.25">
      <c r="A597" t="s">
        <v>4</v>
      </c>
      <c r="B597" t="s">
        <v>8</v>
      </c>
      <c r="F597" t="s">
        <v>982</v>
      </c>
      <c r="G597" t="s">
        <v>11076</v>
      </c>
    </row>
    <row r="598" spans="1:7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11076</v>
      </c>
    </row>
    <row r="599" spans="1:7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11076</v>
      </c>
    </row>
    <row r="600" spans="1:7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11076</v>
      </c>
    </row>
    <row r="601" spans="1:7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11076</v>
      </c>
    </row>
    <row r="602" spans="1:7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x14ac:dyDescent="0.25">
      <c r="A632" t="s">
        <v>4</v>
      </c>
      <c r="B632" t="s">
        <v>9</v>
      </c>
      <c r="F632" t="s">
        <v>920</v>
      </c>
      <c r="G632" t="s">
        <v>12648</v>
      </c>
    </row>
    <row r="633" spans="1:7" x14ac:dyDescent="0.25">
      <c r="A633" t="s">
        <v>4</v>
      </c>
      <c r="B633" t="s">
        <v>9</v>
      </c>
      <c r="F633" t="s">
        <v>922</v>
      </c>
      <c r="G633" t="s">
        <v>12648</v>
      </c>
    </row>
    <row r="634" spans="1:7" x14ac:dyDescent="0.25">
      <c r="A634" t="s">
        <v>4</v>
      </c>
      <c r="B634" t="s">
        <v>9</v>
      </c>
      <c r="F634" t="s">
        <v>924</v>
      </c>
      <c r="G634" t="s">
        <v>12648</v>
      </c>
    </row>
    <row r="635" spans="1:7" x14ac:dyDescent="0.25">
      <c r="A635" t="s">
        <v>1627</v>
      </c>
      <c r="B635" t="s">
        <v>687</v>
      </c>
      <c r="F635" t="s">
        <v>926</v>
      </c>
      <c r="G635" t="s">
        <v>12648</v>
      </c>
    </row>
    <row r="636" spans="1:7" x14ac:dyDescent="0.25">
      <c r="A636" t="s">
        <v>4</v>
      </c>
      <c r="B636" t="s">
        <v>9</v>
      </c>
      <c r="F636" t="s">
        <v>928</v>
      </c>
      <c r="G636" t="s">
        <v>12648</v>
      </c>
    </row>
    <row r="637" spans="1:7" x14ac:dyDescent="0.25">
      <c r="A637" t="s">
        <v>1627</v>
      </c>
      <c r="B637" t="s">
        <v>687</v>
      </c>
      <c r="F637" t="s">
        <v>930</v>
      </c>
      <c r="G637" t="s">
        <v>12648</v>
      </c>
    </row>
    <row r="638" spans="1:7" x14ac:dyDescent="0.25">
      <c r="A638" t="s">
        <v>1627</v>
      </c>
      <c r="B638" t="s">
        <v>687</v>
      </c>
      <c r="F638" t="s">
        <v>932</v>
      </c>
      <c r="G638" t="s">
        <v>12648</v>
      </c>
    </row>
    <row r="639" spans="1:7" x14ac:dyDescent="0.25">
      <c r="A639" t="s">
        <v>1627</v>
      </c>
      <c r="B639" t="s">
        <v>687</v>
      </c>
      <c r="F639" t="s">
        <v>934</v>
      </c>
      <c r="G639" t="s">
        <v>12648</v>
      </c>
    </row>
    <row r="640" spans="1:7" x14ac:dyDescent="0.25">
      <c r="A640" t="s">
        <v>1627</v>
      </c>
      <c r="B640" t="s">
        <v>687</v>
      </c>
      <c r="F640" t="s">
        <v>936</v>
      </c>
      <c r="G640" t="s">
        <v>12648</v>
      </c>
    </row>
    <row r="641" spans="1:7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12648</v>
      </c>
    </row>
    <row r="642" spans="1:7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12648</v>
      </c>
    </row>
    <row r="643" spans="1:7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12648</v>
      </c>
    </row>
    <row r="644" spans="1:7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12648</v>
      </c>
    </row>
    <row r="645" spans="1:7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12648</v>
      </c>
    </row>
    <row r="646" spans="1:7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12648</v>
      </c>
    </row>
    <row r="647" spans="1:7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12648</v>
      </c>
    </row>
    <row r="648" spans="1:7" x14ac:dyDescent="0.25">
      <c r="A648" t="s">
        <v>1607</v>
      </c>
      <c r="F648" t="s">
        <v>1644</v>
      </c>
      <c r="G648" t="s">
        <v>91</v>
      </c>
    </row>
    <row r="649" spans="1:7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x14ac:dyDescent="0.25">
      <c r="A658" t="s">
        <v>1607</v>
      </c>
      <c r="F658" t="s">
        <v>1654</v>
      </c>
      <c r="G658" t="s">
        <v>91</v>
      </c>
    </row>
    <row r="659" spans="1:7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x14ac:dyDescent="0.25">
      <c r="A661" t="s">
        <v>1607</v>
      </c>
      <c r="F661" t="s">
        <v>1657</v>
      </c>
      <c r="G661" t="s">
        <v>91</v>
      </c>
    </row>
    <row r="662" spans="1:7" x14ac:dyDescent="0.25">
      <c r="A662" t="s">
        <v>1607</v>
      </c>
      <c r="F662" t="s">
        <v>1658</v>
      </c>
      <c r="G662" t="s">
        <v>91</v>
      </c>
    </row>
    <row r="663" spans="1:7" x14ac:dyDescent="0.25">
      <c r="A663" t="s">
        <v>1607</v>
      </c>
      <c r="F663" t="s">
        <v>1628</v>
      </c>
      <c r="G663" t="s">
        <v>12647</v>
      </c>
    </row>
    <row r="664" spans="1:7" x14ac:dyDescent="0.25">
      <c r="A664" t="s">
        <v>1607</v>
      </c>
      <c r="F664" t="s">
        <v>1630</v>
      </c>
      <c r="G664" t="s">
        <v>12647</v>
      </c>
    </row>
    <row r="665" spans="1:7" x14ac:dyDescent="0.25">
      <c r="A665" t="s">
        <v>1607</v>
      </c>
      <c r="F665" t="s">
        <v>1632</v>
      </c>
      <c r="G665" t="s">
        <v>12647</v>
      </c>
    </row>
    <row r="666" spans="1:7" x14ac:dyDescent="0.25">
      <c r="A666" t="s">
        <v>2342</v>
      </c>
      <c r="F666" t="s">
        <v>1634</v>
      </c>
      <c r="G666" t="s">
        <v>12647</v>
      </c>
    </row>
    <row r="667" spans="1:7" x14ac:dyDescent="0.25">
      <c r="A667" t="s">
        <v>4</v>
      </c>
      <c r="B667" t="s">
        <v>8</v>
      </c>
      <c r="F667" t="s">
        <v>1636</v>
      </c>
      <c r="G667" t="s">
        <v>12647</v>
      </c>
    </row>
    <row r="668" spans="1:7" x14ac:dyDescent="0.25">
      <c r="A668" t="s">
        <v>1607</v>
      </c>
      <c r="F668" t="s">
        <v>1638</v>
      </c>
      <c r="G668" t="s">
        <v>12647</v>
      </c>
    </row>
    <row r="669" spans="1:7" x14ac:dyDescent="0.25">
      <c r="A669" t="s">
        <v>1607</v>
      </c>
      <c r="F669" t="s">
        <v>1640</v>
      </c>
      <c r="G669" t="s">
        <v>12647</v>
      </c>
    </row>
    <row r="670" spans="1:7" x14ac:dyDescent="0.25">
      <c r="A670" t="s">
        <v>1607</v>
      </c>
      <c r="F670" t="s">
        <v>1642</v>
      </c>
      <c r="G670" t="s">
        <v>12647</v>
      </c>
    </row>
    <row r="671" spans="1:7" x14ac:dyDescent="0.25">
      <c r="A671" t="s">
        <v>1607</v>
      </c>
      <c r="F671" t="s">
        <v>1659</v>
      </c>
      <c r="G671" t="s">
        <v>11076</v>
      </c>
    </row>
    <row r="672" spans="1:7" x14ac:dyDescent="0.25">
      <c r="A672" t="s">
        <v>4</v>
      </c>
      <c r="B672" t="s">
        <v>8</v>
      </c>
      <c r="F672" t="s">
        <v>1661</v>
      </c>
      <c r="G672" t="s">
        <v>11076</v>
      </c>
    </row>
    <row r="673" spans="1:7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11076</v>
      </c>
    </row>
    <row r="674" spans="1:7" x14ac:dyDescent="0.25">
      <c r="A674" t="s">
        <v>4</v>
      </c>
      <c r="B674" t="s">
        <v>8</v>
      </c>
      <c r="F674" t="s">
        <v>1666</v>
      </c>
      <c r="G674" t="s">
        <v>11076</v>
      </c>
    </row>
    <row r="675" spans="1:7" x14ac:dyDescent="0.25">
      <c r="A675" t="s">
        <v>4</v>
      </c>
      <c r="B675" t="s">
        <v>8</v>
      </c>
      <c r="F675" t="s">
        <v>1668</v>
      </c>
      <c r="G675" t="s">
        <v>11076</v>
      </c>
    </row>
    <row r="676" spans="1:7" x14ac:dyDescent="0.25">
      <c r="A676" t="s">
        <v>4</v>
      </c>
      <c r="B676" t="s">
        <v>8</v>
      </c>
      <c r="F676" t="s">
        <v>1670</v>
      </c>
      <c r="G676" t="s">
        <v>11076</v>
      </c>
    </row>
    <row r="677" spans="1:7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11076</v>
      </c>
    </row>
    <row r="678" spans="1:7" x14ac:dyDescent="0.25">
      <c r="A678" t="s">
        <v>4</v>
      </c>
      <c r="B678" t="s">
        <v>8</v>
      </c>
      <c r="F678" t="s">
        <v>1675</v>
      </c>
      <c r="G678" t="s">
        <v>11076</v>
      </c>
    </row>
    <row r="679" spans="1:7" x14ac:dyDescent="0.25">
      <c r="A679" t="s">
        <v>1607</v>
      </c>
      <c r="F679" t="s">
        <v>1677</v>
      </c>
      <c r="G679" t="s">
        <v>11076</v>
      </c>
    </row>
    <row r="680" spans="1:7" x14ac:dyDescent="0.25">
      <c r="A680" t="s">
        <v>1607</v>
      </c>
      <c r="F680" t="s">
        <v>1679</v>
      </c>
      <c r="G680" t="s">
        <v>11076</v>
      </c>
    </row>
    <row r="681" spans="1:7" x14ac:dyDescent="0.25">
      <c r="A681" t="s">
        <v>1607</v>
      </c>
      <c r="F681" t="s">
        <v>1720</v>
      </c>
      <c r="G681" t="s">
        <v>894</v>
      </c>
    </row>
    <row r="682" spans="1:7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x14ac:dyDescent="0.25">
      <c r="A684" t="s">
        <v>1607</v>
      </c>
      <c r="F684" t="s">
        <v>1729</v>
      </c>
      <c r="G684" t="s">
        <v>894</v>
      </c>
    </row>
    <row r="685" spans="1:7" x14ac:dyDescent="0.25">
      <c r="A685" t="s">
        <v>1607</v>
      </c>
      <c r="F685" t="s">
        <v>1732</v>
      </c>
      <c r="G685" t="s">
        <v>894</v>
      </c>
    </row>
    <row r="686" spans="1:7" x14ac:dyDescent="0.25">
      <c r="A686" t="s">
        <v>1607</v>
      </c>
      <c r="F686" t="s">
        <v>1735</v>
      </c>
      <c r="G686" t="s">
        <v>894</v>
      </c>
    </row>
    <row r="687" spans="1:7" x14ac:dyDescent="0.25">
      <c r="A687" t="s">
        <v>1607</v>
      </c>
      <c r="F687" t="s">
        <v>1738</v>
      </c>
      <c r="G687" t="s">
        <v>894</v>
      </c>
    </row>
    <row r="688" spans="1:7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x14ac:dyDescent="0.25">
      <c r="A695" t="s">
        <v>1607</v>
      </c>
      <c r="F695" t="s">
        <v>1702</v>
      </c>
      <c r="G695" t="s">
        <v>896</v>
      </c>
    </row>
    <row r="696" spans="1:7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x14ac:dyDescent="0.25">
      <c r="A697" t="s">
        <v>1607</v>
      </c>
      <c r="F697" t="s">
        <v>1705</v>
      </c>
      <c r="G697" t="s">
        <v>896</v>
      </c>
    </row>
    <row r="698" spans="1:7" x14ac:dyDescent="0.25">
      <c r="A698" t="s">
        <v>1607</v>
      </c>
      <c r="F698" t="s">
        <v>1708</v>
      </c>
      <c r="G698" t="s">
        <v>896</v>
      </c>
    </row>
    <row r="699" spans="1:7" x14ac:dyDescent="0.25">
      <c r="A699" t="s">
        <v>1607</v>
      </c>
      <c r="F699" t="s">
        <v>1711</v>
      </c>
      <c r="G699" t="s">
        <v>896</v>
      </c>
    </row>
    <row r="700" spans="1:7" x14ac:dyDescent="0.25">
      <c r="A700" t="s">
        <v>1607</v>
      </c>
      <c r="F700" t="s">
        <v>1714</v>
      </c>
      <c r="G700" t="s">
        <v>896</v>
      </c>
    </row>
    <row r="701" spans="1:7" x14ac:dyDescent="0.25">
      <c r="A701" t="s">
        <v>1607</v>
      </c>
      <c r="F701" t="s">
        <v>1717</v>
      </c>
      <c r="G701" t="s">
        <v>896</v>
      </c>
    </row>
    <row r="702" spans="1:7" x14ac:dyDescent="0.25">
      <c r="A702" t="s">
        <v>11</v>
      </c>
      <c r="F702" t="s">
        <v>1741</v>
      </c>
      <c r="G702" t="s">
        <v>897</v>
      </c>
    </row>
    <row r="703" spans="1:7" x14ac:dyDescent="0.25">
      <c r="A703" t="s">
        <v>11</v>
      </c>
      <c r="F703" t="s">
        <v>1744</v>
      </c>
      <c r="G703" t="s">
        <v>897</v>
      </c>
    </row>
    <row r="704" spans="1:7" x14ac:dyDescent="0.25">
      <c r="A704" t="s">
        <v>11</v>
      </c>
      <c r="F704" t="s">
        <v>1747</v>
      </c>
      <c r="G704" t="s">
        <v>897</v>
      </c>
    </row>
    <row r="705" spans="1:7" x14ac:dyDescent="0.25">
      <c r="A705" t="s">
        <v>11</v>
      </c>
      <c r="F705" t="s">
        <v>1750</v>
      </c>
      <c r="G705" t="s">
        <v>897</v>
      </c>
    </row>
    <row r="706" spans="1:7" x14ac:dyDescent="0.25">
      <c r="A706" t="s">
        <v>11</v>
      </c>
      <c r="F706" t="s">
        <v>1753</v>
      </c>
      <c r="G706" t="s">
        <v>897</v>
      </c>
    </row>
    <row r="707" spans="1:7" x14ac:dyDescent="0.25">
      <c r="A707" t="s">
        <v>11</v>
      </c>
      <c r="F707" t="s">
        <v>1756</v>
      </c>
      <c r="G707" t="s">
        <v>897</v>
      </c>
    </row>
    <row r="708" spans="1:7" x14ac:dyDescent="0.25">
      <c r="A708" t="s">
        <v>11</v>
      </c>
      <c r="F708" t="s">
        <v>1759</v>
      </c>
      <c r="G708" t="s">
        <v>897</v>
      </c>
    </row>
    <row r="709" spans="1:7" x14ac:dyDescent="0.25">
      <c r="A709" t="s">
        <v>11</v>
      </c>
      <c r="F709" t="s">
        <v>1762</v>
      </c>
      <c r="G709" t="s">
        <v>897</v>
      </c>
    </row>
    <row r="710" spans="1:7" x14ac:dyDescent="0.25">
      <c r="A710" t="s">
        <v>11</v>
      </c>
      <c r="F710" t="s">
        <v>1765</v>
      </c>
      <c r="G710" t="s">
        <v>897</v>
      </c>
    </row>
    <row r="711" spans="1:7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x14ac:dyDescent="0.25">
      <c r="A712" t="s">
        <v>11</v>
      </c>
      <c r="F712" t="s">
        <v>1771</v>
      </c>
      <c r="G712" t="s">
        <v>897</v>
      </c>
    </row>
    <row r="713" spans="1:7" x14ac:dyDescent="0.25">
      <c r="A713" t="s">
        <v>11</v>
      </c>
      <c r="F713" t="s">
        <v>1774</v>
      </c>
      <c r="G713" t="s">
        <v>897</v>
      </c>
    </row>
    <row r="714" spans="1:7" x14ac:dyDescent="0.25">
      <c r="A714" t="s">
        <v>11</v>
      </c>
      <c r="F714" t="s">
        <v>1777</v>
      </c>
      <c r="G714" t="s">
        <v>897</v>
      </c>
    </row>
    <row r="715" spans="1:7" x14ac:dyDescent="0.25">
      <c r="A715" t="s">
        <v>11</v>
      </c>
      <c r="F715" t="s">
        <v>1780</v>
      </c>
      <c r="G715" t="s">
        <v>897</v>
      </c>
    </row>
    <row r="716" spans="1:7" x14ac:dyDescent="0.25">
      <c r="A716" t="s">
        <v>11</v>
      </c>
      <c r="F716" t="s">
        <v>1783</v>
      </c>
      <c r="G716" t="s">
        <v>897</v>
      </c>
    </row>
    <row r="717" spans="1:7" x14ac:dyDescent="0.25">
      <c r="A717" t="s">
        <v>11</v>
      </c>
      <c r="F717" t="s">
        <v>1786</v>
      </c>
      <c r="G717" t="s">
        <v>897</v>
      </c>
    </row>
    <row r="718" spans="1:7" x14ac:dyDescent="0.25">
      <c r="A718" t="s">
        <v>11</v>
      </c>
      <c r="F718" t="s">
        <v>1789</v>
      </c>
      <c r="G718" t="s">
        <v>897</v>
      </c>
    </row>
    <row r="719" spans="1:7" x14ac:dyDescent="0.25">
      <c r="A719" t="s">
        <v>11</v>
      </c>
      <c r="F719" t="s">
        <v>1792</v>
      </c>
      <c r="G719" t="s">
        <v>897</v>
      </c>
    </row>
    <row r="720" spans="1:7" x14ac:dyDescent="0.25">
      <c r="A720" t="s">
        <v>11</v>
      </c>
      <c r="F720" t="s">
        <v>1795</v>
      </c>
      <c r="G720" t="s">
        <v>897</v>
      </c>
    </row>
    <row r="721" spans="1:7" x14ac:dyDescent="0.25">
      <c r="A721" t="s">
        <v>11</v>
      </c>
      <c r="F721" t="s">
        <v>1798</v>
      </c>
      <c r="G721" t="s">
        <v>897</v>
      </c>
    </row>
    <row r="722" spans="1:7" x14ac:dyDescent="0.25">
      <c r="A722" t="s">
        <v>11</v>
      </c>
      <c r="F722" t="s">
        <v>1801</v>
      </c>
      <c r="G722" t="s">
        <v>897</v>
      </c>
    </row>
    <row r="723" spans="1:7" x14ac:dyDescent="0.25">
      <c r="A723" t="s">
        <v>11</v>
      </c>
      <c r="F723" t="s">
        <v>1804</v>
      </c>
      <c r="G723" t="s">
        <v>897</v>
      </c>
    </row>
    <row r="724" spans="1:7" x14ac:dyDescent="0.25">
      <c r="A724" t="s">
        <v>11</v>
      </c>
      <c r="F724" t="s">
        <v>1807</v>
      </c>
      <c r="G724" t="s">
        <v>897</v>
      </c>
    </row>
    <row r="725" spans="1:7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x14ac:dyDescent="0.25">
      <c r="A726" t="s">
        <v>1607</v>
      </c>
      <c r="F726" t="s">
        <v>1813</v>
      </c>
      <c r="G726" t="s">
        <v>897</v>
      </c>
    </row>
    <row r="727" spans="1:7" x14ac:dyDescent="0.25">
      <c r="A727" t="s">
        <v>1607</v>
      </c>
      <c r="F727" t="s">
        <v>1816</v>
      </c>
      <c r="G727" t="s">
        <v>897</v>
      </c>
    </row>
    <row r="728" spans="1:7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12648</v>
      </c>
    </row>
    <row r="729" spans="1:7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12648</v>
      </c>
    </row>
    <row r="730" spans="1:7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12648</v>
      </c>
    </row>
    <row r="731" spans="1:7" x14ac:dyDescent="0.25">
      <c r="A731" t="s">
        <v>1627</v>
      </c>
      <c r="B731" t="s">
        <v>687</v>
      </c>
      <c r="F731" t="s">
        <v>1825</v>
      </c>
      <c r="G731" t="s">
        <v>12648</v>
      </c>
    </row>
    <row r="732" spans="1:7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12648</v>
      </c>
    </row>
    <row r="733" spans="1:7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12648</v>
      </c>
    </row>
    <row r="734" spans="1:7" x14ac:dyDescent="0.25">
      <c r="A734" t="s">
        <v>1627</v>
      </c>
      <c r="B734" t="s">
        <v>687</v>
      </c>
      <c r="F734" t="s">
        <v>1831</v>
      </c>
      <c r="G734" t="s">
        <v>12648</v>
      </c>
    </row>
    <row r="735" spans="1:7" x14ac:dyDescent="0.25">
      <c r="A735" t="s">
        <v>1627</v>
      </c>
      <c r="B735" t="s">
        <v>687</v>
      </c>
      <c r="F735" t="s">
        <v>1833</v>
      </c>
      <c r="G735" t="s">
        <v>12648</v>
      </c>
    </row>
    <row r="736" spans="1:7" x14ac:dyDescent="0.25">
      <c r="A736" t="s">
        <v>1627</v>
      </c>
      <c r="B736" t="s">
        <v>687</v>
      </c>
      <c r="F736" t="s">
        <v>1835</v>
      </c>
      <c r="G736" t="s">
        <v>12648</v>
      </c>
    </row>
    <row r="737" spans="1:7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12648</v>
      </c>
    </row>
    <row r="738" spans="1:7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12648</v>
      </c>
    </row>
    <row r="739" spans="1:7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12648</v>
      </c>
    </row>
    <row r="740" spans="1:7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12648</v>
      </c>
    </row>
    <row r="741" spans="1:7" x14ac:dyDescent="0.25">
      <c r="A741" t="s">
        <v>1627</v>
      </c>
      <c r="B741" t="s">
        <v>1058</v>
      </c>
      <c r="F741" t="s">
        <v>1845</v>
      </c>
      <c r="G741" t="s">
        <v>12648</v>
      </c>
    </row>
    <row r="742" spans="1:7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12648</v>
      </c>
    </row>
    <row r="743" spans="1:7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12648</v>
      </c>
    </row>
    <row r="744" spans="1:7" x14ac:dyDescent="0.25">
      <c r="A744" t="s">
        <v>1627</v>
      </c>
      <c r="B744" t="s">
        <v>1058</v>
      </c>
      <c r="F744" t="s">
        <v>1851</v>
      </c>
      <c r="G744" t="s">
        <v>12648</v>
      </c>
    </row>
    <row r="745" spans="1:7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12648</v>
      </c>
    </row>
    <row r="746" spans="1:7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12648</v>
      </c>
    </row>
    <row r="747" spans="1:7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12648</v>
      </c>
    </row>
    <row r="748" spans="1:7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12648</v>
      </c>
    </row>
    <row r="749" spans="1:7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12648</v>
      </c>
    </row>
    <row r="750" spans="1:7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12648</v>
      </c>
    </row>
    <row r="751" spans="1:7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12648</v>
      </c>
    </row>
    <row r="752" spans="1:7" x14ac:dyDescent="0.25">
      <c r="A752" t="s">
        <v>1627</v>
      </c>
      <c r="B752" t="s">
        <v>687</v>
      </c>
      <c r="F752" t="s">
        <v>1867</v>
      </c>
      <c r="G752" t="s">
        <v>12648</v>
      </c>
    </row>
    <row r="753" spans="1:7" x14ac:dyDescent="0.25">
      <c r="A753" t="s">
        <v>684</v>
      </c>
      <c r="B753" t="s">
        <v>468</v>
      </c>
      <c r="F753" t="s">
        <v>1869</v>
      </c>
      <c r="G753" t="s">
        <v>12648</v>
      </c>
    </row>
    <row r="754" spans="1:7" x14ac:dyDescent="0.25">
      <c r="A754" t="s">
        <v>1607</v>
      </c>
      <c r="B754" t="s">
        <v>8</v>
      </c>
      <c r="F754" t="s">
        <v>1871</v>
      </c>
      <c r="G754" t="s">
        <v>12648</v>
      </c>
    </row>
    <row r="755" spans="1:7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12648</v>
      </c>
    </row>
    <row r="756" spans="1:7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12648</v>
      </c>
    </row>
    <row r="757" spans="1:7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12648</v>
      </c>
    </row>
    <row r="758" spans="1:7" x14ac:dyDescent="0.25">
      <c r="A758" t="s">
        <v>1627</v>
      </c>
      <c r="B758" t="s">
        <v>687</v>
      </c>
      <c r="F758" t="s">
        <v>1879</v>
      </c>
      <c r="G758" t="s">
        <v>12648</v>
      </c>
    </row>
    <row r="759" spans="1:7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12648</v>
      </c>
    </row>
    <row r="760" spans="1:7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12648</v>
      </c>
    </row>
    <row r="761" spans="1:7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12648</v>
      </c>
    </row>
    <row r="762" spans="1:7" x14ac:dyDescent="0.25">
      <c r="A762" t="s">
        <v>1607</v>
      </c>
      <c r="B762" t="s">
        <v>8</v>
      </c>
      <c r="F762" t="s">
        <v>1887</v>
      </c>
      <c r="G762" t="s">
        <v>12648</v>
      </c>
    </row>
    <row r="763" spans="1:7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12648</v>
      </c>
    </row>
    <row r="764" spans="1:7" x14ac:dyDescent="0.25">
      <c r="A764" t="s">
        <v>4</v>
      </c>
      <c r="B764" t="s">
        <v>9</v>
      </c>
      <c r="F764" t="s">
        <v>1891</v>
      </c>
      <c r="G764" t="s">
        <v>12649</v>
      </c>
    </row>
    <row r="765" spans="1:7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12649</v>
      </c>
    </row>
    <row r="766" spans="1:7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12649</v>
      </c>
    </row>
    <row r="767" spans="1:7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12649</v>
      </c>
    </row>
    <row r="768" spans="1:7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12649</v>
      </c>
    </row>
    <row r="769" spans="1:7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12649</v>
      </c>
    </row>
    <row r="770" spans="1:7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12649</v>
      </c>
    </row>
    <row r="771" spans="1:7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12649</v>
      </c>
    </row>
    <row r="772" spans="1:7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12649</v>
      </c>
    </row>
    <row r="773" spans="1:7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12649</v>
      </c>
    </row>
    <row r="774" spans="1:7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12649</v>
      </c>
    </row>
    <row r="775" spans="1:7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12649</v>
      </c>
    </row>
    <row r="776" spans="1:7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12649</v>
      </c>
    </row>
    <row r="777" spans="1:7" x14ac:dyDescent="0.25">
      <c r="A777" t="s">
        <v>4</v>
      </c>
      <c r="B777" t="s">
        <v>9</v>
      </c>
      <c r="F777" t="s">
        <v>1917</v>
      </c>
      <c r="G777" t="s">
        <v>12649</v>
      </c>
    </row>
    <row r="778" spans="1:7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12649</v>
      </c>
    </row>
    <row r="779" spans="1:7" x14ac:dyDescent="0.25">
      <c r="A779" t="s">
        <v>1627</v>
      </c>
      <c r="B779" t="s">
        <v>1058</v>
      </c>
      <c r="F779" t="s">
        <v>1921</v>
      </c>
      <c r="G779" t="s">
        <v>12649</v>
      </c>
    </row>
    <row r="780" spans="1:7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12649</v>
      </c>
    </row>
    <row r="781" spans="1:7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12649</v>
      </c>
    </row>
    <row r="782" spans="1:7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12649</v>
      </c>
    </row>
    <row r="783" spans="1:7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12649</v>
      </c>
    </row>
    <row r="784" spans="1:7" x14ac:dyDescent="0.25">
      <c r="A784" t="s">
        <v>4</v>
      </c>
      <c r="B784" t="s">
        <v>9</v>
      </c>
      <c r="F784" t="s">
        <v>1931</v>
      </c>
      <c r="G784" t="s">
        <v>12649</v>
      </c>
    </row>
    <row r="785" spans="1:7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12649</v>
      </c>
    </row>
    <row r="786" spans="1:7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12649</v>
      </c>
    </row>
    <row r="787" spans="1:7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12649</v>
      </c>
    </row>
    <row r="788" spans="1:7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12649</v>
      </c>
    </row>
    <row r="789" spans="1:7" x14ac:dyDescent="0.25">
      <c r="A789" t="s">
        <v>2359</v>
      </c>
      <c r="E789" t="s">
        <v>2358</v>
      </c>
      <c r="F789" t="s">
        <v>1941</v>
      </c>
      <c r="G789" t="s">
        <v>12649</v>
      </c>
    </row>
    <row r="790" spans="1:7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12649</v>
      </c>
    </row>
    <row r="791" spans="1:7" x14ac:dyDescent="0.25">
      <c r="A791" t="s">
        <v>4</v>
      </c>
      <c r="B791" t="s">
        <v>9</v>
      </c>
      <c r="F791" t="s">
        <v>1945</v>
      </c>
      <c r="G791" t="s">
        <v>12649</v>
      </c>
    </row>
    <row r="792" spans="1:7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12649</v>
      </c>
    </row>
    <row r="793" spans="1:7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12649</v>
      </c>
    </row>
    <row r="794" spans="1:7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12649</v>
      </c>
    </row>
    <row r="795" spans="1:7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12649</v>
      </c>
    </row>
    <row r="796" spans="1:7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12649</v>
      </c>
    </row>
    <row r="797" spans="1:7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12649</v>
      </c>
    </row>
    <row r="798" spans="1:7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12649</v>
      </c>
    </row>
    <row r="799" spans="1:7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12649</v>
      </c>
    </row>
    <row r="800" spans="1:7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12649</v>
      </c>
    </row>
    <row r="801" spans="1:7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12649</v>
      </c>
    </row>
    <row r="802" spans="1:7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12649</v>
      </c>
    </row>
    <row r="803" spans="1:7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12649</v>
      </c>
    </row>
    <row r="804" spans="1:7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12649</v>
      </c>
    </row>
    <row r="805" spans="1:7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12649</v>
      </c>
    </row>
    <row r="806" spans="1:7" x14ac:dyDescent="0.25">
      <c r="A806" t="s">
        <v>4</v>
      </c>
      <c r="B806" t="s">
        <v>9</v>
      </c>
      <c r="F806" t="s">
        <v>1975</v>
      </c>
      <c r="G806" t="s">
        <v>12649</v>
      </c>
    </row>
    <row r="807" spans="1:7" x14ac:dyDescent="0.25">
      <c r="A807" t="s">
        <v>2361</v>
      </c>
      <c r="B807" t="s">
        <v>1274</v>
      </c>
      <c r="F807" t="s">
        <v>1977</v>
      </c>
      <c r="G807" t="s">
        <v>12649</v>
      </c>
    </row>
    <row r="808" spans="1:7" x14ac:dyDescent="0.25">
      <c r="A808" t="s">
        <v>2362</v>
      </c>
      <c r="B808" t="s">
        <v>1274</v>
      </c>
      <c r="F808" t="s">
        <v>1979</v>
      </c>
      <c r="G808" t="s">
        <v>12649</v>
      </c>
    </row>
    <row r="809" spans="1:7" x14ac:dyDescent="0.25">
      <c r="A809" t="s">
        <v>4</v>
      </c>
      <c r="B809" t="s">
        <v>9</v>
      </c>
      <c r="F809" t="s">
        <v>1981</v>
      </c>
      <c r="G809" t="s">
        <v>12649</v>
      </c>
    </row>
    <row r="810" spans="1:7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12649</v>
      </c>
    </row>
    <row r="811" spans="1:7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12649</v>
      </c>
    </row>
    <row r="812" spans="1:7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12649</v>
      </c>
    </row>
    <row r="813" spans="1:7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12649</v>
      </c>
    </row>
    <row r="814" spans="1:7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12649</v>
      </c>
    </row>
    <row r="815" spans="1:7" x14ac:dyDescent="0.25">
      <c r="A815" t="s">
        <v>4</v>
      </c>
      <c r="B815" t="s">
        <v>2363</v>
      </c>
      <c r="F815" t="s">
        <v>1993</v>
      </c>
      <c r="G815" t="s">
        <v>12649</v>
      </c>
    </row>
    <row r="816" spans="1:7" x14ac:dyDescent="0.25">
      <c r="A816" t="s">
        <v>4</v>
      </c>
      <c r="B816" t="s">
        <v>9</v>
      </c>
      <c r="F816" t="s">
        <v>1995</v>
      </c>
      <c r="G816" t="s">
        <v>12649</v>
      </c>
    </row>
    <row r="817" spans="1:7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12649</v>
      </c>
    </row>
    <row r="818" spans="1:7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12649</v>
      </c>
    </row>
    <row r="819" spans="1:7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12649</v>
      </c>
    </row>
    <row r="820" spans="1:7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12649</v>
      </c>
    </row>
    <row r="821" spans="1:7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12649</v>
      </c>
    </row>
    <row r="822" spans="1:7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12649</v>
      </c>
    </row>
    <row r="823" spans="1:7" x14ac:dyDescent="0.25">
      <c r="A823" t="s">
        <v>4</v>
      </c>
      <c r="B823" t="s">
        <v>9</v>
      </c>
      <c r="F823" t="s">
        <v>2009</v>
      </c>
      <c r="G823" t="s">
        <v>12649</v>
      </c>
    </row>
    <row r="824" spans="1:7" x14ac:dyDescent="0.25">
      <c r="A824" t="s">
        <v>1607</v>
      </c>
      <c r="F824" t="s">
        <v>2011</v>
      </c>
      <c r="G824" t="s">
        <v>12649</v>
      </c>
    </row>
    <row r="825" spans="1:7" x14ac:dyDescent="0.25">
      <c r="A825" t="s">
        <v>1607</v>
      </c>
      <c r="F825" t="s">
        <v>2013</v>
      </c>
      <c r="G825" t="s">
        <v>12649</v>
      </c>
    </row>
    <row r="826" spans="1:7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12650</v>
      </c>
    </row>
    <row r="827" spans="1:7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12650</v>
      </c>
    </row>
    <row r="828" spans="1:7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12650</v>
      </c>
    </row>
    <row r="829" spans="1:7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12650</v>
      </c>
    </row>
    <row r="830" spans="1:7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12650</v>
      </c>
    </row>
    <row r="831" spans="1:7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12650</v>
      </c>
    </row>
    <row r="832" spans="1:7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12650</v>
      </c>
    </row>
    <row r="833" spans="1:7" x14ac:dyDescent="0.25">
      <c r="A833" t="s">
        <v>4</v>
      </c>
      <c r="B833" t="s">
        <v>8</v>
      </c>
      <c r="F833" t="s">
        <v>2118</v>
      </c>
      <c r="G833" t="s">
        <v>12650</v>
      </c>
    </row>
    <row r="834" spans="1:7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12650</v>
      </c>
    </row>
    <row r="835" spans="1:7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12650</v>
      </c>
    </row>
    <row r="836" spans="1:7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12650</v>
      </c>
    </row>
    <row r="837" spans="1:7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12650</v>
      </c>
    </row>
    <row r="838" spans="1:7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12650</v>
      </c>
    </row>
    <row r="839" spans="1:7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12650</v>
      </c>
    </row>
    <row r="840" spans="1:7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12650</v>
      </c>
    </row>
    <row r="841" spans="1:7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12650</v>
      </c>
    </row>
    <row r="842" spans="1:7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12650</v>
      </c>
    </row>
    <row r="843" spans="1:7" x14ac:dyDescent="0.25">
      <c r="A843" t="s">
        <v>2369</v>
      </c>
      <c r="B843" t="s">
        <v>70</v>
      </c>
      <c r="F843" t="s">
        <v>2146</v>
      </c>
      <c r="G843" t="s">
        <v>12650</v>
      </c>
    </row>
    <row r="844" spans="1:7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12650</v>
      </c>
    </row>
    <row r="845" spans="1:7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12650</v>
      </c>
    </row>
    <row r="846" spans="1:7" x14ac:dyDescent="0.25">
      <c r="A846" t="s">
        <v>137</v>
      </c>
      <c r="B846" t="s">
        <v>2336</v>
      </c>
      <c r="F846" t="s">
        <v>2152</v>
      </c>
      <c r="G846" t="s">
        <v>12650</v>
      </c>
    </row>
    <row r="847" spans="1:7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12650</v>
      </c>
    </row>
    <row r="848" spans="1:7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12650</v>
      </c>
    </row>
    <row r="849" spans="1:7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12650</v>
      </c>
    </row>
    <row r="850" spans="1:7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12650</v>
      </c>
    </row>
    <row r="851" spans="1:7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12650</v>
      </c>
    </row>
    <row r="852" spans="1:7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12650</v>
      </c>
    </row>
    <row r="853" spans="1:7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12650</v>
      </c>
    </row>
    <row r="854" spans="1:7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12650</v>
      </c>
    </row>
    <row r="855" spans="1:7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12650</v>
      </c>
    </row>
    <row r="856" spans="1:7" x14ac:dyDescent="0.25">
      <c r="A856" t="s">
        <v>4</v>
      </c>
      <c r="B856" t="s">
        <v>8</v>
      </c>
      <c r="F856" t="s">
        <v>2171</v>
      </c>
      <c r="G856" t="s">
        <v>12650</v>
      </c>
    </row>
    <row r="857" spans="1:7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12650</v>
      </c>
    </row>
    <row r="858" spans="1:7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12650</v>
      </c>
    </row>
    <row r="859" spans="1:7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12650</v>
      </c>
    </row>
    <row r="860" spans="1:7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12650</v>
      </c>
    </row>
    <row r="861" spans="1:7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12650</v>
      </c>
    </row>
    <row r="862" spans="1:7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12650</v>
      </c>
    </row>
    <row r="863" spans="1:7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12650</v>
      </c>
    </row>
    <row r="864" spans="1:7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12650</v>
      </c>
    </row>
    <row r="865" spans="1:7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12650</v>
      </c>
    </row>
    <row r="866" spans="1:7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12650</v>
      </c>
    </row>
    <row r="867" spans="1:7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12650</v>
      </c>
    </row>
    <row r="868" spans="1:7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12650</v>
      </c>
    </row>
    <row r="869" spans="1:7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12650</v>
      </c>
    </row>
    <row r="870" spans="1:7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12650</v>
      </c>
    </row>
    <row r="871" spans="1:7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12650</v>
      </c>
    </row>
    <row r="872" spans="1:7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12650</v>
      </c>
    </row>
    <row r="873" spans="1:7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12650</v>
      </c>
    </row>
    <row r="874" spans="1:7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12650</v>
      </c>
    </row>
    <row r="875" spans="1:7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12650</v>
      </c>
    </row>
    <row r="876" spans="1:7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12650</v>
      </c>
    </row>
    <row r="877" spans="1:7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12650</v>
      </c>
    </row>
    <row r="878" spans="1:7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12650</v>
      </c>
    </row>
    <row r="879" spans="1:7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12650</v>
      </c>
    </row>
    <row r="880" spans="1:7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12650</v>
      </c>
    </row>
    <row r="881" spans="1:7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12650</v>
      </c>
    </row>
    <row r="882" spans="1:7" x14ac:dyDescent="0.25">
      <c r="A882" t="s">
        <v>2369</v>
      </c>
      <c r="B882" t="s">
        <v>70</v>
      </c>
      <c r="F882" t="s">
        <v>2244</v>
      </c>
      <c r="G882" t="s">
        <v>12650</v>
      </c>
    </row>
    <row r="883" spans="1:7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12650</v>
      </c>
    </row>
    <row r="884" spans="1:7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12650</v>
      </c>
    </row>
    <row r="885" spans="1:7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12650</v>
      </c>
    </row>
    <row r="886" spans="1:7" x14ac:dyDescent="0.25">
      <c r="A886" t="s">
        <v>4</v>
      </c>
      <c r="B886" t="s">
        <v>8</v>
      </c>
      <c r="F886" t="s">
        <v>2252</v>
      </c>
      <c r="G886" t="s">
        <v>12650</v>
      </c>
    </row>
    <row r="887" spans="1:7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12650</v>
      </c>
    </row>
    <row r="888" spans="1:7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12650</v>
      </c>
    </row>
    <row r="889" spans="1:7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12650</v>
      </c>
    </row>
    <row r="890" spans="1:7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12650</v>
      </c>
    </row>
    <row r="891" spans="1:7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12650</v>
      </c>
    </row>
    <row r="892" spans="1:7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12650</v>
      </c>
    </row>
    <row r="893" spans="1:7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12650</v>
      </c>
    </row>
    <row r="894" spans="1:7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12650</v>
      </c>
    </row>
    <row r="895" spans="1:7" x14ac:dyDescent="0.25">
      <c r="A895" t="s">
        <v>2380</v>
      </c>
      <c r="F895" t="s">
        <v>2270</v>
      </c>
      <c r="G895" t="s">
        <v>12650</v>
      </c>
    </row>
    <row r="896" spans="1:7" x14ac:dyDescent="0.25">
      <c r="A896" t="s">
        <v>2380</v>
      </c>
      <c r="F896" t="s">
        <v>2272</v>
      </c>
      <c r="G896" t="s">
        <v>12650</v>
      </c>
    </row>
    <row r="897" spans="1:7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12650</v>
      </c>
    </row>
    <row r="898" spans="1:7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12650</v>
      </c>
    </row>
    <row r="899" spans="1:7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12650</v>
      </c>
    </row>
    <row r="900" spans="1:7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12650</v>
      </c>
    </row>
    <row r="901" spans="1:7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12650</v>
      </c>
    </row>
    <row r="902" spans="1:7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12650</v>
      </c>
    </row>
    <row r="903" spans="1:7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12650</v>
      </c>
    </row>
    <row r="904" spans="1:7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12650</v>
      </c>
    </row>
    <row r="905" spans="1:7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12650</v>
      </c>
    </row>
    <row r="906" spans="1:7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12650</v>
      </c>
    </row>
    <row r="907" spans="1:7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12650</v>
      </c>
    </row>
    <row r="908" spans="1:7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12650</v>
      </c>
    </row>
    <row r="909" spans="1:7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12650</v>
      </c>
    </row>
    <row r="910" spans="1:7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12650</v>
      </c>
    </row>
    <row r="911" spans="1:7" x14ac:dyDescent="0.25">
      <c r="A911" t="s">
        <v>4</v>
      </c>
      <c r="B911" t="s">
        <v>8</v>
      </c>
      <c r="F911" t="s">
        <v>2302</v>
      </c>
      <c r="G911" t="s">
        <v>12650</v>
      </c>
    </row>
    <row r="912" spans="1:7" x14ac:dyDescent="0.25">
      <c r="A912" t="s">
        <v>4</v>
      </c>
      <c r="B912" t="s">
        <v>8</v>
      </c>
      <c r="F912" t="s">
        <v>2304</v>
      </c>
      <c r="G912" t="s">
        <v>12650</v>
      </c>
    </row>
    <row r="913" spans="1:7" x14ac:dyDescent="0.25">
      <c r="A913" t="s">
        <v>1607</v>
      </c>
      <c r="F913" t="s">
        <v>2306</v>
      </c>
      <c r="G913" t="s">
        <v>12650</v>
      </c>
    </row>
    <row r="914" spans="1:7" x14ac:dyDescent="0.25">
      <c r="A914" t="s">
        <v>4</v>
      </c>
      <c r="B914" t="s">
        <v>8</v>
      </c>
      <c r="F914" t="s">
        <v>2308</v>
      </c>
      <c r="G914" t="s">
        <v>12650</v>
      </c>
    </row>
    <row r="915" spans="1:7" x14ac:dyDescent="0.25">
      <c r="A915" t="s">
        <v>1607</v>
      </c>
      <c r="F915" t="s">
        <v>2310</v>
      </c>
      <c r="G915" t="s">
        <v>12650</v>
      </c>
    </row>
    <row r="916" spans="1:7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12651</v>
      </c>
    </row>
    <row r="917" spans="1:7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12651</v>
      </c>
    </row>
    <row r="918" spans="1:7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12651</v>
      </c>
    </row>
    <row r="919" spans="1:7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12651</v>
      </c>
    </row>
    <row r="920" spans="1:7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12651</v>
      </c>
    </row>
    <row r="921" spans="1:7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12651</v>
      </c>
    </row>
    <row r="922" spans="1:7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12651</v>
      </c>
    </row>
    <row r="923" spans="1:7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12651</v>
      </c>
    </row>
    <row r="924" spans="1:7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12651</v>
      </c>
    </row>
    <row r="925" spans="1:7" x14ac:dyDescent="0.25">
      <c r="A925" t="s">
        <v>4</v>
      </c>
      <c r="B925" t="s">
        <v>8</v>
      </c>
      <c r="F925" t="s">
        <v>2038</v>
      </c>
      <c r="G925" t="s">
        <v>12651</v>
      </c>
    </row>
    <row r="926" spans="1:7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12651</v>
      </c>
    </row>
    <row r="927" spans="1:7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12651</v>
      </c>
    </row>
    <row r="928" spans="1:7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12651</v>
      </c>
    </row>
    <row r="929" spans="1:7" x14ac:dyDescent="0.25">
      <c r="A929" t="s">
        <v>4</v>
      </c>
      <c r="B929" t="s">
        <v>8</v>
      </c>
      <c r="F929" t="s">
        <v>2046</v>
      </c>
      <c r="G929" t="s">
        <v>12651</v>
      </c>
    </row>
    <row r="930" spans="1:7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12651</v>
      </c>
    </row>
    <row r="931" spans="1:7" x14ac:dyDescent="0.25">
      <c r="A931" t="s">
        <v>4</v>
      </c>
      <c r="B931" t="s">
        <v>8</v>
      </c>
      <c r="F931" t="s">
        <v>2050</v>
      </c>
      <c r="G931" t="s">
        <v>12651</v>
      </c>
    </row>
    <row r="932" spans="1:7" x14ac:dyDescent="0.25">
      <c r="A932" t="s">
        <v>1607</v>
      </c>
      <c r="F932" t="s">
        <v>2052</v>
      </c>
      <c r="G932" t="s">
        <v>12651</v>
      </c>
    </row>
    <row r="933" spans="1:7" x14ac:dyDescent="0.25">
      <c r="A933" t="s">
        <v>4</v>
      </c>
      <c r="B933" t="s">
        <v>8</v>
      </c>
      <c r="F933" t="s">
        <v>2384</v>
      </c>
      <c r="G933" t="s">
        <v>12651</v>
      </c>
    </row>
    <row r="934" spans="1:7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12651</v>
      </c>
    </row>
    <row r="935" spans="1:7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12651</v>
      </c>
    </row>
    <row r="936" spans="1:7" x14ac:dyDescent="0.25">
      <c r="A936" t="s">
        <v>4</v>
      </c>
      <c r="B936" t="s">
        <v>8</v>
      </c>
      <c r="F936" t="s">
        <v>2056</v>
      </c>
      <c r="G936" t="s">
        <v>12651</v>
      </c>
    </row>
    <row r="937" spans="1:7" x14ac:dyDescent="0.25">
      <c r="A937" t="s">
        <v>1607</v>
      </c>
      <c r="F937" t="s">
        <v>2058</v>
      </c>
      <c r="G937" t="s">
        <v>12651</v>
      </c>
    </row>
    <row r="938" spans="1:7" x14ac:dyDescent="0.25">
      <c r="A938" t="s">
        <v>1607</v>
      </c>
      <c r="F938" t="s">
        <v>2060</v>
      </c>
      <c r="G938" t="s">
        <v>12651</v>
      </c>
    </row>
    <row r="939" spans="1:7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x14ac:dyDescent="0.25">
      <c r="A940" t="s">
        <v>7</v>
      </c>
      <c r="F940" t="s">
        <v>2065</v>
      </c>
      <c r="G940" t="s">
        <v>1537</v>
      </c>
    </row>
    <row r="941" spans="1:7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x14ac:dyDescent="0.25">
      <c r="A942" t="s">
        <v>11</v>
      </c>
      <c r="F942" t="s">
        <v>2071</v>
      </c>
      <c r="G942" t="s">
        <v>1537</v>
      </c>
    </row>
    <row r="943" spans="1:7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x14ac:dyDescent="0.25">
      <c r="A944" t="s">
        <v>1607</v>
      </c>
      <c r="F944" t="s">
        <v>2077</v>
      </c>
      <c r="G944" t="s">
        <v>1537</v>
      </c>
    </row>
    <row r="945" spans="1:7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x14ac:dyDescent="0.25">
      <c r="A946" t="s">
        <v>1607</v>
      </c>
      <c r="F946" t="s">
        <v>2083</v>
      </c>
      <c r="G946" t="s">
        <v>1537</v>
      </c>
    </row>
    <row r="947" spans="1:7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x14ac:dyDescent="0.25">
      <c r="A948" t="s">
        <v>1607</v>
      </c>
      <c r="F948" t="s">
        <v>2089</v>
      </c>
      <c r="G948" t="s">
        <v>1537</v>
      </c>
    </row>
    <row r="949" spans="1:7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x14ac:dyDescent="0.25">
      <c r="A950" t="s">
        <v>1607</v>
      </c>
      <c r="F950" t="s">
        <v>2095</v>
      </c>
      <c r="G950" t="s">
        <v>1537</v>
      </c>
    </row>
    <row r="951" spans="1:7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x14ac:dyDescent="0.25">
      <c r="A952" t="s">
        <v>1607</v>
      </c>
      <c r="F952" t="s">
        <v>2101</v>
      </c>
      <c r="G952" t="s">
        <v>1537</v>
      </c>
    </row>
    <row r="953" spans="1:7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x14ac:dyDescent="0.25">
      <c r="A957" t="s">
        <v>1607</v>
      </c>
      <c r="F957" t="s">
        <v>2321</v>
      </c>
      <c r="G957" t="s">
        <v>1600</v>
      </c>
    </row>
    <row r="958" spans="1:7" x14ac:dyDescent="0.25">
      <c r="A958" t="s">
        <v>1607</v>
      </c>
      <c r="F958" t="s">
        <v>2324</v>
      </c>
      <c r="G958" t="s">
        <v>1600</v>
      </c>
    </row>
    <row r="959" spans="1:7" x14ac:dyDescent="0.25">
      <c r="A959" t="s">
        <v>1617</v>
      </c>
      <c r="F959" t="s">
        <v>2327</v>
      </c>
      <c r="G959" t="s">
        <v>1600</v>
      </c>
    </row>
    <row r="960" spans="1:7" x14ac:dyDescent="0.25">
      <c r="A960" t="s">
        <v>1607</v>
      </c>
      <c r="F960" t="s">
        <v>2330</v>
      </c>
      <c r="G960" t="s">
        <v>1600</v>
      </c>
    </row>
    <row r="961" spans="1:7" x14ac:dyDescent="0.25">
      <c r="A961" t="s">
        <v>1607</v>
      </c>
      <c r="F961" t="s">
        <v>2333</v>
      </c>
      <c r="G961" t="s">
        <v>1600</v>
      </c>
    </row>
    <row r="962" spans="1:7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12647</v>
      </c>
    </row>
    <row r="971" spans="1:7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12647</v>
      </c>
    </row>
    <row r="972" spans="1:7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12647</v>
      </c>
    </row>
    <row r="973" spans="1:7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12647</v>
      </c>
    </row>
    <row r="974" spans="1:7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12647</v>
      </c>
    </row>
    <row r="975" spans="1:7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12647</v>
      </c>
    </row>
    <row r="976" spans="1:7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12647</v>
      </c>
    </row>
    <row r="977" spans="1:7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12647</v>
      </c>
    </row>
    <row r="978" spans="1:7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12647</v>
      </c>
    </row>
    <row r="979" spans="1:7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12647</v>
      </c>
    </row>
    <row r="980" spans="1:7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12647</v>
      </c>
    </row>
    <row r="981" spans="1:7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12647</v>
      </c>
    </row>
    <row r="982" spans="1:7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12647</v>
      </c>
    </row>
    <row r="983" spans="1:7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12647</v>
      </c>
    </row>
    <row r="984" spans="1:7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12647</v>
      </c>
    </row>
    <row r="985" spans="1:7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12647</v>
      </c>
    </row>
    <row r="986" spans="1:7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12647</v>
      </c>
    </row>
    <row r="987" spans="1:7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12647</v>
      </c>
    </row>
    <row r="1000" spans="1:7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12647</v>
      </c>
    </row>
    <row r="1001" spans="1:7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12647</v>
      </c>
    </row>
    <row r="1002" spans="1:7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12647</v>
      </c>
    </row>
    <row r="1003" spans="1:7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12647</v>
      </c>
    </row>
    <row r="1004" spans="1:7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12647</v>
      </c>
    </row>
    <row r="1005" spans="1:7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12647</v>
      </c>
    </row>
    <row r="1006" spans="1:7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12647</v>
      </c>
    </row>
    <row r="1007" spans="1:7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12647</v>
      </c>
    </row>
    <row r="1008" spans="1:7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12647</v>
      </c>
    </row>
    <row r="1009" spans="1:7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12647</v>
      </c>
    </row>
    <row r="1010" spans="1:7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12647</v>
      </c>
    </row>
    <row r="1011" spans="1:7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12647</v>
      </c>
    </row>
    <row r="1012" spans="1:7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12647</v>
      </c>
    </row>
    <row r="1013" spans="1:7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12647</v>
      </c>
    </row>
    <row r="1014" spans="1:7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12647</v>
      </c>
    </row>
    <row r="1015" spans="1:7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12647</v>
      </c>
    </row>
    <row r="1016" spans="1:7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12647</v>
      </c>
    </row>
    <row r="1017" spans="1:7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12647</v>
      </c>
    </row>
    <row r="1018" spans="1:7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12647</v>
      </c>
    </row>
    <row r="1019" spans="1:7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12647</v>
      </c>
    </row>
    <row r="1020" spans="1:7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12647</v>
      </c>
    </row>
    <row r="1021" spans="1:7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12647</v>
      </c>
    </row>
    <row r="1022" spans="1:7" x14ac:dyDescent="0.25">
      <c r="A1022" t="s">
        <v>3366</v>
      </c>
      <c r="B1022" t="s">
        <v>3358</v>
      </c>
      <c r="F1022" t="s">
        <v>2620</v>
      </c>
      <c r="G1022" t="s">
        <v>12647</v>
      </c>
    </row>
    <row r="1023" spans="1:7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12647</v>
      </c>
    </row>
    <row r="1024" spans="1:7" x14ac:dyDescent="0.25">
      <c r="A1024" t="s">
        <v>4</v>
      </c>
      <c r="B1024" t="s">
        <v>8</v>
      </c>
      <c r="F1024" t="s">
        <v>2624</v>
      </c>
      <c r="G1024" t="s">
        <v>11076</v>
      </c>
    </row>
    <row r="1025" spans="1:7" x14ac:dyDescent="0.25">
      <c r="A1025" t="s">
        <v>4</v>
      </c>
      <c r="B1025" t="s">
        <v>8</v>
      </c>
      <c r="F1025" t="s">
        <v>2626</v>
      </c>
      <c r="G1025" t="s">
        <v>11076</v>
      </c>
    </row>
    <row r="1026" spans="1:7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11076</v>
      </c>
    </row>
    <row r="1027" spans="1:7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11076</v>
      </c>
    </row>
    <row r="1028" spans="1:7" x14ac:dyDescent="0.25">
      <c r="A1028" t="s">
        <v>4</v>
      </c>
      <c r="B1028" t="s">
        <v>8</v>
      </c>
      <c r="F1028" t="s">
        <v>2632</v>
      </c>
      <c r="G1028" t="s">
        <v>11076</v>
      </c>
    </row>
    <row r="1029" spans="1:7" x14ac:dyDescent="0.25">
      <c r="A1029" t="s">
        <v>1607</v>
      </c>
      <c r="F1029" t="s">
        <v>2634</v>
      </c>
      <c r="G1029" t="s">
        <v>11076</v>
      </c>
    </row>
    <row r="1030" spans="1:7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11076</v>
      </c>
    </row>
    <row r="1031" spans="1:7" x14ac:dyDescent="0.25">
      <c r="A1031" t="s">
        <v>4</v>
      </c>
      <c r="B1031" t="s">
        <v>8</v>
      </c>
      <c r="F1031" t="s">
        <v>2638</v>
      </c>
      <c r="G1031" t="s">
        <v>11076</v>
      </c>
    </row>
    <row r="1032" spans="1:7" x14ac:dyDescent="0.25">
      <c r="A1032" t="s">
        <v>4</v>
      </c>
      <c r="B1032" t="s">
        <v>8</v>
      </c>
      <c r="F1032" t="s">
        <v>2640</v>
      </c>
      <c r="G1032" t="s">
        <v>11076</v>
      </c>
    </row>
    <row r="1033" spans="1:7" x14ac:dyDescent="0.25">
      <c r="A1033" t="s">
        <v>1607</v>
      </c>
      <c r="F1033" t="s">
        <v>2642</v>
      </c>
      <c r="G1033" t="s">
        <v>11076</v>
      </c>
    </row>
    <row r="1034" spans="1:7" x14ac:dyDescent="0.25">
      <c r="A1034" t="s">
        <v>4</v>
      </c>
      <c r="B1034" t="s">
        <v>8</v>
      </c>
      <c r="F1034" t="s">
        <v>2644</v>
      </c>
      <c r="G1034" t="s">
        <v>11076</v>
      </c>
    </row>
    <row r="1035" spans="1:7" x14ac:dyDescent="0.25">
      <c r="A1035" t="s">
        <v>1607</v>
      </c>
      <c r="F1035" t="s">
        <v>2646</v>
      </c>
      <c r="G1035" t="s">
        <v>11076</v>
      </c>
    </row>
    <row r="1036" spans="1:7" x14ac:dyDescent="0.25">
      <c r="A1036" t="s">
        <v>4</v>
      </c>
      <c r="B1036" t="s">
        <v>8</v>
      </c>
      <c r="F1036" t="s">
        <v>2648</v>
      </c>
      <c r="G1036" t="s">
        <v>11076</v>
      </c>
    </row>
    <row r="1037" spans="1:7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11076</v>
      </c>
    </row>
    <row r="1038" spans="1:7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11076</v>
      </c>
    </row>
    <row r="1039" spans="1:7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x14ac:dyDescent="0.25">
      <c r="A1080" t="s">
        <v>3377</v>
      </c>
      <c r="F1080" t="s">
        <v>3378</v>
      </c>
      <c r="G1080" t="s">
        <v>897</v>
      </c>
    </row>
    <row r="1081" spans="1:7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x14ac:dyDescent="0.25">
      <c r="A1162" t="s">
        <v>1607</v>
      </c>
      <c r="B1162" t="s">
        <v>8</v>
      </c>
      <c r="F1162" t="s">
        <v>2992</v>
      </c>
      <c r="G1162" t="s">
        <v>12648</v>
      </c>
    </row>
    <row r="1163" spans="1:7" x14ac:dyDescent="0.25">
      <c r="A1163" t="s">
        <v>1607</v>
      </c>
      <c r="B1163" t="s">
        <v>8</v>
      </c>
      <c r="F1163" t="s">
        <v>2994</v>
      </c>
      <c r="G1163" t="s">
        <v>12648</v>
      </c>
    </row>
    <row r="1164" spans="1:7" x14ac:dyDescent="0.25">
      <c r="A1164" t="s">
        <v>1607</v>
      </c>
      <c r="B1164" t="s">
        <v>8</v>
      </c>
      <c r="F1164" t="s">
        <v>2996</v>
      </c>
      <c r="G1164" t="s">
        <v>12648</v>
      </c>
    </row>
    <row r="1165" spans="1:7" x14ac:dyDescent="0.25">
      <c r="A1165" t="s">
        <v>1607</v>
      </c>
      <c r="B1165" t="s">
        <v>8</v>
      </c>
      <c r="F1165" t="s">
        <v>2998</v>
      </c>
      <c r="G1165" t="s">
        <v>12648</v>
      </c>
    </row>
    <row r="1166" spans="1:7" x14ac:dyDescent="0.25">
      <c r="A1166" t="s">
        <v>1607</v>
      </c>
      <c r="B1166" t="s">
        <v>8</v>
      </c>
      <c r="F1166" t="s">
        <v>3000</v>
      </c>
      <c r="G1166" t="s">
        <v>12648</v>
      </c>
    </row>
    <row r="1167" spans="1:7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12648</v>
      </c>
    </row>
    <row r="1168" spans="1:7" x14ac:dyDescent="0.25">
      <c r="A1168" t="s">
        <v>4</v>
      </c>
      <c r="B1168" t="s">
        <v>9</v>
      </c>
      <c r="F1168" t="s">
        <v>3004</v>
      </c>
      <c r="G1168" t="s">
        <v>12649</v>
      </c>
    </row>
    <row r="1169" spans="1:7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12649</v>
      </c>
    </row>
    <row r="1170" spans="1:7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12649</v>
      </c>
    </row>
    <row r="1171" spans="1:7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12649</v>
      </c>
    </row>
    <row r="1172" spans="1:7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12649</v>
      </c>
    </row>
    <row r="1173" spans="1:7" x14ac:dyDescent="0.25">
      <c r="A1173" t="s">
        <v>4</v>
      </c>
      <c r="B1173" t="s">
        <v>9</v>
      </c>
      <c r="F1173" t="s">
        <v>3014</v>
      </c>
      <c r="G1173" t="s">
        <v>12649</v>
      </c>
    </row>
    <row r="1174" spans="1:7" x14ac:dyDescent="0.25">
      <c r="A1174" t="s">
        <v>1627</v>
      </c>
      <c r="B1174" t="s">
        <v>1058</v>
      </c>
      <c r="F1174" t="s">
        <v>3016</v>
      </c>
      <c r="G1174" t="s">
        <v>12649</v>
      </c>
    </row>
    <row r="1175" spans="1:7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12649</v>
      </c>
    </row>
    <row r="1176" spans="1:7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12649</v>
      </c>
    </row>
    <row r="1177" spans="1:7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12649</v>
      </c>
    </row>
    <row r="1178" spans="1:7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12649</v>
      </c>
    </row>
    <row r="1179" spans="1:7" x14ac:dyDescent="0.25">
      <c r="A1179" t="s">
        <v>4</v>
      </c>
      <c r="B1179" t="s">
        <v>9</v>
      </c>
      <c r="F1179" t="s">
        <v>3026</v>
      </c>
      <c r="G1179" t="s">
        <v>12649</v>
      </c>
    </row>
    <row r="1180" spans="1:7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12649</v>
      </c>
    </row>
    <row r="1181" spans="1:7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12649</v>
      </c>
    </row>
    <row r="1182" spans="1:7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12649</v>
      </c>
    </row>
    <row r="1183" spans="1:7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12649</v>
      </c>
    </row>
    <row r="1184" spans="1:7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12649</v>
      </c>
    </row>
    <row r="1185" spans="1:7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12649</v>
      </c>
    </row>
    <row r="1186" spans="1:7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12649</v>
      </c>
    </row>
    <row r="1187" spans="1:7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12649</v>
      </c>
    </row>
    <row r="1188" spans="1:7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12649</v>
      </c>
    </row>
    <row r="1189" spans="1:7" x14ac:dyDescent="0.25">
      <c r="A1189" t="s">
        <v>4</v>
      </c>
      <c r="B1189" t="s">
        <v>9</v>
      </c>
      <c r="F1189" t="s">
        <v>3046</v>
      </c>
      <c r="G1189" t="s">
        <v>12649</v>
      </c>
    </row>
    <row r="1190" spans="1:7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12649</v>
      </c>
    </row>
    <row r="1191" spans="1:7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12649</v>
      </c>
    </row>
    <row r="1192" spans="1:7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12649</v>
      </c>
    </row>
    <row r="1193" spans="1:7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12649</v>
      </c>
    </row>
    <row r="1194" spans="1:7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12649</v>
      </c>
    </row>
    <row r="1195" spans="1:7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12649</v>
      </c>
    </row>
    <row r="1196" spans="1:7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12649</v>
      </c>
    </row>
    <row r="1197" spans="1:7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12649</v>
      </c>
    </row>
    <row r="1198" spans="1:7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12649</v>
      </c>
    </row>
    <row r="1199" spans="1:7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12649</v>
      </c>
    </row>
    <row r="1200" spans="1:7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12649</v>
      </c>
    </row>
    <row r="1201" spans="1:7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12649</v>
      </c>
    </row>
    <row r="1202" spans="1:7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12649</v>
      </c>
    </row>
    <row r="1203" spans="1:7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12649</v>
      </c>
    </row>
    <row r="1204" spans="1:7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12649</v>
      </c>
    </row>
    <row r="1205" spans="1:7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12649</v>
      </c>
    </row>
    <row r="1206" spans="1:7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12649</v>
      </c>
    </row>
    <row r="1207" spans="1:7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12649</v>
      </c>
    </row>
    <row r="1208" spans="1:7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12649</v>
      </c>
    </row>
    <row r="1209" spans="1:7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12649</v>
      </c>
    </row>
    <row r="1210" spans="1:7" x14ac:dyDescent="0.25">
      <c r="A1210" t="s">
        <v>4</v>
      </c>
      <c r="B1210" t="s">
        <v>9</v>
      </c>
      <c r="F1210" t="s">
        <v>3088</v>
      </c>
      <c r="G1210" t="s">
        <v>12649</v>
      </c>
    </row>
    <row r="1211" spans="1:7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12649</v>
      </c>
    </row>
    <row r="1212" spans="1:7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12650</v>
      </c>
    </row>
    <row r="1213" spans="1:7" x14ac:dyDescent="0.25">
      <c r="A1213" t="s">
        <v>3390</v>
      </c>
      <c r="B1213" t="s">
        <v>86</v>
      </c>
      <c r="F1213" t="s">
        <v>3094</v>
      </c>
      <c r="G1213" t="s">
        <v>12650</v>
      </c>
    </row>
    <row r="1214" spans="1:7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12650</v>
      </c>
    </row>
    <row r="1215" spans="1:7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12650</v>
      </c>
    </row>
    <row r="1216" spans="1:7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12650</v>
      </c>
    </row>
    <row r="1217" spans="1:7" x14ac:dyDescent="0.25">
      <c r="A1217" t="s">
        <v>587</v>
      </c>
      <c r="B1217" t="s">
        <v>70</v>
      </c>
      <c r="F1217" t="s">
        <v>3102</v>
      </c>
      <c r="G1217" t="s">
        <v>12650</v>
      </c>
    </row>
    <row r="1218" spans="1:7" x14ac:dyDescent="0.25">
      <c r="A1218" t="s">
        <v>4</v>
      </c>
      <c r="B1218" t="s">
        <v>8</v>
      </c>
      <c r="F1218" t="s">
        <v>3104</v>
      </c>
      <c r="G1218" t="s">
        <v>12650</v>
      </c>
    </row>
    <row r="1219" spans="1:7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12650</v>
      </c>
    </row>
    <row r="1220" spans="1:7" x14ac:dyDescent="0.25">
      <c r="A1220" t="s">
        <v>4</v>
      </c>
      <c r="B1220" t="s">
        <v>8</v>
      </c>
      <c r="F1220" t="s">
        <v>3108</v>
      </c>
      <c r="G1220" t="s">
        <v>12650</v>
      </c>
    </row>
    <row r="1221" spans="1:7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12650</v>
      </c>
    </row>
    <row r="1222" spans="1:7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12650</v>
      </c>
    </row>
    <row r="1223" spans="1:7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12650</v>
      </c>
    </row>
    <row r="1224" spans="1:7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12650</v>
      </c>
    </row>
    <row r="1225" spans="1:7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12650</v>
      </c>
    </row>
    <row r="1226" spans="1:7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12650</v>
      </c>
    </row>
    <row r="1227" spans="1:7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12650</v>
      </c>
    </row>
    <row r="1228" spans="1:7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12650</v>
      </c>
    </row>
    <row r="1229" spans="1:7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12650</v>
      </c>
    </row>
    <row r="1230" spans="1:7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12650</v>
      </c>
    </row>
    <row r="1231" spans="1:7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12650</v>
      </c>
    </row>
    <row r="1232" spans="1:7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12650</v>
      </c>
    </row>
    <row r="1233" spans="1:7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12650</v>
      </c>
    </row>
    <row r="1234" spans="1:7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12650</v>
      </c>
    </row>
    <row r="1235" spans="1:7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12650</v>
      </c>
    </row>
    <row r="1236" spans="1:7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12650</v>
      </c>
    </row>
    <row r="1237" spans="1:7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12650</v>
      </c>
    </row>
    <row r="1238" spans="1:7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12650</v>
      </c>
    </row>
    <row r="1239" spans="1:7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12650</v>
      </c>
    </row>
    <row r="1240" spans="1:7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12650</v>
      </c>
    </row>
    <row r="1241" spans="1:7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12650</v>
      </c>
    </row>
    <row r="1242" spans="1:7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12650</v>
      </c>
    </row>
    <row r="1243" spans="1:7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12650</v>
      </c>
    </row>
    <row r="1244" spans="1:7" x14ac:dyDescent="0.25">
      <c r="A1244" t="s">
        <v>1273</v>
      </c>
      <c r="B1244" t="s">
        <v>3357</v>
      </c>
      <c r="F1244" t="s">
        <v>3164</v>
      </c>
      <c r="G1244" t="s">
        <v>12650</v>
      </c>
    </row>
    <row r="1245" spans="1:7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12650</v>
      </c>
    </row>
    <row r="1246" spans="1:7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12650</v>
      </c>
    </row>
    <row r="1247" spans="1:7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12650</v>
      </c>
    </row>
    <row r="1248" spans="1:7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12650</v>
      </c>
    </row>
    <row r="1249" spans="1:7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12650</v>
      </c>
    </row>
    <row r="1250" spans="1:7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12650</v>
      </c>
    </row>
    <row r="1251" spans="1:7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12650</v>
      </c>
    </row>
    <row r="1252" spans="1:7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12650</v>
      </c>
    </row>
    <row r="1253" spans="1:7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12650</v>
      </c>
    </row>
    <row r="1254" spans="1:7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12650</v>
      </c>
    </row>
    <row r="1255" spans="1:7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12650</v>
      </c>
    </row>
    <row r="1256" spans="1:7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12650</v>
      </c>
    </row>
    <row r="1257" spans="1:7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12650</v>
      </c>
    </row>
    <row r="1258" spans="1:7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12650</v>
      </c>
    </row>
    <row r="1259" spans="1:7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12650</v>
      </c>
    </row>
    <row r="1260" spans="1:7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12650</v>
      </c>
    </row>
    <row r="1261" spans="1:7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12650</v>
      </c>
    </row>
    <row r="1262" spans="1:7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12650</v>
      </c>
    </row>
    <row r="1263" spans="1:7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12650</v>
      </c>
    </row>
    <row r="1264" spans="1:7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12650</v>
      </c>
    </row>
    <row r="1265" spans="1:7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12650</v>
      </c>
    </row>
    <row r="1266" spans="1:7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12650</v>
      </c>
    </row>
    <row r="1267" spans="1:7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12650</v>
      </c>
    </row>
    <row r="1268" spans="1:7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12650</v>
      </c>
    </row>
    <row r="1269" spans="1:7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12650</v>
      </c>
    </row>
    <row r="1270" spans="1:7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12650</v>
      </c>
    </row>
    <row r="1271" spans="1:7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12650</v>
      </c>
    </row>
    <row r="1272" spans="1:7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12650</v>
      </c>
    </row>
    <row r="1273" spans="1:7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12650</v>
      </c>
    </row>
    <row r="1274" spans="1:7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12650</v>
      </c>
    </row>
    <row r="1275" spans="1:7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12650</v>
      </c>
    </row>
    <row r="1276" spans="1:7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12650</v>
      </c>
    </row>
    <row r="1277" spans="1:7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12650</v>
      </c>
    </row>
    <row r="1278" spans="1:7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12650</v>
      </c>
    </row>
    <row r="1279" spans="1:7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12650</v>
      </c>
    </row>
    <row r="1280" spans="1:7" x14ac:dyDescent="0.25">
      <c r="A1280" t="s">
        <v>4</v>
      </c>
      <c r="B1280" t="s">
        <v>8</v>
      </c>
      <c r="F1280" t="s">
        <v>3250</v>
      </c>
      <c r="G1280" t="s">
        <v>12651</v>
      </c>
    </row>
    <row r="1281" spans="1:7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12651</v>
      </c>
    </row>
    <row r="1282" spans="1:7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12651</v>
      </c>
    </row>
    <row r="1283" spans="1:7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12651</v>
      </c>
    </row>
    <row r="1284" spans="1:7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12651</v>
      </c>
    </row>
    <row r="1285" spans="1:7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12651</v>
      </c>
    </row>
    <row r="1286" spans="1:7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12651</v>
      </c>
    </row>
    <row r="1287" spans="1:7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12651</v>
      </c>
    </row>
    <row r="1288" spans="1:7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12651</v>
      </c>
    </row>
    <row r="1289" spans="1:7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12651</v>
      </c>
    </row>
    <row r="1290" spans="1:7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12651</v>
      </c>
    </row>
    <row r="1291" spans="1:7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12651</v>
      </c>
    </row>
    <row r="1292" spans="1:7" x14ac:dyDescent="0.25">
      <c r="A1292" t="s">
        <v>4</v>
      </c>
      <c r="B1292" t="s">
        <v>8</v>
      </c>
      <c r="F1292" t="s">
        <v>3278</v>
      </c>
      <c r="G1292" t="s">
        <v>12651</v>
      </c>
    </row>
    <row r="1293" spans="1:7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12651</v>
      </c>
    </row>
    <row r="1294" spans="1:7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12651</v>
      </c>
    </row>
    <row r="1295" spans="1:7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12651</v>
      </c>
    </row>
    <row r="1296" spans="1:7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12651</v>
      </c>
    </row>
    <row r="1297" spans="1:7" x14ac:dyDescent="0.25">
      <c r="A1297" t="s">
        <v>4</v>
      </c>
      <c r="B1297" t="s">
        <v>8</v>
      </c>
      <c r="F1297" t="s">
        <v>3288</v>
      </c>
      <c r="G1297" t="s">
        <v>12651</v>
      </c>
    </row>
    <row r="1298" spans="1:7" x14ac:dyDescent="0.25">
      <c r="A1298" t="s">
        <v>4</v>
      </c>
      <c r="B1298" t="s">
        <v>8</v>
      </c>
      <c r="F1298" t="s">
        <v>3290</v>
      </c>
      <c r="G1298" t="s">
        <v>12651</v>
      </c>
    </row>
    <row r="1299" spans="1:7" x14ac:dyDescent="0.25">
      <c r="A1299" t="s">
        <v>7</v>
      </c>
      <c r="F1299" t="s">
        <v>3292</v>
      </c>
      <c r="G1299" t="s">
        <v>1537</v>
      </c>
    </row>
    <row r="1300" spans="1:7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x14ac:dyDescent="0.25">
      <c r="A1312" t="s">
        <v>1617</v>
      </c>
      <c r="F1312" t="s">
        <v>3331</v>
      </c>
      <c r="G1312" t="s">
        <v>1600</v>
      </c>
    </row>
    <row r="1313" spans="1:7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x14ac:dyDescent="0.25">
      <c r="A1318" t="s">
        <v>3377</v>
      </c>
      <c r="F1318" t="s">
        <v>3352</v>
      </c>
      <c r="G1318" t="s">
        <v>1600</v>
      </c>
    </row>
    <row r="1319" spans="1:7" x14ac:dyDescent="0.25">
      <c r="A1319" t="s">
        <v>1607</v>
      </c>
      <c r="F1319" t="s">
        <v>3349</v>
      </c>
      <c r="G1319" t="s">
        <v>1600</v>
      </c>
    </row>
    <row r="1320" spans="1:7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x14ac:dyDescent="0.25">
      <c r="A1322" t="s">
        <v>1607</v>
      </c>
      <c r="F1322" t="s">
        <v>3421</v>
      </c>
      <c r="G1322" t="s">
        <v>12647</v>
      </c>
    </row>
    <row r="1323" spans="1:7" x14ac:dyDescent="0.25">
      <c r="A1323" t="s">
        <v>1607</v>
      </c>
      <c r="F1323" t="s">
        <v>3423</v>
      </c>
      <c r="G1323" t="s">
        <v>11076</v>
      </c>
    </row>
    <row r="1324" spans="1:7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x14ac:dyDescent="0.25">
      <c r="A1326" t="s">
        <v>1607</v>
      </c>
      <c r="F1326" t="s">
        <v>3431</v>
      </c>
      <c r="G1326" t="s">
        <v>895</v>
      </c>
    </row>
    <row r="1327" spans="1:7" x14ac:dyDescent="0.25">
      <c r="A1327" t="s">
        <v>1607</v>
      </c>
      <c r="F1327" t="s">
        <v>3434</v>
      </c>
      <c r="G1327" t="s">
        <v>896</v>
      </c>
    </row>
    <row r="1328" spans="1:7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x14ac:dyDescent="0.25">
      <c r="A1329" t="s">
        <v>1607</v>
      </c>
      <c r="B1329" t="s">
        <v>8</v>
      </c>
      <c r="F1329" t="s">
        <v>3440</v>
      </c>
      <c r="G1329" t="s">
        <v>12648</v>
      </c>
    </row>
    <row r="1330" spans="1:7" x14ac:dyDescent="0.25">
      <c r="A1330" t="s">
        <v>1607</v>
      </c>
      <c r="F1330" t="s">
        <v>3442</v>
      </c>
      <c r="G1330" t="s">
        <v>12649</v>
      </c>
    </row>
    <row r="1331" spans="1:7" x14ac:dyDescent="0.25">
      <c r="A1331" t="s">
        <v>1607</v>
      </c>
      <c r="F1331" t="s">
        <v>3444</v>
      </c>
      <c r="G1331" t="s">
        <v>12650</v>
      </c>
    </row>
    <row r="1332" spans="1:7" x14ac:dyDescent="0.25">
      <c r="A1332" t="s">
        <v>1607</v>
      </c>
      <c r="F1332" t="s">
        <v>3446</v>
      </c>
      <c r="G1332" t="s">
        <v>12651</v>
      </c>
    </row>
    <row r="1333" spans="1:7" x14ac:dyDescent="0.25">
      <c r="A1333" t="s">
        <v>1607</v>
      </c>
      <c r="F1333" t="s">
        <v>3448</v>
      </c>
      <c r="G1333" t="s">
        <v>1537</v>
      </c>
    </row>
    <row r="1334" spans="1:7" x14ac:dyDescent="0.25">
      <c r="A1334" t="s">
        <v>3455</v>
      </c>
      <c r="F1334" t="s">
        <v>3451</v>
      </c>
      <c r="G1334" t="s">
        <v>1600</v>
      </c>
    </row>
    <row r="1335" spans="1:7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x14ac:dyDescent="0.25">
      <c r="A1341" t="s">
        <v>1607</v>
      </c>
      <c r="F1341" t="s">
        <v>3537</v>
      </c>
      <c r="G1341" t="s">
        <v>91</v>
      </c>
    </row>
    <row r="1342" spans="1:7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x14ac:dyDescent="0.25">
      <c r="A1350" t="s">
        <v>1607</v>
      </c>
      <c r="F1350" t="s">
        <v>3555</v>
      </c>
      <c r="G1350" t="s">
        <v>91</v>
      </c>
    </row>
    <row r="1351" spans="1:7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12647</v>
      </c>
    </row>
    <row r="1352" spans="1:7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12647</v>
      </c>
    </row>
    <row r="1353" spans="1:7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12647</v>
      </c>
    </row>
    <row r="1354" spans="1:7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12647</v>
      </c>
    </row>
    <row r="1355" spans="1:7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12647</v>
      </c>
    </row>
    <row r="1356" spans="1:7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12647</v>
      </c>
    </row>
    <row r="1357" spans="1:7" x14ac:dyDescent="0.25">
      <c r="A1357" t="s">
        <v>4</v>
      </c>
      <c r="B1357" t="s">
        <v>8</v>
      </c>
      <c r="F1357" t="s">
        <v>3469</v>
      </c>
      <c r="G1357" t="s">
        <v>12647</v>
      </c>
    </row>
    <row r="1358" spans="1:7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12647</v>
      </c>
    </row>
    <row r="1359" spans="1:7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12647</v>
      </c>
    </row>
    <row r="1360" spans="1:7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12647</v>
      </c>
    </row>
    <row r="1361" spans="1:7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12647</v>
      </c>
    </row>
    <row r="1362" spans="1:7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12647</v>
      </c>
    </row>
    <row r="1363" spans="1:7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12647</v>
      </c>
    </row>
    <row r="1364" spans="1:7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12647</v>
      </c>
    </row>
    <row r="1365" spans="1:7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12647</v>
      </c>
    </row>
    <row r="1366" spans="1:7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12647</v>
      </c>
    </row>
    <row r="1367" spans="1:7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12647</v>
      </c>
    </row>
    <row r="1368" spans="1:7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12647</v>
      </c>
    </row>
    <row r="1369" spans="1:7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12647</v>
      </c>
    </row>
    <row r="1370" spans="1:7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12647</v>
      </c>
    </row>
    <row r="1371" spans="1:7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12647</v>
      </c>
    </row>
    <row r="1372" spans="1:7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12647</v>
      </c>
    </row>
    <row r="1373" spans="1:7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12647</v>
      </c>
    </row>
    <row r="1374" spans="1:7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12647</v>
      </c>
    </row>
    <row r="1375" spans="1:7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12647</v>
      </c>
    </row>
    <row r="1376" spans="1:7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12647</v>
      </c>
    </row>
    <row r="1377" spans="1:7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12647</v>
      </c>
    </row>
    <row r="1378" spans="1:7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12647</v>
      </c>
    </row>
    <row r="1379" spans="1:7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12647</v>
      </c>
    </row>
    <row r="1380" spans="1:7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12647</v>
      </c>
    </row>
    <row r="1381" spans="1:7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12647</v>
      </c>
    </row>
    <row r="1382" spans="1:7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12647</v>
      </c>
    </row>
    <row r="1383" spans="1:7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12647</v>
      </c>
    </row>
    <row r="1384" spans="1:7" x14ac:dyDescent="0.25">
      <c r="A1384" t="s">
        <v>1607</v>
      </c>
      <c r="F1384" t="s">
        <v>3523</v>
      </c>
      <c r="G1384" t="s">
        <v>12647</v>
      </c>
    </row>
    <row r="1385" spans="1:7" x14ac:dyDescent="0.25">
      <c r="A1385" t="s">
        <v>4</v>
      </c>
      <c r="B1385" t="s">
        <v>8</v>
      </c>
      <c r="F1385" t="s">
        <v>3665</v>
      </c>
      <c r="G1385" t="s">
        <v>11076</v>
      </c>
    </row>
    <row r="1386" spans="1:7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11076</v>
      </c>
    </row>
    <row r="1387" spans="1:7" x14ac:dyDescent="0.25">
      <c r="A1387" t="s">
        <v>4</v>
      </c>
      <c r="B1387" t="s">
        <v>8</v>
      </c>
      <c r="F1387" t="s">
        <v>3669</v>
      </c>
      <c r="G1387" t="s">
        <v>11076</v>
      </c>
    </row>
    <row r="1388" spans="1:7" x14ac:dyDescent="0.25">
      <c r="A1388" t="s">
        <v>4</v>
      </c>
      <c r="B1388" t="s">
        <v>8</v>
      </c>
      <c r="F1388" t="s">
        <v>3671</v>
      </c>
      <c r="G1388" t="s">
        <v>11076</v>
      </c>
    </row>
    <row r="1389" spans="1:7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11076</v>
      </c>
    </row>
    <row r="1390" spans="1:7" x14ac:dyDescent="0.25">
      <c r="A1390" t="s">
        <v>4</v>
      </c>
      <c r="B1390" t="s">
        <v>8</v>
      </c>
      <c r="F1390" t="s">
        <v>3673</v>
      </c>
      <c r="G1390" t="s">
        <v>11076</v>
      </c>
    </row>
    <row r="1391" spans="1:7" x14ac:dyDescent="0.25">
      <c r="A1391" t="s">
        <v>1607</v>
      </c>
      <c r="F1391" t="s">
        <v>3675</v>
      </c>
      <c r="G1391" t="s">
        <v>11076</v>
      </c>
    </row>
    <row r="1392" spans="1:7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x14ac:dyDescent="0.25">
      <c r="A1423" t="s">
        <v>4099</v>
      </c>
      <c r="F1423" t="s">
        <v>3641</v>
      </c>
      <c r="G1423" t="s">
        <v>895</v>
      </c>
    </row>
    <row r="1424" spans="1:7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x14ac:dyDescent="0.25">
      <c r="A1430" t="s">
        <v>1607</v>
      </c>
      <c r="F1430" t="s">
        <v>3662</v>
      </c>
      <c r="G1430" t="s">
        <v>895</v>
      </c>
    </row>
    <row r="1431" spans="1:7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x14ac:dyDescent="0.25">
      <c r="A1471" t="s">
        <v>4128</v>
      </c>
      <c r="F1471" t="s">
        <v>4062</v>
      </c>
      <c r="G1471" t="s">
        <v>897</v>
      </c>
    </row>
    <row r="1472" spans="1:7" x14ac:dyDescent="0.25">
      <c r="A1472" t="s">
        <v>1607</v>
      </c>
      <c r="F1472" t="s">
        <v>4065</v>
      </c>
      <c r="G1472" t="s">
        <v>897</v>
      </c>
    </row>
    <row r="1473" spans="1:7" x14ac:dyDescent="0.25">
      <c r="A1473" t="s">
        <v>4</v>
      </c>
      <c r="B1473" t="s">
        <v>9</v>
      </c>
      <c r="F1473" t="s">
        <v>3701</v>
      </c>
      <c r="G1473" t="s">
        <v>12648</v>
      </c>
    </row>
    <row r="1474" spans="1:7" x14ac:dyDescent="0.25">
      <c r="A1474" t="s">
        <v>685</v>
      </c>
      <c r="B1474" t="s">
        <v>4129</v>
      </c>
      <c r="F1474" t="s">
        <v>3703</v>
      </c>
      <c r="G1474" t="s">
        <v>12648</v>
      </c>
    </row>
    <row r="1475" spans="1:7" x14ac:dyDescent="0.25">
      <c r="A1475" t="s">
        <v>4</v>
      </c>
      <c r="B1475" t="s">
        <v>53</v>
      </c>
      <c r="F1475" t="s">
        <v>3705</v>
      </c>
      <c r="G1475" t="s">
        <v>12648</v>
      </c>
    </row>
    <row r="1476" spans="1:7" x14ac:dyDescent="0.25">
      <c r="A1476" t="s">
        <v>1607</v>
      </c>
      <c r="B1476" t="s">
        <v>8</v>
      </c>
      <c r="F1476" t="s">
        <v>3707</v>
      </c>
      <c r="G1476" t="s">
        <v>12648</v>
      </c>
    </row>
    <row r="1477" spans="1:7" x14ac:dyDescent="0.25">
      <c r="A1477" t="s">
        <v>1607</v>
      </c>
      <c r="B1477" t="s">
        <v>8</v>
      </c>
      <c r="F1477" t="s">
        <v>3709</v>
      </c>
      <c r="G1477" t="s">
        <v>12648</v>
      </c>
    </row>
    <row r="1478" spans="1:7" x14ac:dyDescent="0.25">
      <c r="A1478" t="s">
        <v>1627</v>
      </c>
      <c r="B1478" t="s">
        <v>687</v>
      </c>
      <c r="F1478" t="s">
        <v>3711</v>
      </c>
      <c r="G1478" t="s">
        <v>12648</v>
      </c>
    </row>
    <row r="1479" spans="1:7" x14ac:dyDescent="0.25">
      <c r="A1479" t="s">
        <v>1627</v>
      </c>
      <c r="B1479" t="s">
        <v>687</v>
      </c>
      <c r="F1479" t="s">
        <v>3713</v>
      </c>
      <c r="G1479" t="s">
        <v>12648</v>
      </c>
    </row>
    <row r="1480" spans="1:7" x14ac:dyDescent="0.25">
      <c r="A1480" t="s">
        <v>1607</v>
      </c>
      <c r="B1480" t="s">
        <v>8</v>
      </c>
      <c r="F1480" t="s">
        <v>3715</v>
      </c>
      <c r="G1480" t="s">
        <v>12648</v>
      </c>
    </row>
    <row r="1481" spans="1:7" x14ac:dyDescent="0.25">
      <c r="A1481" t="s">
        <v>1607</v>
      </c>
      <c r="B1481" t="s">
        <v>8</v>
      </c>
      <c r="F1481" t="s">
        <v>3717</v>
      </c>
      <c r="G1481" t="s">
        <v>12648</v>
      </c>
    </row>
    <row r="1482" spans="1:7" x14ac:dyDescent="0.25">
      <c r="A1482" t="s">
        <v>4</v>
      </c>
      <c r="B1482" t="s">
        <v>9</v>
      </c>
      <c r="F1482" t="s">
        <v>3719</v>
      </c>
      <c r="G1482" t="s">
        <v>12649</v>
      </c>
    </row>
    <row r="1483" spans="1:7" x14ac:dyDescent="0.25">
      <c r="A1483" t="s">
        <v>4130</v>
      </c>
      <c r="B1483" t="s">
        <v>4129</v>
      </c>
      <c r="F1483" t="s">
        <v>3721</v>
      </c>
      <c r="G1483" t="s">
        <v>12649</v>
      </c>
    </row>
    <row r="1484" spans="1:7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12649</v>
      </c>
    </row>
    <row r="1485" spans="1:7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12649</v>
      </c>
    </row>
    <row r="1486" spans="1:7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12649</v>
      </c>
    </row>
    <row r="1487" spans="1:7" x14ac:dyDescent="0.25">
      <c r="A1487" t="s">
        <v>4</v>
      </c>
      <c r="B1487" t="s">
        <v>9</v>
      </c>
      <c r="F1487" t="s">
        <v>3729</v>
      </c>
      <c r="G1487" t="s">
        <v>12649</v>
      </c>
    </row>
    <row r="1488" spans="1:7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12649</v>
      </c>
    </row>
    <row r="1489" spans="1:7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12649</v>
      </c>
    </row>
    <row r="1490" spans="1:7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12649</v>
      </c>
    </row>
    <row r="1491" spans="1:7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12649</v>
      </c>
    </row>
    <row r="1492" spans="1:7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12649</v>
      </c>
    </row>
    <row r="1493" spans="1:7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12649</v>
      </c>
    </row>
    <row r="1494" spans="1:7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12649</v>
      </c>
    </row>
    <row r="1495" spans="1:7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12649</v>
      </c>
    </row>
    <row r="1496" spans="1:7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12649</v>
      </c>
    </row>
    <row r="1497" spans="1:7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12649</v>
      </c>
    </row>
    <row r="1498" spans="1:7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12649</v>
      </c>
    </row>
    <row r="1499" spans="1:7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12649</v>
      </c>
    </row>
    <row r="1500" spans="1:7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12649</v>
      </c>
    </row>
    <row r="1501" spans="1:7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12649</v>
      </c>
    </row>
    <row r="1502" spans="1:7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12649</v>
      </c>
    </row>
    <row r="1503" spans="1:7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12649</v>
      </c>
    </row>
    <row r="1504" spans="1:7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12649</v>
      </c>
    </row>
    <row r="1505" spans="1:7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12649</v>
      </c>
    </row>
    <row r="1506" spans="1:7" x14ac:dyDescent="0.25">
      <c r="A1506" t="s">
        <v>4</v>
      </c>
      <c r="B1506" t="s">
        <v>9</v>
      </c>
      <c r="F1506" t="s">
        <v>3767</v>
      </c>
      <c r="G1506" t="s">
        <v>12649</v>
      </c>
    </row>
    <row r="1507" spans="1:7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12649</v>
      </c>
    </row>
    <row r="1508" spans="1:7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12649</v>
      </c>
    </row>
    <row r="1509" spans="1:7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12649</v>
      </c>
    </row>
    <row r="1510" spans="1:7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12649</v>
      </c>
    </row>
    <row r="1511" spans="1:7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12649</v>
      </c>
    </row>
    <row r="1512" spans="1:7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12649</v>
      </c>
    </row>
    <row r="1513" spans="1:7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12649</v>
      </c>
    </row>
    <row r="1514" spans="1:7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12649</v>
      </c>
    </row>
    <row r="1515" spans="1:7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12649</v>
      </c>
    </row>
    <row r="1516" spans="1:7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12649</v>
      </c>
    </row>
    <row r="1517" spans="1:7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12649</v>
      </c>
    </row>
    <row r="1518" spans="1:7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12649</v>
      </c>
    </row>
    <row r="1519" spans="1:7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12649</v>
      </c>
    </row>
    <row r="1520" spans="1:7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12649</v>
      </c>
    </row>
    <row r="1521" spans="1:7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12649</v>
      </c>
    </row>
    <row r="1522" spans="1:7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12649</v>
      </c>
    </row>
    <row r="1523" spans="1:7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12649</v>
      </c>
    </row>
    <row r="1524" spans="1:7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12649</v>
      </c>
    </row>
    <row r="1525" spans="1:7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12649</v>
      </c>
    </row>
    <row r="1526" spans="1:7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12649</v>
      </c>
    </row>
    <row r="1527" spans="1:7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12649</v>
      </c>
    </row>
    <row r="1528" spans="1:7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12649</v>
      </c>
    </row>
    <row r="1529" spans="1:7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12649</v>
      </c>
    </row>
    <row r="1530" spans="1:7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12649</v>
      </c>
    </row>
    <row r="1531" spans="1:7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12649</v>
      </c>
    </row>
    <row r="1532" spans="1:7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12649</v>
      </c>
    </row>
    <row r="1533" spans="1:7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12649</v>
      </c>
    </row>
    <row r="1534" spans="1:7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12649</v>
      </c>
    </row>
    <row r="1535" spans="1:7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12649</v>
      </c>
    </row>
    <row r="1536" spans="1:7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12649</v>
      </c>
    </row>
    <row r="1537" spans="1:7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12649</v>
      </c>
    </row>
    <row r="1538" spans="1:7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12649</v>
      </c>
    </row>
    <row r="1539" spans="1:7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12649</v>
      </c>
    </row>
    <row r="1540" spans="1:7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12649</v>
      </c>
    </row>
    <row r="1541" spans="1:7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12649</v>
      </c>
    </row>
    <row r="1542" spans="1:7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12649</v>
      </c>
    </row>
    <row r="1543" spans="1:7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12649</v>
      </c>
    </row>
    <row r="1544" spans="1:7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12649</v>
      </c>
    </row>
    <row r="1545" spans="1:7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12649</v>
      </c>
    </row>
    <row r="1546" spans="1:7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12649</v>
      </c>
    </row>
    <row r="1547" spans="1:7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12649</v>
      </c>
    </row>
    <row r="1548" spans="1:7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12649</v>
      </c>
    </row>
    <row r="1549" spans="1:7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12649</v>
      </c>
    </row>
    <row r="1550" spans="1:7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12650</v>
      </c>
    </row>
    <row r="1551" spans="1:7" x14ac:dyDescent="0.25">
      <c r="A1551" t="s">
        <v>4</v>
      </c>
      <c r="B1551" t="s">
        <v>8</v>
      </c>
      <c r="F1551" t="s">
        <v>3857</v>
      </c>
      <c r="G1551" t="s">
        <v>12650</v>
      </c>
    </row>
    <row r="1552" spans="1:7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12650</v>
      </c>
    </row>
    <row r="1553" spans="1:7" x14ac:dyDescent="0.25">
      <c r="A1553" t="s">
        <v>4</v>
      </c>
      <c r="B1553" t="s">
        <v>8</v>
      </c>
      <c r="F1553" t="s">
        <v>3861</v>
      </c>
      <c r="G1553" t="s">
        <v>12650</v>
      </c>
    </row>
    <row r="1554" spans="1:7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12650</v>
      </c>
    </row>
    <row r="1555" spans="1:7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12650</v>
      </c>
    </row>
    <row r="1556" spans="1:7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12650</v>
      </c>
    </row>
    <row r="1557" spans="1:7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12650</v>
      </c>
    </row>
    <row r="1558" spans="1:7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12650</v>
      </c>
    </row>
    <row r="1559" spans="1:7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12650</v>
      </c>
    </row>
    <row r="1560" spans="1:7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12650</v>
      </c>
    </row>
    <row r="1561" spans="1:7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12650</v>
      </c>
    </row>
    <row r="1562" spans="1:7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12650</v>
      </c>
    </row>
    <row r="1563" spans="1:7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12650</v>
      </c>
    </row>
    <row r="1564" spans="1:7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12650</v>
      </c>
    </row>
    <row r="1565" spans="1:7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12650</v>
      </c>
    </row>
    <row r="1566" spans="1:7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12650</v>
      </c>
    </row>
    <row r="1567" spans="1:7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12650</v>
      </c>
    </row>
    <row r="1568" spans="1:7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12650</v>
      </c>
    </row>
    <row r="1569" spans="1:7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12650</v>
      </c>
    </row>
    <row r="1570" spans="1:7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12650</v>
      </c>
    </row>
    <row r="1571" spans="1:7" x14ac:dyDescent="0.25">
      <c r="A1571" t="s">
        <v>4</v>
      </c>
      <c r="B1571" t="s">
        <v>8</v>
      </c>
      <c r="F1571" t="s">
        <v>3897</v>
      </c>
      <c r="G1571" t="s">
        <v>12650</v>
      </c>
    </row>
    <row r="1572" spans="1:7" x14ac:dyDescent="0.25">
      <c r="A1572" t="s">
        <v>1607</v>
      </c>
      <c r="B1572" t="s">
        <v>8</v>
      </c>
      <c r="F1572" t="s">
        <v>3899</v>
      </c>
      <c r="G1572" t="s">
        <v>12650</v>
      </c>
    </row>
    <row r="1573" spans="1:7" x14ac:dyDescent="0.25">
      <c r="A1573" t="s">
        <v>1607</v>
      </c>
      <c r="F1573" t="s">
        <v>3901</v>
      </c>
      <c r="G1573" t="s">
        <v>12651</v>
      </c>
    </row>
    <row r="1574" spans="1:7" x14ac:dyDescent="0.25">
      <c r="A1574" t="s">
        <v>1607</v>
      </c>
      <c r="F1574" t="s">
        <v>3903</v>
      </c>
      <c r="G1574" t="s">
        <v>12651</v>
      </c>
    </row>
    <row r="1575" spans="1:7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12651</v>
      </c>
    </row>
    <row r="1576" spans="1:7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12651</v>
      </c>
    </row>
    <row r="1577" spans="1:7" x14ac:dyDescent="0.25">
      <c r="A1577" t="s">
        <v>1607</v>
      </c>
      <c r="F1577" t="s">
        <v>3909</v>
      </c>
      <c r="G1577" t="s">
        <v>12651</v>
      </c>
    </row>
    <row r="1578" spans="1:7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12651</v>
      </c>
    </row>
    <row r="1579" spans="1:7" x14ac:dyDescent="0.25">
      <c r="A1579" t="s">
        <v>1607</v>
      </c>
      <c r="F1579" t="s">
        <v>3913</v>
      </c>
      <c r="G1579" t="s">
        <v>12651</v>
      </c>
    </row>
    <row r="1580" spans="1:7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x14ac:dyDescent="0.25">
      <c r="A1600" t="s">
        <v>1617</v>
      </c>
      <c r="F1600" t="s">
        <v>3975</v>
      </c>
      <c r="G1600" t="s">
        <v>1600</v>
      </c>
    </row>
    <row r="1601" spans="1:7" x14ac:dyDescent="0.25">
      <c r="A1601" t="s">
        <v>1617</v>
      </c>
      <c r="F1601" t="s">
        <v>3978</v>
      </c>
      <c r="G1601" t="s">
        <v>1600</v>
      </c>
    </row>
    <row r="1602" spans="1:7" x14ac:dyDescent="0.25">
      <c r="A1602" t="s">
        <v>1617</v>
      </c>
      <c r="F1602" t="s">
        <v>3981</v>
      </c>
      <c r="G1602" t="s">
        <v>1600</v>
      </c>
    </row>
    <row r="1603" spans="1:7" x14ac:dyDescent="0.25">
      <c r="A1603" t="s">
        <v>1617</v>
      </c>
      <c r="F1603" t="s">
        <v>3984</v>
      </c>
      <c r="G1603" t="s">
        <v>1600</v>
      </c>
    </row>
    <row r="1604" spans="1:7" x14ac:dyDescent="0.25">
      <c r="A1604" t="s">
        <v>1617</v>
      </c>
      <c r="F1604" t="s">
        <v>3987</v>
      </c>
      <c r="G1604" t="s">
        <v>1600</v>
      </c>
    </row>
    <row r="1605" spans="1:7" x14ac:dyDescent="0.25">
      <c r="A1605" t="s">
        <v>1617</v>
      </c>
      <c r="F1605" t="s">
        <v>3990</v>
      </c>
      <c r="G1605" t="s">
        <v>1600</v>
      </c>
    </row>
    <row r="1606" spans="1:7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x14ac:dyDescent="0.25">
      <c r="A1608" t="s">
        <v>1607</v>
      </c>
      <c r="F1608" t="s">
        <v>4185</v>
      </c>
      <c r="G1608" t="s">
        <v>12647</v>
      </c>
    </row>
    <row r="1609" spans="1:7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11076</v>
      </c>
    </row>
    <row r="1610" spans="1:7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x14ac:dyDescent="0.25">
      <c r="A1621" t="s">
        <v>1607</v>
      </c>
      <c r="F1621" t="s">
        <v>4211</v>
      </c>
      <c r="G1621" t="s">
        <v>897</v>
      </c>
    </row>
    <row r="1622" spans="1:7" x14ac:dyDescent="0.25">
      <c r="A1622" t="s">
        <v>1607</v>
      </c>
      <c r="B1622" t="s">
        <v>8</v>
      </c>
      <c r="F1622" t="s">
        <v>4171</v>
      </c>
      <c r="G1622" t="s">
        <v>12648</v>
      </c>
    </row>
    <row r="1623" spans="1:7" x14ac:dyDescent="0.25">
      <c r="A1623" t="s">
        <v>4</v>
      </c>
      <c r="B1623" t="s">
        <v>9</v>
      </c>
      <c r="F1623" t="s">
        <v>4214</v>
      </c>
      <c r="G1623" t="s">
        <v>12649</v>
      </c>
    </row>
    <row r="1624" spans="1:7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12649</v>
      </c>
    </row>
    <row r="1625" spans="1:7" x14ac:dyDescent="0.25">
      <c r="A1625" t="s">
        <v>1627</v>
      </c>
      <c r="B1625" t="s">
        <v>1058</v>
      </c>
      <c r="F1625" t="s">
        <v>4218</v>
      </c>
      <c r="G1625" t="s">
        <v>12649</v>
      </c>
    </row>
    <row r="1626" spans="1:7" x14ac:dyDescent="0.25">
      <c r="A1626" t="s">
        <v>1627</v>
      </c>
      <c r="B1626" t="s">
        <v>1058</v>
      </c>
      <c r="F1626" t="s">
        <v>4220</v>
      </c>
      <c r="G1626" t="s">
        <v>12649</v>
      </c>
    </row>
    <row r="1627" spans="1:7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12649</v>
      </c>
    </row>
    <row r="1628" spans="1:7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12649</v>
      </c>
    </row>
    <row r="1629" spans="1:7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12649</v>
      </c>
    </row>
    <row r="1630" spans="1:7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12649</v>
      </c>
    </row>
    <row r="1631" spans="1:7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12649</v>
      </c>
    </row>
    <row r="1632" spans="1:7" x14ac:dyDescent="0.25">
      <c r="A1632" t="s">
        <v>4</v>
      </c>
      <c r="B1632" t="s">
        <v>8</v>
      </c>
      <c r="F1632" t="s">
        <v>4173</v>
      </c>
      <c r="G1632" t="s">
        <v>12650</v>
      </c>
    </row>
    <row r="1633" spans="1:7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12650</v>
      </c>
    </row>
    <row r="1634" spans="1:7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12650</v>
      </c>
    </row>
    <row r="1635" spans="1:7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12650</v>
      </c>
    </row>
    <row r="1636" spans="1:7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12650</v>
      </c>
    </row>
    <row r="1637" spans="1:7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12651</v>
      </c>
    </row>
    <row r="1638" spans="1:7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12651</v>
      </c>
    </row>
    <row r="1639" spans="1:7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12651</v>
      </c>
    </row>
    <row r="1640" spans="1:7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12651</v>
      </c>
    </row>
    <row r="1641" spans="1:7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12651</v>
      </c>
    </row>
    <row r="1642" spans="1:7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12651</v>
      </c>
    </row>
    <row r="1643" spans="1:7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12650</v>
      </c>
    </row>
    <row r="1649" spans="1:7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12650</v>
      </c>
    </row>
    <row r="1650" spans="1:7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12650</v>
      </c>
    </row>
    <row r="1651" spans="1:7" x14ac:dyDescent="0.25">
      <c r="A1651" t="s">
        <v>4</v>
      </c>
      <c r="B1651" t="s">
        <v>8</v>
      </c>
      <c r="F1651" t="s">
        <v>4332</v>
      </c>
      <c r="G1651" t="s">
        <v>12650</v>
      </c>
    </row>
    <row r="1652" spans="1:7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12650</v>
      </c>
    </row>
    <row r="1653" spans="1:7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12650</v>
      </c>
    </row>
    <row r="1654" spans="1:7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12650</v>
      </c>
    </row>
    <row r="1655" spans="1:7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12650</v>
      </c>
    </row>
    <row r="1656" spans="1:7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12650</v>
      </c>
    </row>
    <row r="1657" spans="1:7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12650</v>
      </c>
    </row>
    <row r="1658" spans="1:7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12650</v>
      </c>
    </row>
    <row r="1659" spans="1:7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12650</v>
      </c>
    </row>
    <row r="1660" spans="1:7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12650</v>
      </c>
    </row>
    <row r="1661" spans="1:7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12650</v>
      </c>
    </row>
    <row r="1662" spans="1:7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12650</v>
      </c>
    </row>
    <row r="1663" spans="1:7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12650</v>
      </c>
    </row>
    <row r="1664" spans="1:7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12650</v>
      </c>
    </row>
    <row r="1665" spans="1:7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12650</v>
      </c>
    </row>
    <row r="1666" spans="1:7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12650</v>
      </c>
    </row>
    <row r="1667" spans="1:7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12650</v>
      </c>
    </row>
    <row r="1668" spans="1:7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12650</v>
      </c>
    </row>
    <row r="1669" spans="1:7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12650</v>
      </c>
    </row>
    <row r="1670" spans="1:7" x14ac:dyDescent="0.25">
      <c r="A1670" t="s">
        <v>4</v>
      </c>
      <c r="B1670" t="s">
        <v>8</v>
      </c>
      <c r="F1670" t="s">
        <v>4369</v>
      </c>
      <c r="G1670" t="s">
        <v>12650</v>
      </c>
    </row>
    <row r="1671" spans="1:7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12647</v>
      </c>
    </row>
    <row r="1672" spans="1:7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12647</v>
      </c>
    </row>
    <row r="1673" spans="1:7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12647</v>
      </c>
    </row>
    <row r="1674" spans="1:7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12647</v>
      </c>
    </row>
    <row r="1675" spans="1:7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12647</v>
      </c>
    </row>
    <row r="1676" spans="1:7" x14ac:dyDescent="0.25">
      <c r="A1676" t="s">
        <v>4</v>
      </c>
      <c r="B1676" t="s">
        <v>8</v>
      </c>
      <c r="F1676" t="s">
        <v>4260</v>
      </c>
      <c r="G1676" t="s">
        <v>12647</v>
      </c>
    </row>
    <row r="1677" spans="1:7" x14ac:dyDescent="0.25">
      <c r="A1677" t="s">
        <v>4</v>
      </c>
      <c r="B1677" t="s">
        <v>8</v>
      </c>
      <c r="F1677" t="s">
        <v>4248</v>
      </c>
      <c r="G1677" t="s">
        <v>11076</v>
      </c>
    </row>
    <row r="1678" spans="1:7" x14ac:dyDescent="0.25">
      <c r="A1678" t="s">
        <v>1607</v>
      </c>
      <c r="F1678" t="s">
        <v>4250</v>
      </c>
      <c r="G1678" t="s">
        <v>11076</v>
      </c>
    </row>
    <row r="1679" spans="1:7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x14ac:dyDescent="0.25">
      <c r="A1687" t="s">
        <v>1607</v>
      </c>
      <c r="B1687" t="s">
        <v>8</v>
      </c>
      <c r="F1687" t="s">
        <v>4286</v>
      </c>
      <c r="G1687" t="s">
        <v>12648</v>
      </c>
    </row>
    <row r="1688" spans="1:7" x14ac:dyDescent="0.25">
      <c r="A1688" t="s">
        <v>4</v>
      </c>
      <c r="B1688" t="s">
        <v>9</v>
      </c>
      <c r="F1688" t="s">
        <v>4288</v>
      </c>
      <c r="G1688" t="s">
        <v>12649</v>
      </c>
    </row>
    <row r="1689" spans="1:7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12649</v>
      </c>
    </row>
    <row r="1690" spans="1:7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12649</v>
      </c>
    </row>
    <row r="1691" spans="1:7" x14ac:dyDescent="0.25">
      <c r="A1691" t="s">
        <v>4130</v>
      </c>
      <c r="F1691" t="s">
        <v>4294</v>
      </c>
      <c r="G1691" t="s">
        <v>12649</v>
      </c>
    </row>
    <row r="1692" spans="1:7" x14ac:dyDescent="0.25">
      <c r="A1692" t="s">
        <v>4</v>
      </c>
      <c r="B1692" t="s">
        <v>53</v>
      </c>
      <c r="F1692" t="s">
        <v>4296</v>
      </c>
      <c r="G1692" t="s">
        <v>12649</v>
      </c>
    </row>
    <row r="1693" spans="1:7" x14ac:dyDescent="0.25">
      <c r="A1693" t="s">
        <v>884</v>
      </c>
      <c r="B1693" t="s">
        <v>53</v>
      </c>
      <c r="F1693" t="s">
        <v>4298</v>
      </c>
      <c r="G1693" t="s">
        <v>12649</v>
      </c>
    </row>
    <row r="1694" spans="1:7" x14ac:dyDescent="0.25">
      <c r="A1694" t="s">
        <v>884</v>
      </c>
      <c r="B1694" t="s">
        <v>58</v>
      </c>
      <c r="F1694" t="s">
        <v>4300</v>
      </c>
      <c r="G1694" t="s">
        <v>12649</v>
      </c>
    </row>
    <row r="1695" spans="1:7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12649</v>
      </c>
    </row>
    <row r="1696" spans="1:7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12649</v>
      </c>
    </row>
    <row r="1697" spans="1:7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12649</v>
      </c>
    </row>
    <row r="1698" spans="1:7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12649</v>
      </c>
    </row>
    <row r="1699" spans="1:7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12649</v>
      </c>
    </row>
    <row r="1700" spans="1:7" x14ac:dyDescent="0.25">
      <c r="A1700" t="s">
        <v>4</v>
      </c>
      <c r="B1700" t="s">
        <v>4393</v>
      </c>
      <c r="F1700" t="s">
        <v>4312</v>
      </c>
      <c r="G1700" t="s">
        <v>12649</v>
      </c>
    </row>
    <row r="1701" spans="1:7" x14ac:dyDescent="0.25">
      <c r="A1701" t="s">
        <v>4</v>
      </c>
      <c r="B1701" t="s">
        <v>9</v>
      </c>
      <c r="F1701" t="s">
        <v>4314</v>
      </c>
      <c r="G1701" t="s">
        <v>12649</v>
      </c>
    </row>
    <row r="1702" spans="1:7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12649</v>
      </c>
    </row>
    <row r="1703" spans="1:7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12649</v>
      </c>
    </row>
    <row r="1704" spans="1:7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12649</v>
      </c>
    </row>
    <row r="1705" spans="1:7" x14ac:dyDescent="0.25">
      <c r="A1705" t="s">
        <v>4</v>
      </c>
      <c r="B1705" t="s">
        <v>9</v>
      </c>
      <c r="F1705" t="s">
        <v>4322</v>
      </c>
      <c r="G1705" t="s">
        <v>12649</v>
      </c>
    </row>
    <row r="1706" spans="1:7" x14ac:dyDescent="0.25">
      <c r="A1706" t="s">
        <v>4</v>
      </c>
      <c r="B1706" t="s">
        <v>9</v>
      </c>
      <c r="F1706" t="s">
        <v>4324</v>
      </c>
      <c r="G1706" t="s">
        <v>12649</v>
      </c>
    </row>
    <row r="1707" spans="1:7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12651</v>
      </c>
    </row>
    <row r="1708" spans="1:7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12651</v>
      </c>
    </row>
    <row r="1709" spans="1:7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12647</v>
      </c>
    </row>
    <row r="1732" spans="1:7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12647</v>
      </c>
    </row>
    <row r="1733" spans="1:7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12647</v>
      </c>
    </row>
    <row r="1734" spans="1:7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12647</v>
      </c>
    </row>
    <row r="1735" spans="1:7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12647</v>
      </c>
    </row>
    <row r="1736" spans="1:7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12647</v>
      </c>
    </row>
    <row r="1737" spans="1:7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12647</v>
      </c>
    </row>
    <row r="1738" spans="1:7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12647</v>
      </c>
    </row>
    <row r="1739" spans="1:7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12647</v>
      </c>
    </row>
    <row r="1740" spans="1:7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12647</v>
      </c>
    </row>
    <row r="1741" spans="1:7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12647</v>
      </c>
    </row>
    <row r="1742" spans="1:7" x14ac:dyDescent="0.25">
      <c r="A1742" t="s">
        <v>4</v>
      </c>
      <c r="B1742" t="s">
        <v>8</v>
      </c>
      <c r="F1742" t="s">
        <v>4633</v>
      </c>
      <c r="G1742" t="s">
        <v>12647</v>
      </c>
    </row>
    <row r="1743" spans="1:7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12647</v>
      </c>
    </row>
    <row r="1744" spans="1:7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12647</v>
      </c>
    </row>
    <row r="1745" spans="1:7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12647</v>
      </c>
    </row>
    <row r="1746" spans="1:7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12647</v>
      </c>
    </row>
    <row r="1747" spans="1:7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12647</v>
      </c>
    </row>
    <row r="1748" spans="1:7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12647</v>
      </c>
    </row>
    <row r="1749" spans="1:7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12647</v>
      </c>
    </row>
    <row r="1750" spans="1:7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12647</v>
      </c>
    </row>
    <row r="1751" spans="1:7" x14ac:dyDescent="0.25">
      <c r="A1751" t="s">
        <v>1607</v>
      </c>
      <c r="B1751" t="s">
        <v>8</v>
      </c>
      <c r="F1751" t="s">
        <v>4800</v>
      </c>
      <c r="G1751" t="s">
        <v>12647</v>
      </c>
    </row>
    <row r="1752" spans="1:7" x14ac:dyDescent="0.25">
      <c r="A1752" t="s">
        <v>4</v>
      </c>
      <c r="B1752" t="s">
        <v>8</v>
      </c>
      <c r="F1752" t="s">
        <v>4548</v>
      </c>
      <c r="G1752" t="s">
        <v>11076</v>
      </c>
    </row>
    <row r="1753" spans="1:7" x14ac:dyDescent="0.25">
      <c r="A1753" t="s">
        <v>4</v>
      </c>
      <c r="B1753" t="s">
        <v>8</v>
      </c>
      <c r="F1753" t="s">
        <v>4550</v>
      </c>
      <c r="G1753" t="s">
        <v>11076</v>
      </c>
    </row>
    <row r="1754" spans="1:7" x14ac:dyDescent="0.25">
      <c r="A1754" t="s">
        <v>4</v>
      </c>
      <c r="B1754" t="s">
        <v>8</v>
      </c>
      <c r="F1754" t="s">
        <v>4552</v>
      </c>
      <c r="G1754" t="s">
        <v>11076</v>
      </c>
    </row>
    <row r="1755" spans="1:7" x14ac:dyDescent="0.25">
      <c r="A1755" t="s">
        <v>1607</v>
      </c>
      <c r="B1755" t="s">
        <v>8</v>
      </c>
      <c r="F1755" t="s">
        <v>4554</v>
      </c>
      <c r="G1755" t="s">
        <v>11076</v>
      </c>
    </row>
    <row r="1756" spans="1:7" x14ac:dyDescent="0.25">
      <c r="A1756" t="s">
        <v>4</v>
      </c>
      <c r="B1756" t="s">
        <v>8</v>
      </c>
      <c r="F1756" t="s">
        <v>4667</v>
      </c>
      <c r="G1756" t="s">
        <v>11076</v>
      </c>
    </row>
    <row r="1757" spans="1:7" x14ac:dyDescent="0.25">
      <c r="A1757" t="s">
        <v>1607</v>
      </c>
      <c r="B1757" t="s">
        <v>8</v>
      </c>
      <c r="F1757" t="s">
        <v>4669</v>
      </c>
      <c r="G1757" t="s">
        <v>11076</v>
      </c>
    </row>
    <row r="1758" spans="1:7" x14ac:dyDescent="0.25">
      <c r="A1758" t="s">
        <v>1607</v>
      </c>
      <c r="B1758" t="s">
        <v>8</v>
      </c>
      <c r="F1758" t="s">
        <v>4671</v>
      </c>
      <c r="G1758" t="s">
        <v>11076</v>
      </c>
    </row>
    <row r="1759" spans="1:7" x14ac:dyDescent="0.25">
      <c r="A1759" t="s">
        <v>4</v>
      </c>
      <c r="B1759" t="s">
        <v>8</v>
      </c>
      <c r="F1759" t="s">
        <v>4837</v>
      </c>
      <c r="G1759" t="s">
        <v>11076</v>
      </c>
    </row>
    <row r="1760" spans="1:7" x14ac:dyDescent="0.25">
      <c r="A1760" t="s">
        <v>4</v>
      </c>
      <c r="B1760" t="s">
        <v>8</v>
      </c>
      <c r="F1760" t="s">
        <v>4839</v>
      </c>
      <c r="G1760" t="s">
        <v>11076</v>
      </c>
    </row>
    <row r="1761" spans="1:7" x14ac:dyDescent="0.25">
      <c r="A1761" t="s">
        <v>4</v>
      </c>
      <c r="B1761" t="s">
        <v>8</v>
      </c>
      <c r="F1761" t="s">
        <v>4841</v>
      </c>
      <c r="G1761" t="s">
        <v>11076</v>
      </c>
    </row>
    <row r="1762" spans="1:7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x14ac:dyDescent="0.25">
      <c r="A1796" t="s">
        <v>1607</v>
      </c>
      <c r="B1796" t="s">
        <v>8</v>
      </c>
      <c r="F1796" t="s">
        <v>4577</v>
      </c>
      <c r="G1796" t="s">
        <v>12648</v>
      </c>
    </row>
    <row r="1797" spans="1:7" x14ac:dyDescent="0.25">
      <c r="A1797" t="s">
        <v>4</v>
      </c>
      <c r="B1797" t="s">
        <v>9</v>
      </c>
      <c r="F1797" t="s">
        <v>4579</v>
      </c>
      <c r="G1797" t="s">
        <v>12648</v>
      </c>
    </row>
    <row r="1798" spans="1:7" x14ac:dyDescent="0.25">
      <c r="A1798" t="s">
        <v>685</v>
      </c>
      <c r="F1798" t="s">
        <v>4581</v>
      </c>
      <c r="G1798" t="s">
        <v>12648</v>
      </c>
    </row>
    <row r="1799" spans="1:7" x14ac:dyDescent="0.25">
      <c r="A1799" t="s">
        <v>685</v>
      </c>
      <c r="F1799" t="s">
        <v>4583</v>
      </c>
      <c r="G1799" t="s">
        <v>12648</v>
      </c>
    </row>
    <row r="1800" spans="1:7" x14ac:dyDescent="0.25">
      <c r="A1800" t="s">
        <v>684</v>
      </c>
      <c r="B1800" t="s">
        <v>468</v>
      </c>
      <c r="F1800" t="s">
        <v>4585</v>
      </c>
      <c r="G1800" t="s">
        <v>12648</v>
      </c>
    </row>
    <row r="1801" spans="1:7" x14ac:dyDescent="0.25">
      <c r="A1801" t="s">
        <v>4</v>
      </c>
      <c r="B1801" t="s">
        <v>9</v>
      </c>
      <c r="F1801" t="s">
        <v>4587</v>
      </c>
      <c r="G1801" t="s">
        <v>12648</v>
      </c>
    </row>
    <row r="1802" spans="1:7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12648</v>
      </c>
    </row>
    <row r="1803" spans="1:7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12648</v>
      </c>
    </row>
    <row r="1804" spans="1:7" x14ac:dyDescent="0.25">
      <c r="A1804" t="s">
        <v>1607</v>
      </c>
      <c r="B1804" t="s">
        <v>8</v>
      </c>
      <c r="F1804" t="s">
        <v>4593</v>
      </c>
      <c r="G1804" t="s">
        <v>12648</v>
      </c>
    </row>
    <row r="1805" spans="1:7" x14ac:dyDescent="0.25">
      <c r="A1805" t="s">
        <v>1607</v>
      </c>
      <c r="B1805" t="s">
        <v>8</v>
      </c>
      <c r="F1805" t="s">
        <v>4694</v>
      </c>
      <c r="G1805" t="s">
        <v>12648</v>
      </c>
    </row>
    <row r="1806" spans="1:7" x14ac:dyDescent="0.25">
      <c r="A1806" t="s">
        <v>1607</v>
      </c>
      <c r="B1806" t="s">
        <v>8</v>
      </c>
      <c r="F1806" t="s">
        <v>4849</v>
      </c>
      <c r="G1806" t="s">
        <v>12648</v>
      </c>
    </row>
    <row r="1807" spans="1:7" x14ac:dyDescent="0.25">
      <c r="A1807" t="s">
        <v>4</v>
      </c>
      <c r="B1807" t="s">
        <v>9</v>
      </c>
      <c r="F1807" t="s">
        <v>4454</v>
      </c>
      <c r="G1807" t="s">
        <v>12649</v>
      </c>
    </row>
    <row r="1808" spans="1:7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12649</v>
      </c>
    </row>
    <row r="1809" spans="1:7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12649</v>
      </c>
    </row>
    <row r="1810" spans="1:7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12649</v>
      </c>
    </row>
    <row r="1811" spans="1:7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12649</v>
      </c>
    </row>
    <row r="1812" spans="1:7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12649</v>
      </c>
    </row>
    <row r="1813" spans="1:7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12649</v>
      </c>
    </row>
    <row r="1814" spans="1:7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12649</v>
      </c>
    </row>
    <row r="1815" spans="1:7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12649</v>
      </c>
    </row>
    <row r="1816" spans="1:7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12649</v>
      </c>
    </row>
    <row r="1817" spans="1:7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12649</v>
      </c>
    </row>
    <row r="1818" spans="1:7" x14ac:dyDescent="0.25">
      <c r="A1818" t="s">
        <v>4928</v>
      </c>
      <c r="F1818" t="s">
        <v>4476</v>
      </c>
      <c r="G1818" t="s">
        <v>12649</v>
      </c>
    </row>
    <row r="1819" spans="1:7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12649</v>
      </c>
    </row>
    <row r="1820" spans="1:7" x14ac:dyDescent="0.25">
      <c r="A1820" t="s">
        <v>4</v>
      </c>
      <c r="B1820" t="s">
        <v>9</v>
      </c>
      <c r="F1820" t="s">
        <v>4480</v>
      </c>
      <c r="G1820" t="s">
        <v>12649</v>
      </c>
    </row>
    <row r="1821" spans="1:7" x14ac:dyDescent="0.25">
      <c r="A1821" t="s">
        <v>4</v>
      </c>
      <c r="B1821" t="s">
        <v>9</v>
      </c>
      <c r="F1821" t="s">
        <v>4482</v>
      </c>
      <c r="G1821" t="s">
        <v>12649</v>
      </c>
    </row>
    <row r="1822" spans="1:7" x14ac:dyDescent="0.25">
      <c r="A1822" t="s">
        <v>4</v>
      </c>
      <c r="B1822" t="s">
        <v>9</v>
      </c>
      <c r="F1822" t="s">
        <v>4484</v>
      </c>
      <c r="G1822" t="s">
        <v>12649</v>
      </c>
    </row>
    <row r="1823" spans="1:7" x14ac:dyDescent="0.25">
      <c r="A1823" t="s">
        <v>4</v>
      </c>
      <c r="B1823" t="s">
        <v>9</v>
      </c>
      <c r="F1823" t="s">
        <v>4486</v>
      </c>
      <c r="G1823" t="s">
        <v>12649</v>
      </c>
    </row>
    <row r="1824" spans="1:7" x14ac:dyDescent="0.25">
      <c r="A1824" t="s">
        <v>4928</v>
      </c>
      <c r="F1824" t="s">
        <v>4488</v>
      </c>
      <c r="G1824" t="s">
        <v>12649</v>
      </c>
    </row>
    <row r="1825" spans="1:7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12649</v>
      </c>
    </row>
    <row r="1826" spans="1:7" x14ac:dyDescent="0.25">
      <c r="A1826" t="s">
        <v>4</v>
      </c>
      <c r="B1826" t="s">
        <v>9</v>
      </c>
      <c r="F1826" t="s">
        <v>4492</v>
      </c>
      <c r="G1826" t="s">
        <v>12649</v>
      </c>
    </row>
    <row r="1827" spans="1:7" x14ac:dyDescent="0.25">
      <c r="A1827" t="s">
        <v>4</v>
      </c>
      <c r="B1827" t="s">
        <v>9</v>
      </c>
      <c r="F1827" t="s">
        <v>4494</v>
      </c>
      <c r="G1827" t="s">
        <v>12649</v>
      </c>
    </row>
    <row r="1828" spans="1:7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12649</v>
      </c>
    </row>
    <row r="1829" spans="1:7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12649</v>
      </c>
    </row>
    <row r="1830" spans="1:7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12649</v>
      </c>
    </row>
    <row r="1831" spans="1:7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12649</v>
      </c>
    </row>
    <row r="1832" spans="1:7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12649</v>
      </c>
    </row>
    <row r="1833" spans="1:7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12649</v>
      </c>
    </row>
    <row r="1834" spans="1:7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12649</v>
      </c>
    </row>
    <row r="1835" spans="1:7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12649</v>
      </c>
    </row>
    <row r="1836" spans="1:7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12649</v>
      </c>
    </row>
    <row r="1837" spans="1:7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12649</v>
      </c>
    </row>
    <row r="1838" spans="1:7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12649</v>
      </c>
    </row>
    <row r="1839" spans="1:7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12649</v>
      </c>
    </row>
    <row r="1840" spans="1:7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12649</v>
      </c>
    </row>
    <row r="1841" spans="1:7" x14ac:dyDescent="0.25">
      <c r="A1841" t="s">
        <v>884</v>
      </c>
      <c r="B1841" t="s">
        <v>58</v>
      </c>
      <c r="F1841" t="s">
        <v>4750</v>
      </c>
      <c r="G1841" t="s">
        <v>12649</v>
      </c>
    </row>
    <row r="1842" spans="1:7" x14ac:dyDescent="0.25">
      <c r="A1842" t="s">
        <v>884</v>
      </c>
      <c r="B1842" t="s">
        <v>4931</v>
      </c>
      <c r="F1842" t="s">
        <v>4752</v>
      </c>
      <c r="G1842" t="s">
        <v>12649</v>
      </c>
    </row>
    <row r="1843" spans="1:7" x14ac:dyDescent="0.25">
      <c r="A1843" t="s">
        <v>4</v>
      </c>
      <c r="B1843" t="s">
        <v>9</v>
      </c>
      <c r="F1843" t="s">
        <v>4754</v>
      </c>
      <c r="G1843" t="s">
        <v>12649</v>
      </c>
    </row>
    <row r="1844" spans="1:7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12649</v>
      </c>
    </row>
    <row r="1845" spans="1:7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12649</v>
      </c>
    </row>
    <row r="1846" spans="1:7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12649</v>
      </c>
    </row>
    <row r="1847" spans="1:7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12649</v>
      </c>
    </row>
    <row r="1848" spans="1:7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12649</v>
      </c>
    </row>
    <row r="1849" spans="1:7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12649</v>
      </c>
    </row>
    <row r="1850" spans="1:7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12649</v>
      </c>
    </row>
    <row r="1851" spans="1:7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12649</v>
      </c>
    </row>
    <row r="1852" spans="1:7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12649</v>
      </c>
    </row>
    <row r="1853" spans="1:7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12649</v>
      </c>
    </row>
    <row r="1854" spans="1:7" x14ac:dyDescent="0.25">
      <c r="A1854" t="s">
        <v>4</v>
      </c>
      <c r="B1854" t="s">
        <v>9</v>
      </c>
      <c r="F1854" t="s">
        <v>4857</v>
      </c>
      <c r="G1854" t="s">
        <v>12649</v>
      </c>
    </row>
    <row r="1855" spans="1:7" x14ac:dyDescent="0.25">
      <c r="A1855" t="s">
        <v>4</v>
      </c>
      <c r="B1855" t="s">
        <v>8</v>
      </c>
      <c r="F1855" t="s">
        <v>4595</v>
      </c>
      <c r="G1855" t="s">
        <v>12650</v>
      </c>
    </row>
    <row r="1856" spans="1:7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12650</v>
      </c>
    </row>
    <row r="1857" spans="1:7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12650</v>
      </c>
    </row>
    <row r="1858" spans="1:7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12650</v>
      </c>
    </row>
    <row r="1859" spans="1:7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12650</v>
      </c>
    </row>
    <row r="1860" spans="1:7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12650</v>
      </c>
    </row>
    <row r="1861" spans="1:7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12650</v>
      </c>
    </row>
    <row r="1862" spans="1:7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12650</v>
      </c>
    </row>
    <row r="1863" spans="1:7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12650</v>
      </c>
    </row>
    <row r="1864" spans="1:7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12650</v>
      </c>
    </row>
    <row r="1865" spans="1:7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12650</v>
      </c>
    </row>
    <row r="1866" spans="1:7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12650</v>
      </c>
    </row>
    <row r="1867" spans="1:7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12650</v>
      </c>
    </row>
    <row r="1868" spans="1:7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12650</v>
      </c>
    </row>
    <row r="1869" spans="1:7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12650</v>
      </c>
    </row>
    <row r="1870" spans="1:7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12650</v>
      </c>
    </row>
    <row r="1871" spans="1:7" x14ac:dyDescent="0.25">
      <c r="A1871" t="s">
        <v>4</v>
      </c>
      <c r="B1871" t="s">
        <v>8</v>
      </c>
      <c r="F1871" t="s">
        <v>4627</v>
      </c>
      <c r="G1871" t="s">
        <v>12650</v>
      </c>
    </row>
    <row r="1872" spans="1:7" x14ac:dyDescent="0.25">
      <c r="A1872" t="s">
        <v>4</v>
      </c>
      <c r="B1872" t="s">
        <v>8</v>
      </c>
      <c r="F1872" t="s">
        <v>4629</v>
      </c>
      <c r="G1872" t="s">
        <v>12650</v>
      </c>
    </row>
    <row r="1873" spans="1:7" x14ac:dyDescent="0.25">
      <c r="A1873" t="s">
        <v>4</v>
      </c>
      <c r="B1873" t="s">
        <v>8</v>
      </c>
      <c r="F1873" t="s">
        <v>4631</v>
      </c>
      <c r="G1873" t="s">
        <v>12650</v>
      </c>
    </row>
    <row r="1874" spans="1:7" x14ac:dyDescent="0.25">
      <c r="A1874" t="s">
        <v>4</v>
      </c>
      <c r="B1874" t="s">
        <v>8</v>
      </c>
      <c r="F1874" t="s">
        <v>4696</v>
      </c>
      <c r="G1874" t="s">
        <v>12650</v>
      </c>
    </row>
    <row r="1875" spans="1:7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12650</v>
      </c>
    </row>
    <row r="1876" spans="1:7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12650</v>
      </c>
    </row>
    <row r="1877" spans="1:7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12650</v>
      </c>
    </row>
    <row r="1878" spans="1:7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12650</v>
      </c>
    </row>
    <row r="1879" spans="1:7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12650</v>
      </c>
    </row>
    <row r="1880" spans="1:7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12650</v>
      </c>
    </row>
    <row r="1881" spans="1:7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12650</v>
      </c>
    </row>
    <row r="1882" spans="1:7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12650</v>
      </c>
    </row>
    <row r="1883" spans="1:7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12650</v>
      </c>
    </row>
    <row r="1884" spans="1:7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12650</v>
      </c>
    </row>
    <row r="1885" spans="1:7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12650</v>
      </c>
    </row>
    <row r="1886" spans="1:7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12650</v>
      </c>
    </row>
    <row r="1887" spans="1:7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12650</v>
      </c>
    </row>
    <row r="1888" spans="1:7" x14ac:dyDescent="0.25">
      <c r="A1888" t="s">
        <v>4</v>
      </c>
      <c r="B1888" t="s">
        <v>8</v>
      </c>
      <c r="F1888" t="s">
        <v>4724</v>
      </c>
      <c r="G1888" t="s">
        <v>12650</v>
      </c>
    </row>
    <row r="1889" spans="1:7" x14ac:dyDescent="0.25">
      <c r="A1889" t="s">
        <v>4</v>
      </c>
      <c r="B1889" t="s">
        <v>4917</v>
      </c>
      <c r="F1889" t="s">
        <v>4859</v>
      </c>
      <c r="G1889" t="s">
        <v>12650</v>
      </c>
    </row>
    <row r="1890" spans="1:7" x14ac:dyDescent="0.25">
      <c r="A1890" t="s">
        <v>4</v>
      </c>
      <c r="B1890" t="s">
        <v>8</v>
      </c>
      <c r="F1890" t="s">
        <v>4861</v>
      </c>
      <c r="G1890" t="s">
        <v>12650</v>
      </c>
    </row>
    <row r="1891" spans="1:7" x14ac:dyDescent="0.25">
      <c r="A1891" t="s">
        <v>4</v>
      </c>
      <c r="B1891" t="s">
        <v>4917</v>
      </c>
      <c r="F1891" t="s">
        <v>4863</v>
      </c>
      <c r="G1891" t="s">
        <v>12650</v>
      </c>
    </row>
    <row r="1892" spans="1:7" x14ac:dyDescent="0.25">
      <c r="A1892" t="s">
        <v>4</v>
      </c>
      <c r="B1892" t="s">
        <v>8</v>
      </c>
      <c r="F1892" t="s">
        <v>4865</v>
      </c>
      <c r="G1892" t="s">
        <v>12650</v>
      </c>
    </row>
    <row r="1893" spans="1:7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12651</v>
      </c>
    </row>
    <row r="1894" spans="1:7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12651</v>
      </c>
    </row>
    <row r="1895" spans="1:7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12651</v>
      </c>
    </row>
    <row r="1896" spans="1:7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12651</v>
      </c>
    </row>
    <row r="1897" spans="1:7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12651</v>
      </c>
    </row>
    <row r="1898" spans="1:7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12651</v>
      </c>
    </row>
    <row r="1899" spans="1:7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12651</v>
      </c>
    </row>
    <row r="1900" spans="1:7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12651</v>
      </c>
    </row>
    <row r="1901" spans="1:7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12651</v>
      </c>
    </row>
    <row r="1902" spans="1:7" x14ac:dyDescent="0.25">
      <c r="A1902" t="s">
        <v>4</v>
      </c>
      <c r="B1902" t="s">
        <v>8</v>
      </c>
      <c r="F1902" t="s">
        <v>4728</v>
      </c>
      <c r="G1902" t="s">
        <v>12651</v>
      </c>
    </row>
    <row r="1903" spans="1:7" x14ac:dyDescent="0.25">
      <c r="A1903" t="s">
        <v>4</v>
      </c>
      <c r="B1903" t="s">
        <v>8</v>
      </c>
      <c r="F1903" t="s">
        <v>4730</v>
      </c>
      <c r="G1903" t="s">
        <v>12651</v>
      </c>
    </row>
    <row r="1904" spans="1:7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12651</v>
      </c>
    </row>
    <row r="1905" spans="1:7" x14ac:dyDescent="0.25">
      <c r="A1905" t="s">
        <v>4937</v>
      </c>
      <c r="B1905" t="s">
        <v>4917</v>
      </c>
      <c r="F1905" t="s">
        <v>4869</v>
      </c>
      <c r="G1905" t="s">
        <v>12651</v>
      </c>
    </row>
    <row r="1906" spans="1:7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12651</v>
      </c>
    </row>
    <row r="1907" spans="1:7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12651</v>
      </c>
    </row>
    <row r="1908" spans="1:7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12651</v>
      </c>
    </row>
    <row r="1909" spans="1:7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12651</v>
      </c>
    </row>
    <row r="1910" spans="1:7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12651</v>
      </c>
    </row>
    <row r="1911" spans="1:7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12651</v>
      </c>
    </row>
    <row r="1912" spans="1:7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12651</v>
      </c>
    </row>
    <row r="1913" spans="1:7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12651</v>
      </c>
    </row>
    <row r="1914" spans="1:7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12651</v>
      </c>
    </row>
    <row r="1915" spans="1:7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12651</v>
      </c>
    </row>
    <row r="1916" spans="1:7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12651</v>
      </c>
    </row>
    <row r="1917" spans="1:7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12651</v>
      </c>
    </row>
    <row r="1918" spans="1:7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12651</v>
      </c>
    </row>
    <row r="1919" spans="1:7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12651</v>
      </c>
    </row>
    <row r="1920" spans="1:7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12651</v>
      </c>
    </row>
    <row r="1921" spans="1:7" x14ac:dyDescent="0.25">
      <c r="A1921" t="s">
        <v>4</v>
      </c>
      <c r="B1921" t="s">
        <v>8</v>
      </c>
      <c r="F1921" t="s">
        <v>4909</v>
      </c>
      <c r="G1921" t="s">
        <v>12651</v>
      </c>
    </row>
    <row r="1922" spans="1:7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x14ac:dyDescent="0.25">
      <c r="A1935" t="s">
        <v>1617</v>
      </c>
      <c r="F1935" t="s">
        <v>4545</v>
      </c>
      <c r="G1935" t="s">
        <v>1600</v>
      </c>
    </row>
    <row r="1936" spans="1:7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x14ac:dyDescent="0.25">
      <c r="A1942" t="s">
        <v>1607</v>
      </c>
      <c r="B1942" t="s">
        <v>8</v>
      </c>
      <c r="F1942" t="s">
        <v>4942</v>
      </c>
      <c r="G1942" t="s">
        <v>12647</v>
      </c>
    </row>
    <row r="1943" spans="1:7" x14ac:dyDescent="0.25">
      <c r="A1943" t="s">
        <v>1607</v>
      </c>
      <c r="B1943" t="s">
        <v>8</v>
      </c>
      <c r="F1943" t="s">
        <v>4944</v>
      </c>
      <c r="G1943" t="s">
        <v>11076</v>
      </c>
    </row>
    <row r="1944" spans="1:7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x14ac:dyDescent="0.25">
      <c r="A1947" t="s">
        <v>1607</v>
      </c>
      <c r="B1947" t="s">
        <v>8</v>
      </c>
      <c r="F1947" t="s">
        <v>4957</v>
      </c>
      <c r="G1947" t="s">
        <v>12648</v>
      </c>
    </row>
    <row r="1948" spans="1:7" x14ac:dyDescent="0.25">
      <c r="A1948" t="s">
        <v>4</v>
      </c>
      <c r="B1948" t="s">
        <v>9</v>
      </c>
      <c r="F1948" t="s">
        <v>4959</v>
      </c>
      <c r="G1948" t="s">
        <v>12649</v>
      </c>
    </row>
    <row r="1949" spans="1:7" x14ac:dyDescent="0.25">
      <c r="A1949" t="s">
        <v>1627</v>
      </c>
      <c r="B1949" t="s">
        <v>1058</v>
      </c>
      <c r="F1949" t="s">
        <v>4961</v>
      </c>
      <c r="G1949" t="s">
        <v>12649</v>
      </c>
    </row>
    <row r="1950" spans="1:7" x14ac:dyDescent="0.25">
      <c r="A1950" t="s">
        <v>4</v>
      </c>
      <c r="B1950" t="s">
        <v>9</v>
      </c>
      <c r="F1950" t="s">
        <v>4963</v>
      </c>
      <c r="G1950" t="s">
        <v>12649</v>
      </c>
    </row>
    <row r="1951" spans="1:7" x14ac:dyDescent="0.25">
      <c r="A1951" t="s">
        <v>1627</v>
      </c>
      <c r="B1951" t="s">
        <v>1058</v>
      </c>
      <c r="F1951" t="s">
        <v>4965</v>
      </c>
      <c r="G1951" t="s">
        <v>12649</v>
      </c>
    </row>
    <row r="1952" spans="1:7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12649</v>
      </c>
    </row>
    <row r="1953" spans="1:7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12649</v>
      </c>
    </row>
    <row r="1954" spans="1:7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12649</v>
      </c>
    </row>
    <row r="1955" spans="1:7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12649</v>
      </c>
    </row>
    <row r="1956" spans="1:7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12649</v>
      </c>
    </row>
    <row r="1957" spans="1:7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12649</v>
      </c>
    </row>
    <row r="1958" spans="1:7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12649</v>
      </c>
    </row>
    <row r="1959" spans="1:7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12649</v>
      </c>
    </row>
    <row r="1960" spans="1:7" x14ac:dyDescent="0.25">
      <c r="A1960" t="s">
        <v>1607</v>
      </c>
      <c r="B1960" t="s">
        <v>8</v>
      </c>
      <c r="F1960" t="s">
        <v>4983</v>
      </c>
      <c r="G1960" t="s">
        <v>12650</v>
      </c>
    </row>
    <row r="1961" spans="1:7" x14ac:dyDescent="0.25">
      <c r="A1961" t="s">
        <v>1607</v>
      </c>
      <c r="B1961" t="s">
        <v>8</v>
      </c>
      <c r="F1961" t="s">
        <v>4991</v>
      </c>
      <c r="G1961" t="s">
        <v>12651</v>
      </c>
    </row>
    <row r="1962" spans="1:7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12647</v>
      </c>
    </row>
    <row r="1972" spans="1:7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12647</v>
      </c>
    </row>
    <row r="1973" spans="1:7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12647</v>
      </c>
    </row>
    <row r="1974" spans="1:7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12647</v>
      </c>
    </row>
    <row r="1975" spans="1:7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12647</v>
      </c>
    </row>
    <row r="1976" spans="1:7" x14ac:dyDescent="0.25">
      <c r="A1976" t="s">
        <v>3363</v>
      </c>
      <c r="B1976" t="s">
        <v>5045</v>
      </c>
      <c r="F1976" t="s">
        <v>5017</v>
      </c>
      <c r="G1976" t="s">
        <v>12647</v>
      </c>
    </row>
    <row r="1977" spans="1:7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12647</v>
      </c>
    </row>
    <row r="1978" spans="1:7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12647</v>
      </c>
    </row>
    <row r="1979" spans="1:7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12647</v>
      </c>
    </row>
    <row r="1980" spans="1:7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12647</v>
      </c>
    </row>
    <row r="1981" spans="1:7" x14ac:dyDescent="0.25">
      <c r="A1981" t="s">
        <v>4</v>
      </c>
      <c r="B1981" t="s">
        <v>8</v>
      </c>
      <c r="F1981" t="s">
        <v>5040</v>
      </c>
      <c r="G1981" t="s">
        <v>11076</v>
      </c>
    </row>
    <row r="1982" spans="1:7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x14ac:dyDescent="0.25">
      <c r="A1988" t="s">
        <v>3377</v>
      </c>
      <c r="F1988" t="s">
        <v>5046</v>
      </c>
      <c r="G1988" t="s">
        <v>897</v>
      </c>
    </row>
    <row r="1989" spans="1:7" x14ac:dyDescent="0.25">
      <c r="A1989" t="s">
        <v>3377</v>
      </c>
      <c r="F1989" t="s">
        <v>5049</v>
      </c>
      <c r="G1989" t="s">
        <v>897</v>
      </c>
    </row>
    <row r="1990" spans="1:7" x14ac:dyDescent="0.25">
      <c r="A1990" t="s">
        <v>3377</v>
      </c>
      <c r="F1990" t="s">
        <v>5052</v>
      </c>
      <c r="G1990" t="s">
        <v>897</v>
      </c>
    </row>
    <row r="1991" spans="1:7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x14ac:dyDescent="0.25">
      <c r="A1992" t="s">
        <v>1607</v>
      </c>
      <c r="B1992" t="s">
        <v>8</v>
      </c>
      <c r="F1992" t="s">
        <v>5064</v>
      </c>
      <c r="G1992" t="s">
        <v>12648</v>
      </c>
    </row>
    <row r="1993" spans="1:7" x14ac:dyDescent="0.25">
      <c r="A1993" t="s">
        <v>4</v>
      </c>
      <c r="B1993" t="s">
        <v>9</v>
      </c>
      <c r="F1993" t="s">
        <v>5066</v>
      </c>
      <c r="G1993" t="s">
        <v>12649</v>
      </c>
    </row>
    <row r="1994" spans="1:7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12649</v>
      </c>
    </row>
    <row r="1995" spans="1:7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12649</v>
      </c>
    </row>
    <row r="1996" spans="1:7" x14ac:dyDescent="0.25">
      <c r="A1996" t="s">
        <v>884</v>
      </c>
      <c r="B1996" t="s">
        <v>58</v>
      </c>
      <c r="F1996" t="s">
        <v>5072</v>
      </c>
      <c r="G1996" t="s">
        <v>12649</v>
      </c>
    </row>
    <row r="1997" spans="1:7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12649</v>
      </c>
    </row>
    <row r="1998" spans="1:7" x14ac:dyDescent="0.25">
      <c r="A1998" t="s">
        <v>884</v>
      </c>
      <c r="B1998" t="s">
        <v>58</v>
      </c>
      <c r="F1998" t="s">
        <v>5076</v>
      </c>
      <c r="G1998" t="s">
        <v>12649</v>
      </c>
    </row>
    <row r="1999" spans="1:7" x14ac:dyDescent="0.25">
      <c r="A1999" t="s">
        <v>884</v>
      </c>
      <c r="B1999" t="s">
        <v>58</v>
      </c>
      <c r="F1999" t="s">
        <v>5078</v>
      </c>
      <c r="G1999" t="s">
        <v>12649</v>
      </c>
    </row>
    <row r="2000" spans="1:7" x14ac:dyDescent="0.25">
      <c r="A2000" t="s">
        <v>4</v>
      </c>
      <c r="B2000" t="s">
        <v>9</v>
      </c>
      <c r="F2000" t="s">
        <v>5080</v>
      </c>
      <c r="G2000" t="s">
        <v>12649</v>
      </c>
    </row>
    <row r="2001" spans="1:7" x14ac:dyDescent="0.25">
      <c r="A2001" t="s">
        <v>884</v>
      </c>
      <c r="B2001" t="s">
        <v>53</v>
      </c>
      <c r="F2001" t="s">
        <v>5082</v>
      </c>
      <c r="G2001" t="s">
        <v>12649</v>
      </c>
    </row>
    <row r="2002" spans="1:7" x14ac:dyDescent="0.25">
      <c r="A2002" t="s">
        <v>4</v>
      </c>
      <c r="B2002" t="s">
        <v>9</v>
      </c>
      <c r="F2002" t="s">
        <v>5084</v>
      </c>
      <c r="G2002" t="s">
        <v>12649</v>
      </c>
    </row>
    <row r="2003" spans="1:7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12649</v>
      </c>
    </row>
    <row r="2004" spans="1:7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12649</v>
      </c>
    </row>
    <row r="2005" spans="1:7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12649</v>
      </c>
    </row>
    <row r="2006" spans="1:7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12650</v>
      </c>
    </row>
    <row r="2007" spans="1:7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12650</v>
      </c>
    </row>
    <row r="2008" spans="1:7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12650</v>
      </c>
    </row>
    <row r="2009" spans="1:7" x14ac:dyDescent="0.25">
      <c r="A2009" t="s">
        <v>1273</v>
      </c>
      <c r="B2009" t="s">
        <v>5045</v>
      </c>
      <c r="F2009" t="s">
        <v>5099</v>
      </c>
      <c r="G2009" t="s">
        <v>12650</v>
      </c>
    </row>
    <row r="2010" spans="1:7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12650</v>
      </c>
    </row>
    <row r="2011" spans="1:7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12650</v>
      </c>
    </row>
    <row r="2012" spans="1:7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12650</v>
      </c>
    </row>
    <row r="2013" spans="1:7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12650</v>
      </c>
    </row>
    <row r="2014" spans="1:7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12650</v>
      </c>
    </row>
    <row r="2015" spans="1:7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12650</v>
      </c>
    </row>
    <row r="2016" spans="1:7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12650</v>
      </c>
    </row>
    <row r="2017" spans="1:7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12650</v>
      </c>
    </row>
    <row r="2018" spans="1:7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12650</v>
      </c>
    </row>
    <row r="2019" spans="1:7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12650</v>
      </c>
    </row>
    <row r="2020" spans="1:7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12650</v>
      </c>
    </row>
    <row r="2021" spans="1:7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12650</v>
      </c>
    </row>
    <row r="2022" spans="1:7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12650</v>
      </c>
    </row>
    <row r="2023" spans="1:7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12650</v>
      </c>
    </row>
    <row r="2024" spans="1:7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12650</v>
      </c>
    </row>
    <row r="2025" spans="1:7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12650</v>
      </c>
    </row>
    <row r="2026" spans="1:7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12650</v>
      </c>
    </row>
    <row r="2027" spans="1:7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12650</v>
      </c>
    </row>
    <row r="2028" spans="1:7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12650</v>
      </c>
    </row>
    <row r="2029" spans="1:7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12650</v>
      </c>
    </row>
    <row r="2030" spans="1:7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12650</v>
      </c>
    </row>
    <row r="2031" spans="1:7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12650</v>
      </c>
    </row>
    <row r="2032" spans="1:7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12650</v>
      </c>
    </row>
    <row r="2033" spans="1:7" x14ac:dyDescent="0.25">
      <c r="A2033" t="s">
        <v>1273</v>
      </c>
      <c r="B2033" t="s">
        <v>5212</v>
      </c>
      <c r="F2033" t="s">
        <v>5169</v>
      </c>
      <c r="G2033" t="s">
        <v>12650</v>
      </c>
    </row>
    <row r="2034" spans="1:7" x14ac:dyDescent="0.25">
      <c r="A2034" t="s">
        <v>4</v>
      </c>
      <c r="B2034" t="s">
        <v>5213</v>
      </c>
      <c r="F2034" t="s">
        <v>5171</v>
      </c>
      <c r="G2034" t="s">
        <v>12650</v>
      </c>
    </row>
    <row r="2035" spans="1:7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12650</v>
      </c>
    </row>
    <row r="2036" spans="1:7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12650</v>
      </c>
    </row>
    <row r="2037" spans="1:7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12650</v>
      </c>
    </row>
    <row r="2038" spans="1:7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12650</v>
      </c>
    </row>
    <row r="2039" spans="1:7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12650</v>
      </c>
    </row>
    <row r="2040" spans="1:7" x14ac:dyDescent="0.25">
      <c r="A2040" t="s">
        <v>4</v>
      </c>
      <c r="B2040" t="s">
        <v>5214</v>
      </c>
      <c r="F2040" t="s">
        <v>5184</v>
      </c>
      <c r="G2040" t="s">
        <v>12650</v>
      </c>
    </row>
    <row r="2041" spans="1:7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12650</v>
      </c>
    </row>
    <row r="2042" spans="1:7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12651</v>
      </c>
    </row>
    <row r="2043" spans="1:7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12651</v>
      </c>
    </row>
    <row r="2044" spans="1:7" x14ac:dyDescent="0.25">
      <c r="A2044" t="s">
        <v>4</v>
      </c>
      <c r="B2044" t="s">
        <v>8</v>
      </c>
      <c r="F2044" t="s">
        <v>5198</v>
      </c>
      <c r="G2044" t="s">
        <v>12651</v>
      </c>
    </row>
    <row r="2045" spans="1:7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12647</v>
      </c>
    </row>
    <row r="2055" spans="1:7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12647</v>
      </c>
    </row>
    <row r="2056" spans="1:7" x14ac:dyDescent="0.25">
      <c r="A2056" t="s">
        <v>4</v>
      </c>
      <c r="B2056" t="s">
        <v>8</v>
      </c>
      <c r="F2056" t="s">
        <v>5236</v>
      </c>
      <c r="G2056" t="s">
        <v>11076</v>
      </c>
    </row>
    <row r="2057" spans="1:7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x14ac:dyDescent="0.25">
      <c r="A2062" t="s">
        <v>1627</v>
      </c>
      <c r="B2062" t="s">
        <v>687</v>
      </c>
      <c r="F2062" t="s">
        <v>5247</v>
      </c>
      <c r="G2062" t="s">
        <v>12648</v>
      </c>
    </row>
    <row r="2063" spans="1:7" x14ac:dyDescent="0.25">
      <c r="A2063" t="s">
        <v>4</v>
      </c>
      <c r="B2063" t="s">
        <v>9</v>
      </c>
      <c r="F2063" t="s">
        <v>5249</v>
      </c>
      <c r="G2063" t="s">
        <v>12648</v>
      </c>
    </row>
    <row r="2064" spans="1:7" x14ac:dyDescent="0.25">
      <c r="A2064" t="s">
        <v>1627</v>
      </c>
      <c r="B2064" t="s">
        <v>687</v>
      </c>
      <c r="F2064" t="s">
        <v>5251</v>
      </c>
      <c r="G2064" t="s">
        <v>12648</v>
      </c>
    </row>
    <row r="2065" spans="1:7" x14ac:dyDescent="0.25">
      <c r="A2065" t="s">
        <v>1627</v>
      </c>
      <c r="B2065" t="s">
        <v>687</v>
      </c>
      <c r="F2065" t="s">
        <v>5253</v>
      </c>
      <c r="G2065" t="s">
        <v>12648</v>
      </c>
    </row>
    <row r="2066" spans="1:7" x14ac:dyDescent="0.25">
      <c r="A2066" t="s">
        <v>4</v>
      </c>
      <c r="B2066" t="s">
        <v>9</v>
      </c>
      <c r="F2066" t="s">
        <v>5255</v>
      </c>
      <c r="G2066" t="s">
        <v>12648</v>
      </c>
    </row>
    <row r="2067" spans="1:7" x14ac:dyDescent="0.25">
      <c r="A2067" t="s">
        <v>4</v>
      </c>
      <c r="B2067" t="s">
        <v>9</v>
      </c>
      <c r="F2067" t="s">
        <v>5257</v>
      </c>
      <c r="G2067" t="s">
        <v>12649</v>
      </c>
    </row>
    <row r="2068" spans="1:7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12649</v>
      </c>
    </row>
    <row r="2069" spans="1:7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12649</v>
      </c>
    </row>
    <row r="2070" spans="1:7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12649</v>
      </c>
    </row>
    <row r="2071" spans="1:7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12649</v>
      </c>
    </row>
    <row r="2072" spans="1:7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12649</v>
      </c>
    </row>
    <row r="2073" spans="1:7" x14ac:dyDescent="0.25">
      <c r="A2073" t="s">
        <v>4</v>
      </c>
      <c r="B2073" t="s">
        <v>9</v>
      </c>
      <c r="F2073" t="s">
        <v>5269</v>
      </c>
      <c r="G2073" t="s">
        <v>12649</v>
      </c>
    </row>
    <row r="2074" spans="1:7" x14ac:dyDescent="0.25">
      <c r="A2074" t="s">
        <v>4</v>
      </c>
      <c r="B2074" t="s">
        <v>9</v>
      </c>
      <c r="F2074" t="s">
        <v>5271</v>
      </c>
      <c r="G2074" t="s">
        <v>12649</v>
      </c>
    </row>
    <row r="2075" spans="1:7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12650</v>
      </c>
    </row>
    <row r="2076" spans="1:7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12650</v>
      </c>
    </row>
    <row r="2077" spans="1:7" x14ac:dyDescent="0.25">
      <c r="A2077" t="s">
        <v>4</v>
      </c>
      <c r="B2077" t="s">
        <v>8</v>
      </c>
      <c r="F2077" t="s">
        <v>5277</v>
      </c>
      <c r="G2077" t="s">
        <v>12650</v>
      </c>
    </row>
    <row r="2078" spans="1:7" x14ac:dyDescent="0.25">
      <c r="A2078" t="s">
        <v>4</v>
      </c>
      <c r="B2078" t="s">
        <v>8</v>
      </c>
      <c r="F2078" t="s">
        <v>5279</v>
      </c>
      <c r="G2078" t="s">
        <v>12650</v>
      </c>
    </row>
    <row r="2079" spans="1:7" x14ac:dyDescent="0.25">
      <c r="A2079" t="s">
        <v>4</v>
      </c>
      <c r="B2079" t="s">
        <v>8</v>
      </c>
      <c r="F2079" t="s">
        <v>5281</v>
      </c>
      <c r="G2079" t="s">
        <v>12650</v>
      </c>
    </row>
    <row r="2080" spans="1:7" x14ac:dyDescent="0.25">
      <c r="A2080" t="s">
        <v>4</v>
      </c>
      <c r="B2080" t="s">
        <v>8</v>
      </c>
      <c r="F2080" t="s">
        <v>5283</v>
      </c>
      <c r="G2080" t="s">
        <v>12650</v>
      </c>
    </row>
    <row r="2081" spans="1:7" x14ac:dyDescent="0.25">
      <c r="A2081" t="s">
        <v>4</v>
      </c>
      <c r="B2081" t="s">
        <v>8</v>
      </c>
      <c r="F2081" t="s">
        <v>5285</v>
      </c>
      <c r="G2081" t="s">
        <v>12650</v>
      </c>
    </row>
    <row r="2082" spans="1:7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12650</v>
      </c>
    </row>
    <row r="2083" spans="1:7" x14ac:dyDescent="0.25">
      <c r="A2083" t="s">
        <v>4</v>
      </c>
      <c r="B2083" t="s">
        <v>8</v>
      </c>
      <c r="F2083" t="s">
        <v>5289</v>
      </c>
      <c r="G2083" t="s">
        <v>12650</v>
      </c>
    </row>
    <row r="2084" spans="1:7" x14ac:dyDescent="0.25">
      <c r="A2084" t="s">
        <v>4</v>
      </c>
      <c r="B2084" t="s">
        <v>8</v>
      </c>
      <c r="F2084" t="s">
        <v>5291</v>
      </c>
      <c r="G2084" t="s">
        <v>12650</v>
      </c>
    </row>
    <row r="2085" spans="1:7" x14ac:dyDescent="0.25">
      <c r="A2085" t="s">
        <v>1607</v>
      </c>
      <c r="B2085" t="s">
        <v>8</v>
      </c>
      <c r="F2085" t="s">
        <v>5293</v>
      </c>
      <c r="G2085" t="s">
        <v>12651</v>
      </c>
    </row>
    <row r="2086" spans="1:7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x14ac:dyDescent="0.25">
      <c r="A2091" t="s">
        <v>1607</v>
      </c>
      <c r="F2091" t="s">
        <v>5316</v>
      </c>
      <c r="G2091" t="s">
        <v>91</v>
      </c>
    </row>
    <row r="2092" spans="1:7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x14ac:dyDescent="0.25">
      <c r="A2093" t="s">
        <v>5469</v>
      </c>
      <c r="F2093" t="s">
        <v>5320</v>
      </c>
      <c r="G2093" t="s">
        <v>91</v>
      </c>
    </row>
    <row r="2094" spans="1:7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12647</v>
      </c>
    </row>
    <row r="2098" spans="1:7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12647</v>
      </c>
    </row>
    <row r="2099" spans="1:7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12647</v>
      </c>
    </row>
    <row r="2100" spans="1:7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12647</v>
      </c>
    </row>
    <row r="2101" spans="1:7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12647</v>
      </c>
    </row>
    <row r="2102" spans="1:7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12647</v>
      </c>
    </row>
    <row r="2103" spans="1:7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12647</v>
      </c>
    </row>
    <row r="2104" spans="1:7" x14ac:dyDescent="0.25">
      <c r="A2104" t="s">
        <v>1607</v>
      </c>
      <c r="B2104" t="s">
        <v>8</v>
      </c>
      <c r="F2104" t="s">
        <v>5312</v>
      </c>
      <c r="G2104" t="s">
        <v>11076</v>
      </c>
    </row>
    <row r="2105" spans="1:7" x14ac:dyDescent="0.25">
      <c r="A2105" t="s">
        <v>1607</v>
      </c>
      <c r="B2105" t="s">
        <v>8</v>
      </c>
      <c r="F2105" t="s">
        <v>5314</v>
      </c>
      <c r="G2105" t="s">
        <v>11076</v>
      </c>
    </row>
    <row r="2106" spans="1:7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x14ac:dyDescent="0.25">
      <c r="A2112" t="s">
        <v>4</v>
      </c>
      <c r="B2112" t="s">
        <v>9</v>
      </c>
      <c r="F2112" t="s">
        <v>5357</v>
      </c>
      <c r="G2112" t="s">
        <v>12648</v>
      </c>
    </row>
    <row r="2113" spans="1:7" x14ac:dyDescent="0.25">
      <c r="A2113" t="s">
        <v>1607</v>
      </c>
      <c r="B2113" t="s">
        <v>9</v>
      </c>
      <c r="F2113" t="s">
        <v>5359</v>
      </c>
      <c r="G2113" t="s">
        <v>12648</v>
      </c>
    </row>
    <row r="2114" spans="1:7" x14ac:dyDescent="0.25">
      <c r="A2114" t="s">
        <v>4</v>
      </c>
      <c r="B2114" t="s">
        <v>9</v>
      </c>
      <c r="F2114" t="s">
        <v>5361</v>
      </c>
      <c r="G2114" t="s">
        <v>12649</v>
      </c>
    </row>
    <row r="2115" spans="1:7" x14ac:dyDescent="0.25">
      <c r="A2115" t="s">
        <v>4</v>
      </c>
      <c r="B2115" t="s">
        <v>5473</v>
      </c>
      <c r="F2115" t="s">
        <v>5363</v>
      </c>
      <c r="G2115" t="s">
        <v>12649</v>
      </c>
    </row>
    <row r="2116" spans="1:7" x14ac:dyDescent="0.25">
      <c r="A2116" t="s">
        <v>884</v>
      </c>
      <c r="B2116" t="s">
        <v>58</v>
      </c>
      <c r="F2116" t="s">
        <v>5365</v>
      </c>
      <c r="G2116" t="s">
        <v>12649</v>
      </c>
    </row>
    <row r="2117" spans="1:7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12649</v>
      </c>
    </row>
    <row r="2118" spans="1:7" x14ac:dyDescent="0.25">
      <c r="A2118" t="s">
        <v>884</v>
      </c>
      <c r="B2118" t="s">
        <v>58</v>
      </c>
      <c r="F2118" t="s">
        <v>5369</v>
      </c>
      <c r="G2118" t="s">
        <v>12649</v>
      </c>
    </row>
    <row r="2119" spans="1:7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12649</v>
      </c>
    </row>
    <row r="2120" spans="1:7" x14ac:dyDescent="0.25">
      <c r="A2120" t="s">
        <v>884</v>
      </c>
      <c r="B2120" t="s">
        <v>53</v>
      </c>
      <c r="F2120" t="s">
        <v>5373</v>
      </c>
      <c r="G2120" t="s">
        <v>12649</v>
      </c>
    </row>
    <row r="2121" spans="1:7" x14ac:dyDescent="0.25">
      <c r="A2121" t="s">
        <v>884</v>
      </c>
      <c r="B2121" t="s">
        <v>58</v>
      </c>
      <c r="F2121" t="s">
        <v>5375</v>
      </c>
      <c r="G2121" t="s">
        <v>12649</v>
      </c>
    </row>
    <row r="2122" spans="1:7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12649</v>
      </c>
    </row>
    <row r="2123" spans="1:7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12649</v>
      </c>
    </row>
    <row r="2124" spans="1:7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12649</v>
      </c>
    </row>
    <row r="2125" spans="1:7" x14ac:dyDescent="0.25">
      <c r="A2125" t="s">
        <v>884</v>
      </c>
      <c r="B2125" t="s">
        <v>53</v>
      </c>
      <c r="F2125" t="s">
        <v>5383</v>
      </c>
      <c r="G2125" t="s">
        <v>12649</v>
      </c>
    </row>
    <row r="2126" spans="1:7" x14ac:dyDescent="0.25">
      <c r="A2126" t="s">
        <v>4</v>
      </c>
      <c r="B2126" t="s">
        <v>5474</v>
      </c>
      <c r="F2126" t="s">
        <v>5385</v>
      </c>
      <c r="G2126" t="s">
        <v>12649</v>
      </c>
    </row>
    <row r="2127" spans="1:7" x14ac:dyDescent="0.25">
      <c r="A2127" t="s">
        <v>884</v>
      </c>
      <c r="B2127" t="s">
        <v>53</v>
      </c>
      <c r="F2127" t="s">
        <v>5387</v>
      </c>
      <c r="G2127" t="s">
        <v>12649</v>
      </c>
    </row>
    <row r="2128" spans="1:7" x14ac:dyDescent="0.25">
      <c r="A2128" t="s">
        <v>4</v>
      </c>
      <c r="B2128" t="s">
        <v>9</v>
      </c>
      <c r="F2128" t="s">
        <v>5389</v>
      </c>
      <c r="G2128" t="s">
        <v>12649</v>
      </c>
    </row>
    <row r="2129" spans="1:7" x14ac:dyDescent="0.25">
      <c r="A2129" t="s">
        <v>884</v>
      </c>
      <c r="B2129" t="s">
        <v>58</v>
      </c>
      <c r="F2129" t="s">
        <v>5391</v>
      </c>
      <c r="G2129" t="s">
        <v>12649</v>
      </c>
    </row>
    <row r="2130" spans="1:7" x14ac:dyDescent="0.25">
      <c r="A2130" t="s">
        <v>884</v>
      </c>
      <c r="B2130" t="s">
        <v>58</v>
      </c>
      <c r="F2130" t="s">
        <v>5393</v>
      </c>
      <c r="G2130" t="s">
        <v>12649</v>
      </c>
    </row>
    <row r="2131" spans="1:7" x14ac:dyDescent="0.25">
      <c r="A2131" t="s">
        <v>884</v>
      </c>
      <c r="B2131" t="s">
        <v>58</v>
      </c>
      <c r="F2131" t="s">
        <v>5395</v>
      </c>
      <c r="G2131" t="s">
        <v>12649</v>
      </c>
    </row>
    <row r="2132" spans="1:7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12649</v>
      </c>
    </row>
    <row r="2133" spans="1:7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12650</v>
      </c>
    </row>
    <row r="2134" spans="1:7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12650</v>
      </c>
    </row>
    <row r="2135" spans="1:7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12650</v>
      </c>
    </row>
    <row r="2136" spans="1:7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12650</v>
      </c>
    </row>
    <row r="2137" spans="1:7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12650</v>
      </c>
    </row>
    <row r="2138" spans="1:7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12650</v>
      </c>
    </row>
    <row r="2139" spans="1:7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12650</v>
      </c>
    </row>
    <row r="2140" spans="1:7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12650</v>
      </c>
    </row>
    <row r="2141" spans="1:7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12650</v>
      </c>
    </row>
    <row r="2142" spans="1:7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12650</v>
      </c>
    </row>
    <row r="2143" spans="1:7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12650</v>
      </c>
    </row>
    <row r="2144" spans="1:7" x14ac:dyDescent="0.25">
      <c r="A2144" t="s">
        <v>4</v>
      </c>
      <c r="B2144" t="s">
        <v>8</v>
      </c>
      <c r="F2144" t="s">
        <v>5421</v>
      </c>
      <c r="G2144" t="s">
        <v>12650</v>
      </c>
    </row>
    <row r="2145" spans="1:7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12650</v>
      </c>
    </row>
    <row r="2146" spans="1:7" x14ac:dyDescent="0.25">
      <c r="A2146" t="s">
        <v>1607</v>
      </c>
      <c r="B2146" t="s">
        <v>8</v>
      </c>
      <c r="F2146" t="s">
        <v>5425</v>
      </c>
      <c r="G2146" t="s">
        <v>12651</v>
      </c>
    </row>
    <row r="2147" spans="1:7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x14ac:dyDescent="0.25">
      <c r="A2161" t="s">
        <v>1607</v>
      </c>
      <c r="F2161" t="s">
        <v>5496</v>
      </c>
      <c r="G2161" t="s">
        <v>91</v>
      </c>
    </row>
    <row r="2162" spans="1:7" x14ac:dyDescent="0.25">
      <c r="A2162" t="s">
        <v>1607</v>
      </c>
      <c r="F2162" t="s">
        <v>5498</v>
      </c>
      <c r="G2162" t="s">
        <v>91</v>
      </c>
    </row>
    <row r="2163" spans="1:7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12647</v>
      </c>
    </row>
    <row r="2164" spans="1:7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12647</v>
      </c>
    </row>
    <row r="2165" spans="1:7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12647</v>
      </c>
    </row>
    <row r="2166" spans="1:7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12647</v>
      </c>
    </row>
    <row r="2167" spans="1:7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12647</v>
      </c>
    </row>
    <row r="2168" spans="1:7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12647</v>
      </c>
    </row>
    <row r="2169" spans="1:7" x14ac:dyDescent="0.25">
      <c r="A2169" t="s">
        <v>1607</v>
      </c>
      <c r="B2169" t="s">
        <v>8</v>
      </c>
      <c r="F2169" t="s">
        <v>5494</v>
      </c>
      <c r="G2169" t="s">
        <v>12647</v>
      </c>
    </row>
    <row r="2170" spans="1:7" x14ac:dyDescent="0.25">
      <c r="A2170" t="s">
        <v>1607</v>
      </c>
      <c r="B2170" t="s">
        <v>8</v>
      </c>
      <c r="F2170" t="s">
        <v>5506</v>
      </c>
      <c r="G2170" t="s">
        <v>11076</v>
      </c>
    </row>
    <row r="2171" spans="1:7" x14ac:dyDescent="0.25">
      <c r="A2171" t="s">
        <v>1607</v>
      </c>
      <c r="B2171" t="s">
        <v>8</v>
      </c>
      <c r="F2171" t="s">
        <v>5508</v>
      </c>
      <c r="G2171" t="s">
        <v>11076</v>
      </c>
    </row>
    <row r="2172" spans="1:7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x14ac:dyDescent="0.25">
      <c r="A2184" t="s">
        <v>3377</v>
      </c>
      <c r="F2184" t="s">
        <v>5688</v>
      </c>
      <c r="G2184" t="s">
        <v>897</v>
      </c>
    </row>
    <row r="2185" spans="1:7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x14ac:dyDescent="0.25">
      <c r="A2186" t="s">
        <v>1607</v>
      </c>
      <c r="B2186" t="s">
        <v>9</v>
      </c>
      <c r="F2186" t="s">
        <v>5525</v>
      </c>
      <c r="G2186" t="s">
        <v>12648</v>
      </c>
    </row>
    <row r="2187" spans="1:7" x14ac:dyDescent="0.25">
      <c r="A2187" t="s">
        <v>4</v>
      </c>
      <c r="B2187" t="s">
        <v>9</v>
      </c>
      <c r="F2187" t="s">
        <v>5527</v>
      </c>
      <c r="G2187" t="s">
        <v>12648</v>
      </c>
    </row>
    <row r="2188" spans="1:7" x14ac:dyDescent="0.25">
      <c r="A2188" t="s">
        <v>5694</v>
      </c>
      <c r="F2188" t="s">
        <v>5529</v>
      </c>
      <c r="G2188" t="s">
        <v>12648</v>
      </c>
    </row>
    <row r="2189" spans="1:7" x14ac:dyDescent="0.25">
      <c r="A2189" t="s">
        <v>884</v>
      </c>
      <c r="B2189" t="s">
        <v>5695</v>
      </c>
      <c r="F2189" t="s">
        <v>5531</v>
      </c>
      <c r="G2189" t="s">
        <v>12648</v>
      </c>
    </row>
    <row r="2190" spans="1:7" x14ac:dyDescent="0.25">
      <c r="A2190" t="s">
        <v>1607</v>
      </c>
      <c r="B2190" t="s">
        <v>9</v>
      </c>
      <c r="F2190" t="s">
        <v>5533</v>
      </c>
      <c r="G2190" t="s">
        <v>12648</v>
      </c>
    </row>
    <row r="2191" spans="1:7" x14ac:dyDescent="0.25">
      <c r="A2191" t="s">
        <v>4</v>
      </c>
      <c r="B2191" t="s">
        <v>9</v>
      </c>
      <c r="F2191" t="s">
        <v>5535</v>
      </c>
      <c r="G2191" t="s">
        <v>12649</v>
      </c>
    </row>
    <row r="2192" spans="1:7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12649</v>
      </c>
    </row>
    <row r="2193" spans="1:7" x14ac:dyDescent="0.25">
      <c r="A2193" t="s">
        <v>884</v>
      </c>
      <c r="B2193" t="s">
        <v>58</v>
      </c>
      <c r="F2193" t="s">
        <v>5539</v>
      </c>
      <c r="G2193" t="s">
        <v>12649</v>
      </c>
    </row>
    <row r="2194" spans="1:7" x14ac:dyDescent="0.25">
      <c r="A2194" t="s">
        <v>884</v>
      </c>
      <c r="B2194" t="s">
        <v>58</v>
      </c>
      <c r="F2194" t="s">
        <v>5541</v>
      </c>
      <c r="G2194" t="s">
        <v>12649</v>
      </c>
    </row>
    <row r="2195" spans="1:7" x14ac:dyDescent="0.25">
      <c r="A2195" t="s">
        <v>884</v>
      </c>
      <c r="B2195" t="s">
        <v>58</v>
      </c>
      <c r="F2195" t="s">
        <v>5543</v>
      </c>
      <c r="G2195" t="s">
        <v>12649</v>
      </c>
    </row>
    <row r="2196" spans="1:7" x14ac:dyDescent="0.25">
      <c r="A2196" t="s">
        <v>884</v>
      </c>
      <c r="B2196" t="s">
        <v>58</v>
      </c>
      <c r="F2196" t="s">
        <v>5545</v>
      </c>
      <c r="G2196" t="s">
        <v>12649</v>
      </c>
    </row>
    <row r="2197" spans="1:7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12649</v>
      </c>
    </row>
    <row r="2198" spans="1:7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12649</v>
      </c>
    </row>
    <row r="2199" spans="1:7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12649</v>
      </c>
    </row>
    <row r="2200" spans="1:7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12649</v>
      </c>
    </row>
    <row r="2201" spans="1:7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12649</v>
      </c>
    </row>
    <row r="2202" spans="1:7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12649</v>
      </c>
    </row>
    <row r="2203" spans="1:7" x14ac:dyDescent="0.25">
      <c r="A2203" t="s">
        <v>4</v>
      </c>
      <c r="B2203" t="s">
        <v>9</v>
      </c>
      <c r="F2203" t="s">
        <v>5559</v>
      </c>
      <c r="G2203" t="s">
        <v>12649</v>
      </c>
    </row>
    <row r="2204" spans="1:7" x14ac:dyDescent="0.25">
      <c r="A2204" t="s">
        <v>884</v>
      </c>
      <c r="B2204" t="s">
        <v>58</v>
      </c>
      <c r="F2204" t="s">
        <v>5561</v>
      </c>
      <c r="G2204" t="s">
        <v>12649</v>
      </c>
    </row>
    <row r="2205" spans="1:7" x14ac:dyDescent="0.25">
      <c r="A2205" t="s">
        <v>4</v>
      </c>
      <c r="B2205" t="s">
        <v>9</v>
      </c>
      <c r="F2205" t="s">
        <v>5563</v>
      </c>
      <c r="G2205" t="s">
        <v>12649</v>
      </c>
    </row>
    <row r="2206" spans="1:7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12649</v>
      </c>
    </row>
    <row r="2207" spans="1:7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12649</v>
      </c>
    </row>
    <row r="2208" spans="1:7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12649</v>
      </c>
    </row>
    <row r="2209" spans="1:7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12649</v>
      </c>
    </row>
    <row r="2210" spans="1:7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12649</v>
      </c>
    </row>
    <row r="2211" spans="1:7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12649</v>
      </c>
    </row>
    <row r="2212" spans="1:7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12649</v>
      </c>
    </row>
    <row r="2213" spans="1:7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12649</v>
      </c>
    </row>
    <row r="2214" spans="1:7" x14ac:dyDescent="0.25">
      <c r="A2214" t="s">
        <v>4</v>
      </c>
      <c r="B2214" t="s">
        <v>9</v>
      </c>
      <c r="F2214" t="s">
        <v>5581</v>
      </c>
      <c r="G2214" t="s">
        <v>12649</v>
      </c>
    </row>
    <row r="2215" spans="1:7" x14ac:dyDescent="0.25">
      <c r="A2215" t="s">
        <v>1607</v>
      </c>
      <c r="B2215" t="s">
        <v>9</v>
      </c>
      <c r="F2215" t="s">
        <v>5583</v>
      </c>
      <c r="G2215" t="s">
        <v>12649</v>
      </c>
    </row>
    <row r="2216" spans="1:7" x14ac:dyDescent="0.25">
      <c r="A2216" t="s">
        <v>1607</v>
      </c>
      <c r="B2216" t="s">
        <v>9</v>
      </c>
      <c r="F2216" t="s">
        <v>5585</v>
      </c>
      <c r="G2216" t="s">
        <v>12649</v>
      </c>
    </row>
    <row r="2217" spans="1:7" x14ac:dyDescent="0.25">
      <c r="A2217" t="s">
        <v>4</v>
      </c>
      <c r="B2217" t="s">
        <v>8</v>
      </c>
      <c r="F2217" t="s">
        <v>5587</v>
      </c>
      <c r="G2217" t="s">
        <v>12650</v>
      </c>
    </row>
    <row r="2218" spans="1:7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12650</v>
      </c>
    </row>
    <row r="2219" spans="1:7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12650</v>
      </c>
    </row>
    <row r="2220" spans="1:7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12650</v>
      </c>
    </row>
    <row r="2221" spans="1:7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12650</v>
      </c>
    </row>
    <row r="2222" spans="1:7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12650</v>
      </c>
    </row>
    <row r="2223" spans="1:7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12650</v>
      </c>
    </row>
    <row r="2224" spans="1:7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12650</v>
      </c>
    </row>
    <row r="2225" spans="1:7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12650</v>
      </c>
    </row>
    <row r="2226" spans="1:7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12650</v>
      </c>
    </row>
    <row r="2227" spans="1:7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12650</v>
      </c>
    </row>
    <row r="2228" spans="1:7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12650</v>
      </c>
    </row>
    <row r="2229" spans="1:7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12650</v>
      </c>
    </row>
    <row r="2230" spans="1:7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12650</v>
      </c>
    </row>
    <row r="2231" spans="1:7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12650</v>
      </c>
    </row>
    <row r="2232" spans="1:7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12650</v>
      </c>
    </row>
    <row r="2233" spans="1:7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12650</v>
      </c>
    </row>
    <row r="2234" spans="1:7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12650</v>
      </c>
    </row>
    <row r="2235" spans="1:7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12650</v>
      </c>
    </row>
    <row r="2236" spans="1:7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12650</v>
      </c>
    </row>
    <row r="2237" spans="1:7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12650</v>
      </c>
    </row>
    <row r="2238" spans="1:7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12650</v>
      </c>
    </row>
    <row r="2239" spans="1:7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12650</v>
      </c>
    </row>
    <row r="2240" spans="1:7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12650</v>
      </c>
    </row>
    <row r="2241" spans="1:7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12650</v>
      </c>
    </row>
    <row r="2242" spans="1:7" x14ac:dyDescent="0.25">
      <c r="A2242" t="s">
        <v>4</v>
      </c>
      <c r="B2242" t="s">
        <v>8</v>
      </c>
      <c r="F2242" t="s">
        <v>5637</v>
      </c>
      <c r="G2242" t="s">
        <v>12650</v>
      </c>
    </row>
    <row r="2243" spans="1:7" x14ac:dyDescent="0.25">
      <c r="A2243" t="s">
        <v>1607</v>
      </c>
      <c r="B2243" t="s">
        <v>8</v>
      </c>
      <c r="F2243" t="s">
        <v>5639</v>
      </c>
      <c r="G2243" t="s">
        <v>12650</v>
      </c>
    </row>
    <row r="2244" spans="1:7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12651</v>
      </c>
    </row>
    <row r="2245" spans="1:7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12651</v>
      </c>
    </row>
    <row r="2246" spans="1:7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12651</v>
      </c>
    </row>
    <row r="2247" spans="1:7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12651</v>
      </c>
    </row>
    <row r="2248" spans="1:7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12651</v>
      </c>
    </row>
    <row r="2249" spans="1:7" x14ac:dyDescent="0.25">
      <c r="A2249" t="s">
        <v>4</v>
      </c>
      <c r="B2249" t="s">
        <v>8</v>
      </c>
      <c r="F2249" t="s">
        <v>5651</v>
      </c>
      <c r="G2249" t="s">
        <v>12651</v>
      </c>
    </row>
    <row r="2250" spans="1:7" x14ac:dyDescent="0.25">
      <c r="A2250" t="s">
        <v>1607</v>
      </c>
      <c r="B2250" t="s">
        <v>8</v>
      </c>
      <c r="F2250" t="s">
        <v>5653</v>
      </c>
      <c r="G2250" t="s">
        <v>12651</v>
      </c>
    </row>
    <row r="2251" spans="1:7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x14ac:dyDescent="0.25">
      <c r="A2257" t="s">
        <v>1607</v>
      </c>
      <c r="F2257" t="s">
        <v>5703</v>
      </c>
      <c r="G2257" t="s">
        <v>91</v>
      </c>
    </row>
    <row r="2258" spans="1:7" x14ac:dyDescent="0.25">
      <c r="A2258" t="s">
        <v>1607</v>
      </c>
      <c r="B2258" t="s">
        <v>8</v>
      </c>
      <c r="F2258" t="s">
        <v>5705</v>
      </c>
      <c r="G2258" t="s">
        <v>12647</v>
      </c>
    </row>
    <row r="2259" spans="1:7" x14ac:dyDescent="0.25">
      <c r="A2259" t="s">
        <v>1607</v>
      </c>
      <c r="B2259" t="s">
        <v>8</v>
      </c>
      <c r="F2259" t="s">
        <v>5707</v>
      </c>
      <c r="G2259" t="s">
        <v>11076</v>
      </c>
    </row>
    <row r="2260" spans="1:7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x14ac:dyDescent="0.25">
      <c r="A2264" t="s">
        <v>1607</v>
      </c>
      <c r="B2264" t="s">
        <v>9</v>
      </c>
      <c r="F2264" t="s">
        <v>5715</v>
      </c>
      <c r="G2264" t="s">
        <v>12648</v>
      </c>
    </row>
    <row r="2265" spans="1:7" x14ac:dyDescent="0.25">
      <c r="A2265" t="s">
        <v>4</v>
      </c>
      <c r="B2265" t="s">
        <v>9</v>
      </c>
      <c r="F2265" t="s">
        <v>5717</v>
      </c>
      <c r="G2265" t="s">
        <v>12649</v>
      </c>
    </row>
    <row r="2266" spans="1:7" x14ac:dyDescent="0.25">
      <c r="A2266" t="s">
        <v>4</v>
      </c>
      <c r="B2266" t="s">
        <v>5736</v>
      </c>
      <c r="F2266" t="s">
        <v>5719</v>
      </c>
      <c r="G2266" t="s">
        <v>12649</v>
      </c>
    </row>
    <row r="2267" spans="1:7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12649</v>
      </c>
    </row>
    <row r="2268" spans="1:7" x14ac:dyDescent="0.25">
      <c r="A2268" t="s">
        <v>1607</v>
      </c>
      <c r="B2268" t="s">
        <v>8</v>
      </c>
      <c r="F2268" t="s">
        <v>5723</v>
      </c>
      <c r="G2268" t="s">
        <v>12650</v>
      </c>
    </row>
    <row r="2269" spans="1:7" x14ac:dyDescent="0.25">
      <c r="A2269" t="s">
        <v>1607</v>
      </c>
      <c r="B2269" t="s">
        <v>8</v>
      </c>
      <c r="F2269" t="s">
        <v>5725</v>
      </c>
      <c r="G2269" t="s">
        <v>12651</v>
      </c>
    </row>
    <row r="2270" spans="1:7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12647</v>
      </c>
    </row>
    <row r="2277" spans="1:7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12647</v>
      </c>
    </row>
    <row r="2278" spans="1:7" x14ac:dyDescent="0.25">
      <c r="A2278" t="s">
        <v>1607</v>
      </c>
      <c r="B2278" t="s">
        <v>8</v>
      </c>
      <c r="F2278" t="s">
        <v>5741</v>
      </c>
      <c r="G2278" t="s">
        <v>12647</v>
      </c>
    </row>
    <row r="2279" spans="1:7" x14ac:dyDescent="0.25">
      <c r="A2279" t="s">
        <v>1607</v>
      </c>
      <c r="B2279" t="s">
        <v>8</v>
      </c>
      <c r="F2279" t="s">
        <v>5772</v>
      </c>
      <c r="G2279" t="s">
        <v>11076</v>
      </c>
    </row>
    <row r="2280" spans="1:7" x14ac:dyDescent="0.25">
      <c r="A2280" t="s">
        <v>4</v>
      </c>
      <c r="B2280" t="s">
        <v>8</v>
      </c>
      <c r="F2280" t="s">
        <v>5774</v>
      </c>
      <c r="G2280" t="s">
        <v>11076</v>
      </c>
    </row>
    <row r="2281" spans="1:7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11076</v>
      </c>
    </row>
    <row r="2282" spans="1:7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x14ac:dyDescent="0.25">
      <c r="A2317" t="s">
        <v>1607</v>
      </c>
      <c r="B2317" t="s">
        <v>9</v>
      </c>
      <c r="F2317" t="s">
        <v>5890</v>
      </c>
      <c r="G2317" t="s">
        <v>12648</v>
      </c>
    </row>
    <row r="2318" spans="1:7" x14ac:dyDescent="0.25">
      <c r="A2318" t="s">
        <v>1607</v>
      </c>
      <c r="B2318" t="s">
        <v>9</v>
      </c>
      <c r="F2318" t="s">
        <v>5892</v>
      </c>
      <c r="G2318" t="s">
        <v>12648</v>
      </c>
    </row>
    <row r="2319" spans="1:7" x14ac:dyDescent="0.25">
      <c r="A2319" t="s">
        <v>4</v>
      </c>
      <c r="B2319" t="s">
        <v>9</v>
      </c>
      <c r="F2319" t="s">
        <v>5778</v>
      </c>
      <c r="G2319" t="s">
        <v>12649</v>
      </c>
    </row>
    <row r="2320" spans="1:7" x14ac:dyDescent="0.25">
      <c r="A2320" t="s">
        <v>4</v>
      </c>
      <c r="B2320" t="s">
        <v>5736</v>
      </c>
      <c r="F2320" t="s">
        <v>5780</v>
      </c>
      <c r="G2320" t="s">
        <v>12649</v>
      </c>
    </row>
    <row r="2321" spans="1:7" x14ac:dyDescent="0.25">
      <c r="A2321" t="s">
        <v>4</v>
      </c>
      <c r="B2321" t="s">
        <v>9</v>
      </c>
      <c r="F2321" t="s">
        <v>5782</v>
      </c>
      <c r="G2321" t="s">
        <v>12649</v>
      </c>
    </row>
    <row r="2322" spans="1:7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12649</v>
      </c>
    </row>
    <row r="2323" spans="1:7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12649</v>
      </c>
    </row>
    <row r="2324" spans="1:7" x14ac:dyDescent="0.25">
      <c r="A2324" t="s">
        <v>4</v>
      </c>
      <c r="B2324" t="s">
        <v>5736</v>
      </c>
      <c r="F2324" t="s">
        <v>5788</v>
      </c>
      <c r="G2324" t="s">
        <v>12649</v>
      </c>
    </row>
    <row r="2325" spans="1:7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12649</v>
      </c>
    </row>
    <row r="2326" spans="1:7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12649</v>
      </c>
    </row>
    <row r="2327" spans="1:7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12649</v>
      </c>
    </row>
    <row r="2328" spans="1:7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12649</v>
      </c>
    </row>
    <row r="2329" spans="1:7" x14ac:dyDescent="0.25">
      <c r="A2329" t="s">
        <v>1607</v>
      </c>
      <c r="B2329" t="s">
        <v>8</v>
      </c>
      <c r="F2329" t="s">
        <v>5798</v>
      </c>
      <c r="G2329" t="s">
        <v>12650</v>
      </c>
    </row>
    <row r="2330" spans="1:7" x14ac:dyDescent="0.25">
      <c r="A2330" t="s">
        <v>1607</v>
      </c>
      <c r="B2330" t="s">
        <v>8</v>
      </c>
      <c r="F2330" t="s">
        <v>5800</v>
      </c>
      <c r="G2330" t="s">
        <v>12650</v>
      </c>
    </row>
    <row r="2331" spans="1:7" x14ac:dyDescent="0.25">
      <c r="A2331" t="s">
        <v>1607</v>
      </c>
      <c r="B2331" t="s">
        <v>8</v>
      </c>
      <c r="F2331" t="s">
        <v>5802</v>
      </c>
      <c r="G2331" t="s">
        <v>12651</v>
      </c>
    </row>
    <row r="2332" spans="1:7" x14ac:dyDescent="0.25">
      <c r="A2332" t="s">
        <v>1607</v>
      </c>
      <c r="B2332" t="s">
        <v>8</v>
      </c>
      <c r="F2332" t="s">
        <v>5804</v>
      </c>
      <c r="G2332" t="s">
        <v>12651</v>
      </c>
    </row>
    <row r="2333" spans="1:7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x14ac:dyDescent="0.25">
      <c r="A2338" t="s">
        <v>1607</v>
      </c>
      <c r="F2338" t="s">
        <v>5911</v>
      </c>
      <c r="G2338" t="s">
        <v>91</v>
      </c>
    </row>
    <row r="2339" spans="1:7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x14ac:dyDescent="0.25">
      <c r="A2345" t="s">
        <v>1607</v>
      </c>
      <c r="B2345" t="s">
        <v>8</v>
      </c>
      <c r="F2345" t="s">
        <v>5925</v>
      </c>
      <c r="G2345" t="s">
        <v>12647</v>
      </c>
    </row>
    <row r="2346" spans="1:7" x14ac:dyDescent="0.25">
      <c r="A2346" t="s">
        <v>1607</v>
      </c>
      <c r="B2346" t="s">
        <v>8</v>
      </c>
      <c r="F2346" t="s">
        <v>5927</v>
      </c>
      <c r="G2346" t="s">
        <v>12647</v>
      </c>
    </row>
    <row r="2347" spans="1:7" x14ac:dyDescent="0.25">
      <c r="A2347" t="s">
        <v>1607</v>
      </c>
      <c r="B2347" t="s">
        <v>8</v>
      </c>
      <c r="F2347" t="s">
        <v>5951</v>
      </c>
      <c r="G2347" t="s">
        <v>11076</v>
      </c>
    </row>
    <row r="2348" spans="1:7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11076</v>
      </c>
    </row>
    <row r="2349" spans="1:7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11076</v>
      </c>
    </row>
    <row r="2350" spans="1:7" x14ac:dyDescent="0.25">
      <c r="A2350" t="s">
        <v>1607</v>
      </c>
      <c r="B2350" t="s">
        <v>8</v>
      </c>
      <c r="F2350" t="s">
        <v>5957</v>
      </c>
      <c r="G2350" t="s">
        <v>11076</v>
      </c>
    </row>
    <row r="2351" spans="1:7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x14ac:dyDescent="0.25">
      <c r="A2388" t="s">
        <v>1607</v>
      </c>
      <c r="B2388" t="s">
        <v>9</v>
      </c>
      <c r="F2388" t="s">
        <v>5929</v>
      </c>
      <c r="G2388" t="s">
        <v>12648</v>
      </c>
    </row>
    <row r="2389" spans="1:7" x14ac:dyDescent="0.25">
      <c r="A2389" t="s">
        <v>1607</v>
      </c>
      <c r="B2389" t="s">
        <v>9</v>
      </c>
      <c r="F2389" t="s">
        <v>5931</v>
      </c>
      <c r="G2389" t="s">
        <v>12648</v>
      </c>
    </row>
    <row r="2390" spans="1:7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12649</v>
      </c>
    </row>
    <row r="2391" spans="1:7" x14ac:dyDescent="0.25">
      <c r="A2391" t="s">
        <v>4</v>
      </c>
      <c r="B2391" t="s">
        <v>6157</v>
      </c>
      <c r="F2391" t="s">
        <v>5935</v>
      </c>
      <c r="G2391" t="s">
        <v>12649</v>
      </c>
    </row>
    <row r="2392" spans="1:7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12649</v>
      </c>
    </row>
    <row r="2393" spans="1:7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12649</v>
      </c>
    </row>
    <row r="2394" spans="1:7" x14ac:dyDescent="0.25">
      <c r="A2394" t="s">
        <v>4</v>
      </c>
      <c r="B2394" t="s">
        <v>6157</v>
      </c>
      <c r="F2394" t="s">
        <v>5941</v>
      </c>
      <c r="G2394" t="s">
        <v>12649</v>
      </c>
    </row>
    <row r="2395" spans="1:7" x14ac:dyDescent="0.25">
      <c r="A2395" t="s">
        <v>4</v>
      </c>
      <c r="B2395" t="s">
        <v>6157</v>
      </c>
      <c r="F2395" t="s">
        <v>5943</v>
      </c>
      <c r="G2395" t="s">
        <v>12649</v>
      </c>
    </row>
    <row r="2396" spans="1:7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12649</v>
      </c>
    </row>
    <row r="2397" spans="1:7" x14ac:dyDescent="0.25">
      <c r="A2397" t="s">
        <v>4</v>
      </c>
      <c r="B2397" t="s">
        <v>6157</v>
      </c>
      <c r="F2397" t="s">
        <v>5947</v>
      </c>
      <c r="G2397" t="s">
        <v>12649</v>
      </c>
    </row>
    <row r="2398" spans="1:7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12649</v>
      </c>
    </row>
    <row r="2399" spans="1:7" x14ac:dyDescent="0.25">
      <c r="A2399" t="s">
        <v>1607</v>
      </c>
      <c r="B2399" t="s">
        <v>8</v>
      </c>
      <c r="F2399" t="s">
        <v>5959</v>
      </c>
      <c r="G2399" t="s">
        <v>12650</v>
      </c>
    </row>
    <row r="2400" spans="1:7" x14ac:dyDescent="0.25">
      <c r="A2400" t="s">
        <v>6159</v>
      </c>
      <c r="B2400" t="s">
        <v>1274</v>
      </c>
      <c r="F2400" t="s">
        <v>5961</v>
      </c>
      <c r="G2400" t="s">
        <v>12650</v>
      </c>
    </row>
    <row r="2401" spans="1:7" x14ac:dyDescent="0.25">
      <c r="A2401" t="s">
        <v>6159</v>
      </c>
      <c r="B2401" t="s">
        <v>1274</v>
      </c>
      <c r="F2401" t="s">
        <v>5963</v>
      </c>
      <c r="G2401" t="s">
        <v>12650</v>
      </c>
    </row>
    <row r="2402" spans="1:7" x14ac:dyDescent="0.25">
      <c r="A2402" t="s">
        <v>1607</v>
      </c>
      <c r="B2402" t="s">
        <v>8</v>
      </c>
      <c r="F2402" t="s">
        <v>5965</v>
      </c>
      <c r="G2402" t="s">
        <v>12650</v>
      </c>
    </row>
    <row r="2403" spans="1:7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12650</v>
      </c>
    </row>
    <row r="2404" spans="1:7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12650</v>
      </c>
    </row>
    <row r="2405" spans="1:7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12650</v>
      </c>
    </row>
    <row r="2406" spans="1:7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12650</v>
      </c>
    </row>
    <row r="2407" spans="1:7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12650</v>
      </c>
    </row>
    <row r="2408" spans="1:7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12650</v>
      </c>
    </row>
    <row r="2409" spans="1:7" x14ac:dyDescent="0.25">
      <c r="A2409" t="s">
        <v>6160</v>
      </c>
      <c r="B2409" t="s">
        <v>468</v>
      </c>
      <c r="F2409" t="s">
        <v>5984</v>
      </c>
      <c r="G2409" t="s">
        <v>12650</v>
      </c>
    </row>
    <row r="2410" spans="1:7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12650</v>
      </c>
    </row>
    <row r="2411" spans="1:7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12650</v>
      </c>
    </row>
    <row r="2412" spans="1:7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12650</v>
      </c>
    </row>
    <row r="2413" spans="1:7" x14ac:dyDescent="0.25">
      <c r="A2413" t="s">
        <v>1607</v>
      </c>
      <c r="B2413" t="s">
        <v>8</v>
      </c>
      <c r="F2413" t="s">
        <v>5992</v>
      </c>
      <c r="G2413" t="s">
        <v>12650</v>
      </c>
    </row>
    <row r="2414" spans="1:7" x14ac:dyDescent="0.25">
      <c r="A2414" t="s">
        <v>1607</v>
      </c>
      <c r="B2414" t="s">
        <v>8</v>
      </c>
      <c r="F2414" t="s">
        <v>5994</v>
      </c>
      <c r="G2414" t="s">
        <v>12650</v>
      </c>
    </row>
    <row r="2415" spans="1:7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12651</v>
      </c>
    </row>
    <row r="2416" spans="1:7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12651</v>
      </c>
    </row>
    <row r="2417" spans="1:7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12651</v>
      </c>
    </row>
    <row r="2418" spans="1:7" x14ac:dyDescent="0.25">
      <c r="A2418" t="s">
        <v>4</v>
      </c>
      <c r="B2418" t="s">
        <v>8</v>
      </c>
      <c r="F2418" t="s">
        <v>6002</v>
      </c>
      <c r="G2418" t="s">
        <v>12651</v>
      </c>
    </row>
    <row r="2419" spans="1:7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12651</v>
      </c>
    </row>
    <row r="2420" spans="1:7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12651</v>
      </c>
    </row>
    <row r="2421" spans="1:7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12651</v>
      </c>
    </row>
    <row r="2422" spans="1:7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12651</v>
      </c>
    </row>
    <row r="2423" spans="1:7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12651</v>
      </c>
    </row>
    <row r="2424" spans="1:7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12651</v>
      </c>
    </row>
    <row r="2425" spans="1:7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x14ac:dyDescent="0.25">
      <c r="A2436" t="s">
        <v>1607</v>
      </c>
      <c r="B2436" t="s">
        <v>8</v>
      </c>
      <c r="F2436" t="s">
        <v>6168</v>
      </c>
      <c r="G2436" t="s">
        <v>12647</v>
      </c>
    </row>
    <row r="2437" spans="1:7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11076</v>
      </c>
    </row>
    <row r="2438" spans="1:7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11076</v>
      </c>
    </row>
    <row r="2439" spans="1:7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11076</v>
      </c>
    </row>
    <row r="2440" spans="1:7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x14ac:dyDescent="0.25">
      <c r="A2453" t="s">
        <v>1607</v>
      </c>
      <c r="B2453" t="s">
        <v>9</v>
      </c>
      <c r="F2453" t="s">
        <v>6293</v>
      </c>
      <c r="G2453" t="s">
        <v>12648</v>
      </c>
    </row>
    <row r="2454" spans="1:7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12649</v>
      </c>
    </row>
    <row r="2455" spans="1:7" x14ac:dyDescent="0.25">
      <c r="A2455" t="s">
        <v>4</v>
      </c>
      <c r="B2455" t="s">
        <v>6157</v>
      </c>
      <c r="F2455" t="s">
        <v>6176</v>
      </c>
      <c r="G2455" t="s">
        <v>12649</v>
      </c>
    </row>
    <row r="2456" spans="1:7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12649</v>
      </c>
    </row>
    <row r="2457" spans="1:7" x14ac:dyDescent="0.25">
      <c r="A2457" t="s">
        <v>4</v>
      </c>
      <c r="B2457" t="s">
        <v>6157</v>
      </c>
      <c r="F2457" t="s">
        <v>6180</v>
      </c>
      <c r="G2457" t="s">
        <v>12649</v>
      </c>
    </row>
    <row r="2458" spans="1:7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12649</v>
      </c>
    </row>
    <row r="2459" spans="1:7" x14ac:dyDescent="0.25">
      <c r="A2459" t="s">
        <v>1607</v>
      </c>
      <c r="B2459" t="s">
        <v>8</v>
      </c>
      <c r="F2459" t="s">
        <v>6184</v>
      </c>
      <c r="G2459" t="s">
        <v>12650</v>
      </c>
    </row>
    <row r="2460" spans="1:7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12651</v>
      </c>
    </row>
    <row r="2461" spans="1:7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12651</v>
      </c>
    </row>
    <row r="2462" spans="1:7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12651</v>
      </c>
    </row>
    <row r="2463" spans="1:7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12651</v>
      </c>
    </row>
    <row r="2464" spans="1:7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12651</v>
      </c>
    </row>
    <row r="2465" spans="1:7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12651</v>
      </c>
    </row>
    <row r="2466" spans="1:7" x14ac:dyDescent="0.25">
      <c r="A2466" t="s">
        <v>6299</v>
      </c>
      <c r="B2466" t="s">
        <v>468</v>
      </c>
      <c r="F2466" t="s">
        <v>6198</v>
      </c>
      <c r="G2466" t="s">
        <v>12651</v>
      </c>
    </row>
    <row r="2467" spans="1:7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12651</v>
      </c>
    </row>
    <row r="2468" spans="1:7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12651</v>
      </c>
    </row>
    <row r="2469" spans="1:7" x14ac:dyDescent="0.25">
      <c r="A2469" t="s">
        <v>4</v>
      </c>
      <c r="B2469" t="s">
        <v>8</v>
      </c>
      <c r="F2469" t="s">
        <v>6204</v>
      </c>
      <c r="G2469" t="s">
        <v>12651</v>
      </c>
    </row>
    <row r="2470" spans="1:7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12647</v>
      </c>
    </row>
    <row r="2498" spans="1:7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12647</v>
      </c>
    </row>
    <row r="2499" spans="1:7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12647</v>
      </c>
    </row>
    <row r="2500" spans="1:7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12647</v>
      </c>
    </row>
    <row r="2501" spans="1:7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12647</v>
      </c>
    </row>
    <row r="2502" spans="1:7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12647</v>
      </c>
    </row>
    <row r="2503" spans="1:7" x14ac:dyDescent="0.25">
      <c r="A2503" t="s">
        <v>1607</v>
      </c>
      <c r="B2503" t="s">
        <v>8</v>
      </c>
      <c r="F2503" t="s">
        <v>6353</v>
      </c>
      <c r="G2503" t="s">
        <v>11076</v>
      </c>
    </row>
    <row r="2504" spans="1:7" x14ac:dyDescent="0.25">
      <c r="A2504" t="s">
        <v>1607</v>
      </c>
      <c r="B2504" t="s">
        <v>8</v>
      </c>
      <c r="F2504" t="s">
        <v>6355</v>
      </c>
      <c r="G2504" t="s">
        <v>11076</v>
      </c>
    </row>
    <row r="2505" spans="1:7" x14ac:dyDescent="0.25">
      <c r="A2505" t="s">
        <v>4</v>
      </c>
      <c r="B2505" t="s">
        <v>468</v>
      </c>
      <c r="F2505" t="s">
        <v>6357</v>
      </c>
      <c r="G2505" t="s">
        <v>11076</v>
      </c>
    </row>
    <row r="2506" spans="1:7" x14ac:dyDescent="0.25">
      <c r="A2506" t="s">
        <v>1607</v>
      </c>
      <c r="B2506" t="s">
        <v>8</v>
      </c>
      <c r="F2506" t="s">
        <v>6359</v>
      </c>
      <c r="G2506" t="s">
        <v>11076</v>
      </c>
    </row>
    <row r="2507" spans="1:7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x14ac:dyDescent="0.25">
      <c r="A2524" t="s">
        <v>1607</v>
      </c>
      <c r="B2524" t="s">
        <v>9</v>
      </c>
      <c r="F2524" t="s">
        <v>6422</v>
      </c>
      <c r="G2524" t="s">
        <v>12648</v>
      </c>
    </row>
    <row r="2525" spans="1:7" x14ac:dyDescent="0.25">
      <c r="A2525" t="s">
        <v>1607</v>
      </c>
      <c r="B2525" t="s">
        <v>9</v>
      </c>
      <c r="F2525" t="s">
        <v>6424</v>
      </c>
      <c r="G2525" t="s">
        <v>12648</v>
      </c>
    </row>
    <row r="2526" spans="1:7" x14ac:dyDescent="0.25">
      <c r="A2526" t="s">
        <v>1607</v>
      </c>
      <c r="B2526" t="s">
        <v>86</v>
      </c>
      <c r="F2526" t="s">
        <v>6361</v>
      </c>
      <c r="G2526" t="s">
        <v>12649</v>
      </c>
    </row>
    <row r="2527" spans="1:7" x14ac:dyDescent="0.25">
      <c r="A2527" t="s">
        <v>1607</v>
      </c>
      <c r="B2527" t="s">
        <v>86</v>
      </c>
      <c r="F2527" t="s">
        <v>6363</v>
      </c>
      <c r="G2527" t="s">
        <v>12649</v>
      </c>
    </row>
    <row r="2528" spans="1:7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12650</v>
      </c>
    </row>
    <row r="2529" spans="1:7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12650</v>
      </c>
    </row>
    <row r="2530" spans="1:7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12650</v>
      </c>
    </row>
    <row r="2531" spans="1:7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12650</v>
      </c>
    </row>
    <row r="2532" spans="1:7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12651</v>
      </c>
    </row>
    <row r="2533" spans="1:7" x14ac:dyDescent="0.25">
      <c r="A2533" t="s">
        <v>4</v>
      </c>
      <c r="B2533" t="s">
        <v>6439</v>
      </c>
      <c r="F2533" t="s">
        <v>6367</v>
      </c>
      <c r="G2533" t="s">
        <v>12651</v>
      </c>
    </row>
    <row r="2534" spans="1:7" x14ac:dyDescent="0.25">
      <c r="A2534" t="s">
        <v>4</v>
      </c>
      <c r="B2534" t="s">
        <v>8</v>
      </c>
      <c r="F2534" t="s">
        <v>6369</v>
      </c>
      <c r="G2534" t="s">
        <v>12651</v>
      </c>
    </row>
    <row r="2535" spans="1:7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x14ac:dyDescent="0.25">
      <c r="A2548" t="s">
        <v>1607</v>
      </c>
      <c r="F2548" t="s">
        <v>6460</v>
      </c>
      <c r="G2548" t="s">
        <v>91</v>
      </c>
    </row>
    <row r="2549" spans="1:7" x14ac:dyDescent="0.25">
      <c r="A2549" t="s">
        <v>1607</v>
      </c>
      <c r="F2549" t="s">
        <v>6462</v>
      </c>
      <c r="G2549" t="s">
        <v>91</v>
      </c>
    </row>
    <row r="2550" spans="1:7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12647</v>
      </c>
    </row>
    <row r="2551" spans="1:7" x14ac:dyDescent="0.25">
      <c r="A2551" t="s">
        <v>1607</v>
      </c>
      <c r="B2551" t="s">
        <v>8</v>
      </c>
      <c r="F2551" t="s">
        <v>6466</v>
      </c>
      <c r="G2551" t="s">
        <v>12647</v>
      </c>
    </row>
    <row r="2552" spans="1:7" x14ac:dyDescent="0.25">
      <c r="A2552" t="s">
        <v>1607</v>
      </c>
      <c r="B2552" t="s">
        <v>8</v>
      </c>
      <c r="F2552" t="s">
        <v>6468</v>
      </c>
      <c r="G2552" t="s">
        <v>12647</v>
      </c>
    </row>
    <row r="2553" spans="1:7" x14ac:dyDescent="0.25">
      <c r="A2553" t="s">
        <v>1607</v>
      </c>
      <c r="B2553" t="s">
        <v>8</v>
      </c>
      <c r="F2553" t="s">
        <v>6470</v>
      </c>
      <c r="G2553" t="s">
        <v>12647</v>
      </c>
    </row>
    <row r="2554" spans="1:7" x14ac:dyDescent="0.25">
      <c r="A2554" t="s">
        <v>1607</v>
      </c>
      <c r="B2554" t="s">
        <v>8</v>
      </c>
      <c r="F2554" t="s">
        <v>6490</v>
      </c>
      <c r="G2554" t="s">
        <v>11076</v>
      </c>
    </row>
    <row r="2555" spans="1:7" x14ac:dyDescent="0.25">
      <c r="A2555" t="s">
        <v>1607</v>
      </c>
      <c r="B2555" t="s">
        <v>8</v>
      </c>
      <c r="F2555" t="s">
        <v>6492</v>
      </c>
      <c r="G2555" t="s">
        <v>11076</v>
      </c>
    </row>
    <row r="2556" spans="1:7" x14ac:dyDescent="0.25">
      <c r="A2556" t="s">
        <v>1607</v>
      </c>
      <c r="B2556" t="s">
        <v>8</v>
      </c>
      <c r="F2556" t="s">
        <v>6494</v>
      </c>
      <c r="G2556" t="s">
        <v>11076</v>
      </c>
    </row>
    <row r="2557" spans="1:7" x14ac:dyDescent="0.25">
      <c r="A2557" t="s">
        <v>1607</v>
      </c>
      <c r="B2557" t="s">
        <v>8</v>
      </c>
      <c r="F2557" t="s">
        <v>6496</v>
      </c>
      <c r="G2557" t="s">
        <v>11076</v>
      </c>
    </row>
    <row r="2558" spans="1:7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x14ac:dyDescent="0.25">
      <c r="A2579" t="s">
        <v>5694</v>
      </c>
      <c r="F2579" t="s">
        <v>6514</v>
      </c>
      <c r="G2579" t="s">
        <v>12648</v>
      </c>
    </row>
    <row r="2580" spans="1:7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12648</v>
      </c>
    </row>
    <row r="2581" spans="1:7" x14ac:dyDescent="0.25">
      <c r="A2581" t="s">
        <v>4</v>
      </c>
      <c r="B2581" t="s">
        <v>468</v>
      </c>
      <c r="F2581" t="s">
        <v>6518</v>
      </c>
      <c r="G2581" t="s">
        <v>12648</v>
      </c>
    </row>
    <row r="2582" spans="1:7" x14ac:dyDescent="0.25">
      <c r="A2582" t="s">
        <v>1607</v>
      </c>
      <c r="B2582" t="s">
        <v>9</v>
      </c>
      <c r="F2582" t="s">
        <v>6520</v>
      </c>
      <c r="G2582" t="s">
        <v>12648</v>
      </c>
    </row>
    <row r="2583" spans="1:7" x14ac:dyDescent="0.25">
      <c r="A2583" t="s">
        <v>1607</v>
      </c>
      <c r="B2583" t="s">
        <v>9</v>
      </c>
      <c r="F2583" t="s">
        <v>6660</v>
      </c>
      <c r="G2583" t="s">
        <v>12648</v>
      </c>
    </row>
    <row r="2584" spans="1:7" x14ac:dyDescent="0.25">
      <c r="A2584" t="s">
        <v>1607</v>
      </c>
      <c r="B2584" t="s">
        <v>9</v>
      </c>
      <c r="F2584" t="s">
        <v>6522</v>
      </c>
      <c r="G2584" t="s">
        <v>12648</v>
      </c>
    </row>
    <row r="2585" spans="1:7" x14ac:dyDescent="0.25">
      <c r="A2585" t="s">
        <v>4</v>
      </c>
      <c r="B2585" t="s">
        <v>6662</v>
      </c>
      <c r="F2585" t="s">
        <v>6498</v>
      </c>
      <c r="G2585" t="s">
        <v>12649</v>
      </c>
    </row>
    <row r="2586" spans="1:7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12649</v>
      </c>
    </row>
    <row r="2587" spans="1:7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12649</v>
      </c>
    </row>
    <row r="2588" spans="1:7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12649</v>
      </c>
    </row>
    <row r="2589" spans="1:7" x14ac:dyDescent="0.25">
      <c r="A2589" t="s">
        <v>4</v>
      </c>
      <c r="B2589" t="s">
        <v>1274</v>
      </c>
      <c r="F2589" t="s">
        <v>6506</v>
      </c>
      <c r="G2589" t="s">
        <v>12649</v>
      </c>
    </row>
    <row r="2590" spans="1:7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12649</v>
      </c>
    </row>
    <row r="2591" spans="1:7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12649</v>
      </c>
    </row>
    <row r="2592" spans="1:7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12649</v>
      </c>
    </row>
    <row r="2593" spans="1:7" x14ac:dyDescent="0.25">
      <c r="A2593" t="s">
        <v>1273</v>
      </c>
      <c r="B2593" t="s">
        <v>70</v>
      </c>
      <c r="F2593" t="s">
        <v>6550</v>
      </c>
      <c r="G2593" t="s">
        <v>12650</v>
      </c>
    </row>
    <row r="2594" spans="1:7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12650</v>
      </c>
    </row>
    <row r="2595" spans="1:7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12650</v>
      </c>
    </row>
    <row r="2596" spans="1:7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12650</v>
      </c>
    </row>
    <row r="2597" spans="1:7" x14ac:dyDescent="0.25">
      <c r="A2597" t="s">
        <v>587</v>
      </c>
      <c r="B2597" t="s">
        <v>70</v>
      </c>
      <c r="F2597" t="s">
        <v>6558</v>
      </c>
      <c r="G2597" t="s">
        <v>12650</v>
      </c>
    </row>
    <row r="2598" spans="1:7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12650</v>
      </c>
    </row>
    <row r="2599" spans="1:7" x14ac:dyDescent="0.25">
      <c r="A2599" t="s">
        <v>4</v>
      </c>
      <c r="B2599" t="s">
        <v>468</v>
      </c>
      <c r="F2599" t="s">
        <v>6562</v>
      </c>
      <c r="G2599" t="s">
        <v>12650</v>
      </c>
    </row>
    <row r="2600" spans="1:7" x14ac:dyDescent="0.25">
      <c r="A2600" t="s">
        <v>4</v>
      </c>
      <c r="B2600" t="s">
        <v>6678</v>
      </c>
      <c r="F2600" t="s">
        <v>6564</v>
      </c>
      <c r="G2600" t="s">
        <v>12650</v>
      </c>
    </row>
    <row r="2601" spans="1:7" x14ac:dyDescent="0.25">
      <c r="A2601" t="s">
        <v>4</v>
      </c>
      <c r="B2601" t="s">
        <v>6678</v>
      </c>
      <c r="F2601" t="s">
        <v>6566</v>
      </c>
      <c r="G2601" t="s">
        <v>12650</v>
      </c>
    </row>
    <row r="2602" spans="1:7" x14ac:dyDescent="0.25">
      <c r="A2602" t="s">
        <v>4</v>
      </c>
      <c r="B2602" t="s">
        <v>6680</v>
      </c>
      <c r="F2602" t="s">
        <v>6568</v>
      </c>
      <c r="G2602" t="s">
        <v>12650</v>
      </c>
    </row>
    <row r="2603" spans="1:7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12650</v>
      </c>
    </row>
    <row r="2604" spans="1:7" x14ac:dyDescent="0.25">
      <c r="A2604" t="s">
        <v>4</v>
      </c>
      <c r="B2604" t="s">
        <v>8</v>
      </c>
      <c r="F2604" t="s">
        <v>6573</v>
      </c>
      <c r="G2604" t="s">
        <v>12650</v>
      </c>
    </row>
    <row r="2605" spans="1:7" x14ac:dyDescent="0.25">
      <c r="A2605" t="s">
        <v>4</v>
      </c>
      <c r="B2605" t="s">
        <v>8</v>
      </c>
      <c r="F2605" t="s">
        <v>6575</v>
      </c>
      <c r="G2605" t="s">
        <v>12650</v>
      </c>
    </row>
    <row r="2606" spans="1:7" x14ac:dyDescent="0.25">
      <c r="A2606" t="s">
        <v>4</v>
      </c>
      <c r="B2606" t="s">
        <v>8</v>
      </c>
      <c r="F2606" t="s">
        <v>6577</v>
      </c>
      <c r="G2606" t="s">
        <v>12650</v>
      </c>
    </row>
    <row r="2607" spans="1:7" x14ac:dyDescent="0.25">
      <c r="A2607" t="s">
        <v>1273</v>
      </c>
      <c r="B2607" t="s">
        <v>70</v>
      </c>
      <c r="F2607" t="s">
        <v>6579</v>
      </c>
      <c r="G2607" t="s">
        <v>12650</v>
      </c>
    </row>
    <row r="2608" spans="1:7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12650</v>
      </c>
    </row>
    <row r="2609" spans="1:7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12650</v>
      </c>
    </row>
    <row r="2610" spans="1:7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12650</v>
      </c>
    </row>
    <row r="2611" spans="1:7" x14ac:dyDescent="0.25">
      <c r="A2611" t="s">
        <v>587</v>
      </c>
      <c r="B2611" t="s">
        <v>70</v>
      </c>
      <c r="F2611" t="s">
        <v>6587</v>
      </c>
      <c r="G2611" t="s">
        <v>12650</v>
      </c>
    </row>
    <row r="2612" spans="1:7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12650</v>
      </c>
    </row>
    <row r="2613" spans="1:7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12650</v>
      </c>
    </row>
    <row r="2614" spans="1:7" x14ac:dyDescent="0.25">
      <c r="A2614" t="s">
        <v>587</v>
      </c>
      <c r="B2614" t="s">
        <v>6681</v>
      </c>
      <c r="F2614" t="s">
        <v>6593</v>
      </c>
      <c r="G2614" t="s">
        <v>12650</v>
      </c>
    </row>
    <row r="2615" spans="1:7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12650</v>
      </c>
    </row>
    <row r="2616" spans="1:7" x14ac:dyDescent="0.25">
      <c r="A2616" t="s">
        <v>1607</v>
      </c>
      <c r="B2616" t="s">
        <v>8</v>
      </c>
      <c r="F2616" t="s">
        <v>6597</v>
      </c>
      <c r="G2616" t="s">
        <v>12650</v>
      </c>
    </row>
    <row r="2617" spans="1:7" x14ac:dyDescent="0.25">
      <c r="A2617" t="s">
        <v>1607</v>
      </c>
      <c r="B2617" t="s">
        <v>8</v>
      </c>
      <c r="F2617" t="s">
        <v>6599</v>
      </c>
      <c r="G2617" t="s">
        <v>12650</v>
      </c>
    </row>
    <row r="2618" spans="1:7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12651</v>
      </c>
    </row>
    <row r="2619" spans="1:7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12651</v>
      </c>
    </row>
    <row r="2620" spans="1:7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12651</v>
      </c>
    </row>
    <row r="2621" spans="1:7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12651</v>
      </c>
    </row>
    <row r="2622" spans="1:7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12651</v>
      </c>
    </row>
    <row r="2623" spans="1:7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12651</v>
      </c>
    </row>
    <row r="2624" spans="1:7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12651</v>
      </c>
    </row>
    <row r="2625" spans="1:7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12651</v>
      </c>
    </row>
    <row r="2626" spans="1:7" x14ac:dyDescent="0.25">
      <c r="A2626" t="s">
        <v>4</v>
      </c>
      <c r="B2626" t="s">
        <v>6439</v>
      </c>
      <c r="F2626" t="s">
        <v>6540</v>
      </c>
      <c r="G2626" t="s">
        <v>12651</v>
      </c>
    </row>
    <row r="2627" spans="1:7" x14ac:dyDescent="0.25">
      <c r="A2627" t="s">
        <v>4</v>
      </c>
      <c r="B2627" t="s">
        <v>6439</v>
      </c>
      <c r="F2627" t="s">
        <v>6542</v>
      </c>
      <c r="G2627" t="s">
        <v>12651</v>
      </c>
    </row>
    <row r="2628" spans="1:7" x14ac:dyDescent="0.25">
      <c r="A2628" t="s">
        <v>1607</v>
      </c>
      <c r="B2628" t="s">
        <v>8</v>
      </c>
      <c r="F2628" t="s">
        <v>6544</v>
      </c>
      <c r="G2628" t="s">
        <v>12651</v>
      </c>
    </row>
    <row r="2629" spans="1:7" x14ac:dyDescent="0.25">
      <c r="A2629" t="s">
        <v>4</v>
      </c>
      <c r="B2629" t="s">
        <v>6439</v>
      </c>
      <c r="F2629" t="s">
        <v>6546</v>
      </c>
      <c r="G2629" t="s">
        <v>12651</v>
      </c>
    </row>
    <row r="2630" spans="1:7" x14ac:dyDescent="0.25">
      <c r="A2630" t="s">
        <v>4</v>
      </c>
      <c r="B2630" t="s">
        <v>6439</v>
      </c>
      <c r="F2630" t="s">
        <v>6548</v>
      </c>
      <c r="G2630" t="s">
        <v>12651</v>
      </c>
    </row>
    <row r="2631" spans="1:7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x14ac:dyDescent="0.25">
      <c r="A2640" t="s">
        <v>1607</v>
      </c>
      <c r="F2640" t="s">
        <v>6696</v>
      </c>
      <c r="G2640" t="s">
        <v>91</v>
      </c>
    </row>
    <row r="2641" spans="1:7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x14ac:dyDescent="0.25">
      <c r="A2643" t="s">
        <v>1607</v>
      </c>
      <c r="F2643" t="s">
        <v>6702</v>
      </c>
      <c r="G2643" t="s">
        <v>91</v>
      </c>
    </row>
    <row r="2644" spans="1:7" x14ac:dyDescent="0.25">
      <c r="A2644" t="s">
        <v>1607</v>
      </c>
      <c r="B2644" t="s">
        <v>8</v>
      </c>
      <c r="F2644" t="s">
        <v>6690</v>
      </c>
      <c r="G2644" t="s">
        <v>12647</v>
      </c>
    </row>
    <row r="2645" spans="1:7" x14ac:dyDescent="0.25">
      <c r="A2645" t="s">
        <v>1607</v>
      </c>
      <c r="B2645" t="s">
        <v>8</v>
      </c>
      <c r="F2645" t="s">
        <v>6692</v>
      </c>
      <c r="G2645" t="s">
        <v>12647</v>
      </c>
    </row>
    <row r="2646" spans="1:7" x14ac:dyDescent="0.25">
      <c r="A2646" t="s">
        <v>1607</v>
      </c>
      <c r="B2646" t="s">
        <v>8</v>
      </c>
      <c r="F2646" t="s">
        <v>6694</v>
      </c>
      <c r="G2646" t="s">
        <v>12647</v>
      </c>
    </row>
    <row r="2647" spans="1:7" x14ac:dyDescent="0.25">
      <c r="A2647" t="s">
        <v>1607</v>
      </c>
      <c r="B2647" t="s">
        <v>8</v>
      </c>
      <c r="F2647" t="s">
        <v>6704</v>
      </c>
      <c r="G2647" t="s">
        <v>11076</v>
      </c>
    </row>
    <row r="2648" spans="1:7" x14ac:dyDescent="0.25">
      <c r="A2648" t="s">
        <v>1607</v>
      </c>
      <c r="B2648" t="s">
        <v>8</v>
      </c>
      <c r="F2648" t="s">
        <v>6706</v>
      </c>
      <c r="G2648" t="s">
        <v>11076</v>
      </c>
    </row>
    <row r="2649" spans="1:7" x14ac:dyDescent="0.25">
      <c r="A2649" t="s">
        <v>1607</v>
      </c>
      <c r="B2649" t="s">
        <v>8</v>
      </c>
      <c r="F2649" t="s">
        <v>6708</v>
      </c>
      <c r="G2649" t="s">
        <v>11076</v>
      </c>
    </row>
    <row r="2650" spans="1:7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x14ac:dyDescent="0.25">
      <c r="A2662" t="s">
        <v>1607</v>
      </c>
      <c r="B2662" t="s">
        <v>9</v>
      </c>
      <c r="F2662" t="s">
        <v>6728</v>
      </c>
      <c r="G2662" t="s">
        <v>12648</v>
      </c>
    </row>
    <row r="2663" spans="1:7" x14ac:dyDescent="0.25">
      <c r="A2663" t="s">
        <v>1607</v>
      </c>
      <c r="B2663" t="s">
        <v>9</v>
      </c>
      <c r="F2663" t="s">
        <v>6730</v>
      </c>
      <c r="G2663" t="s">
        <v>12648</v>
      </c>
    </row>
    <row r="2664" spans="1:7" x14ac:dyDescent="0.25">
      <c r="A2664" t="s">
        <v>1607</v>
      </c>
      <c r="B2664" t="s">
        <v>9</v>
      </c>
      <c r="F2664" t="s">
        <v>6732</v>
      </c>
      <c r="G2664" t="s">
        <v>12648</v>
      </c>
    </row>
    <row r="2665" spans="1:7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12649</v>
      </c>
    </row>
    <row r="2666" spans="1:7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12649</v>
      </c>
    </row>
    <row r="2667" spans="1:7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12649</v>
      </c>
    </row>
    <row r="2668" spans="1:7" x14ac:dyDescent="0.25">
      <c r="A2668" t="s">
        <v>1607</v>
      </c>
      <c r="B2668" t="s">
        <v>8</v>
      </c>
      <c r="F2668" t="s">
        <v>6749</v>
      </c>
      <c r="G2668" t="s">
        <v>12650</v>
      </c>
    </row>
    <row r="2669" spans="1:7" x14ac:dyDescent="0.25">
      <c r="A2669" t="s">
        <v>1607</v>
      </c>
      <c r="B2669" t="s">
        <v>8</v>
      </c>
      <c r="F2669" t="s">
        <v>6751</v>
      </c>
      <c r="G2669" t="s">
        <v>12650</v>
      </c>
    </row>
    <row r="2670" spans="1:7" x14ac:dyDescent="0.25">
      <c r="A2670" t="s">
        <v>1607</v>
      </c>
      <c r="B2670" t="s">
        <v>8</v>
      </c>
      <c r="F2670" t="s">
        <v>6753</v>
      </c>
      <c r="G2670" t="s">
        <v>12650</v>
      </c>
    </row>
    <row r="2671" spans="1:7" x14ac:dyDescent="0.25">
      <c r="A2671" t="s">
        <v>1607</v>
      </c>
      <c r="B2671" t="s">
        <v>8</v>
      </c>
      <c r="F2671" t="s">
        <v>6755</v>
      </c>
      <c r="G2671" t="s">
        <v>12651</v>
      </c>
    </row>
    <row r="2672" spans="1:7" x14ac:dyDescent="0.25">
      <c r="A2672" t="s">
        <v>1607</v>
      </c>
      <c r="B2672" t="s">
        <v>8</v>
      </c>
      <c r="F2672" t="s">
        <v>6757</v>
      </c>
      <c r="G2672" t="s">
        <v>12651</v>
      </c>
    </row>
    <row r="2673" spans="1:7" x14ac:dyDescent="0.25">
      <c r="A2673" t="s">
        <v>1607</v>
      </c>
      <c r="B2673" t="s">
        <v>8</v>
      </c>
      <c r="F2673" t="s">
        <v>6759</v>
      </c>
      <c r="G2673" t="s">
        <v>12651</v>
      </c>
    </row>
    <row r="2674" spans="1:7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x14ac:dyDescent="0.25">
      <c r="A2680" t="s">
        <v>1607</v>
      </c>
      <c r="F2680" t="s">
        <v>6803</v>
      </c>
      <c r="G2680" t="s">
        <v>91</v>
      </c>
    </row>
    <row r="2681" spans="1:7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x14ac:dyDescent="0.25">
      <c r="A2683" t="s">
        <v>1607</v>
      </c>
      <c r="F2683" t="s">
        <v>6809</v>
      </c>
      <c r="G2683" t="s">
        <v>91</v>
      </c>
    </row>
    <row r="2684" spans="1:7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x14ac:dyDescent="0.25">
      <c r="A2694" t="s">
        <v>1607</v>
      </c>
      <c r="F2694" t="s">
        <v>6831</v>
      </c>
      <c r="G2694" t="s">
        <v>91</v>
      </c>
    </row>
    <row r="2695" spans="1:7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x14ac:dyDescent="0.25">
      <c r="A2697" t="s">
        <v>1607</v>
      </c>
      <c r="B2697" t="s">
        <v>8</v>
      </c>
      <c r="F2697" t="s">
        <v>6789</v>
      </c>
      <c r="G2697" t="s">
        <v>12647</v>
      </c>
    </row>
    <row r="2698" spans="1:7" x14ac:dyDescent="0.25">
      <c r="A2698" t="s">
        <v>1607</v>
      </c>
      <c r="B2698" t="s">
        <v>8</v>
      </c>
      <c r="F2698" t="s">
        <v>6791</v>
      </c>
      <c r="G2698" t="s">
        <v>12647</v>
      </c>
    </row>
    <row r="2699" spans="1:7" x14ac:dyDescent="0.25">
      <c r="A2699" t="s">
        <v>1607</v>
      </c>
      <c r="B2699" t="s">
        <v>8</v>
      </c>
      <c r="F2699" t="s">
        <v>6793</v>
      </c>
      <c r="G2699" t="s">
        <v>12647</v>
      </c>
    </row>
    <row r="2700" spans="1:7" x14ac:dyDescent="0.25">
      <c r="A2700" t="s">
        <v>1607</v>
      </c>
      <c r="B2700" t="s">
        <v>8</v>
      </c>
      <c r="F2700" t="s">
        <v>6795</v>
      </c>
      <c r="G2700" t="s">
        <v>12647</v>
      </c>
    </row>
    <row r="2701" spans="1:7" x14ac:dyDescent="0.25">
      <c r="A2701" t="s">
        <v>1607</v>
      </c>
      <c r="B2701" t="s">
        <v>8</v>
      </c>
      <c r="F2701" t="s">
        <v>6797</v>
      </c>
      <c r="G2701" t="s">
        <v>12647</v>
      </c>
    </row>
    <row r="2702" spans="1:7" x14ac:dyDescent="0.25">
      <c r="A2702" t="s">
        <v>1607</v>
      </c>
      <c r="B2702" t="s">
        <v>8</v>
      </c>
      <c r="F2702" t="s">
        <v>6799</v>
      </c>
      <c r="G2702" t="s">
        <v>12647</v>
      </c>
    </row>
    <row r="2703" spans="1:7" x14ac:dyDescent="0.25">
      <c r="A2703" t="s">
        <v>1607</v>
      </c>
      <c r="B2703" t="s">
        <v>8</v>
      </c>
      <c r="F2703" t="s">
        <v>6801</v>
      </c>
      <c r="G2703" t="s">
        <v>12647</v>
      </c>
    </row>
    <row r="2704" spans="1:7" x14ac:dyDescent="0.25">
      <c r="A2704" t="s">
        <v>1607</v>
      </c>
      <c r="B2704" t="s">
        <v>8</v>
      </c>
      <c r="F2704" t="s">
        <v>6893</v>
      </c>
      <c r="G2704" t="s">
        <v>11076</v>
      </c>
    </row>
    <row r="2705" spans="1:7" x14ac:dyDescent="0.25">
      <c r="A2705" t="s">
        <v>4</v>
      </c>
      <c r="B2705" t="s">
        <v>7045</v>
      </c>
      <c r="F2705" t="s">
        <v>6895</v>
      </c>
      <c r="G2705" t="s">
        <v>11076</v>
      </c>
    </row>
    <row r="2706" spans="1:7" x14ac:dyDescent="0.25">
      <c r="A2706" t="s">
        <v>4</v>
      </c>
      <c r="B2706" t="s">
        <v>7045</v>
      </c>
      <c r="F2706" t="s">
        <v>6897</v>
      </c>
      <c r="G2706" t="s">
        <v>11076</v>
      </c>
    </row>
    <row r="2707" spans="1:7" x14ac:dyDescent="0.25">
      <c r="A2707" t="s">
        <v>4</v>
      </c>
      <c r="B2707" t="s">
        <v>7045</v>
      </c>
      <c r="F2707" t="s">
        <v>6899</v>
      </c>
      <c r="G2707" t="s">
        <v>11076</v>
      </c>
    </row>
    <row r="2708" spans="1:7" x14ac:dyDescent="0.25">
      <c r="A2708" t="s">
        <v>4</v>
      </c>
      <c r="B2708" t="s">
        <v>7045</v>
      </c>
      <c r="F2708" t="s">
        <v>6901</v>
      </c>
      <c r="G2708" t="s">
        <v>11076</v>
      </c>
    </row>
    <row r="2709" spans="1:7" x14ac:dyDescent="0.25">
      <c r="A2709" t="s">
        <v>4</v>
      </c>
      <c r="B2709" t="s">
        <v>7045</v>
      </c>
      <c r="F2709" t="s">
        <v>6903</v>
      </c>
      <c r="G2709" t="s">
        <v>11076</v>
      </c>
    </row>
    <row r="2710" spans="1:7" x14ac:dyDescent="0.25">
      <c r="A2710" t="s">
        <v>1607</v>
      </c>
      <c r="B2710" t="s">
        <v>8</v>
      </c>
      <c r="F2710" t="s">
        <v>6905</v>
      </c>
      <c r="G2710" t="s">
        <v>11076</v>
      </c>
    </row>
    <row r="2711" spans="1:7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x14ac:dyDescent="0.25">
      <c r="A2745" t="s">
        <v>1607</v>
      </c>
      <c r="B2745" t="s">
        <v>9</v>
      </c>
      <c r="F2745" t="s">
        <v>6879</v>
      </c>
      <c r="G2745" t="s">
        <v>12648</v>
      </c>
    </row>
    <row r="2746" spans="1:7" x14ac:dyDescent="0.25">
      <c r="A2746" t="s">
        <v>1607</v>
      </c>
      <c r="B2746" t="s">
        <v>9</v>
      </c>
      <c r="F2746" t="s">
        <v>6881</v>
      </c>
      <c r="G2746" t="s">
        <v>12648</v>
      </c>
    </row>
    <row r="2747" spans="1:7" x14ac:dyDescent="0.25">
      <c r="A2747" t="s">
        <v>1607</v>
      </c>
      <c r="B2747" t="s">
        <v>9</v>
      </c>
      <c r="F2747" t="s">
        <v>6883</v>
      </c>
      <c r="G2747" t="s">
        <v>12648</v>
      </c>
    </row>
    <row r="2748" spans="1:7" x14ac:dyDescent="0.25">
      <c r="A2748" t="s">
        <v>1607</v>
      </c>
      <c r="B2748" t="s">
        <v>9</v>
      </c>
      <c r="F2748" t="s">
        <v>6885</v>
      </c>
      <c r="G2748" t="s">
        <v>12648</v>
      </c>
    </row>
    <row r="2749" spans="1:7" x14ac:dyDescent="0.25">
      <c r="A2749" t="s">
        <v>1607</v>
      </c>
      <c r="B2749" t="s">
        <v>9</v>
      </c>
      <c r="F2749" t="s">
        <v>6887</v>
      </c>
      <c r="G2749" t="s">
        <v>12648</v>
      </c>
    </row>
    <row r="2750" spans="1:7" x14ac:dyDescent="0.25">
      <c r="A2750" t="s">
        <v>1607</v>
      </c>
      <c r="B2750" t="s">
        <v>9</v>
      </c>
      <c r="F2750" t="s">
        <v>6889</v>
      </c>
      <c r="G2750" t="s">
        <v>12648</v>
      </c>
    </row>
    <row r="2751" spans="1:7" x14ac:dyDescent="0.25">
      <c r="A2751" t="s">
        <v>1607</v>
      </c>
      <c r="B2751" t="s">
        <v>7066</v>
      </c>
      <c r="F2751" t="s">
        <v>6891</v>
      </c>
      <c r="G2751" t="s">
        <v>12648</v>
      </c>
    </row>
    <row r="2752" spans="1:7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12649</v>
      </c>
    </row>
    <row r="2753" spans="1:7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12649</v>
      </c>
    </row>
    <row r="2754" spans="1:7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12649</v>
      </c>
    </row>
    <row r="2755" spans="1:7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12649</v>
      </c>
    </row>
    <row r="2756" spans="1:7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12649</v>
      </c>
    </row>
    <row r="2757" spans="1:7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12649</v>
      </c>
    </row>
    <row r="2758" spans="1:7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12649</v>
      </c>
    </row>
    <row r="2759" spans="1:7" x14ac:dyDescent="0.25">
      <c r="A2759" t="s">
        <v>1607</v>
      </c>
      <c r="B2759" t="s">
        <v>8</v>
      </c>
      <c r="F2759" t="s">
        <v>6963</v>
      </c>
      <c r="G2759" t="s">
        <v>12650</v>
      </c>
    </row>
    <row r="2760" spans="1:7" x14ac:dyDescent="0.25">
      <c r="A2760" t="s">
        <v>1607</v>
      </c>
      <c r="B2760" t="s">
        <v>7068</v>
      </c>
      <c r="F2760" t="s">
        <v>6965</v>
      </c>
      <c r="G2760" t="s">
        <v>12650</v>
      </c>
    </row>
    <row r="2761" spans="1:7" x14ac:dyDescent="0.25">
      <c r="A2761" t="s">
        <v>1607</v>
      </c>
      <c r="B2761" t="s">
        <v>7068</v>
      </c>
      <c r="F2761" t="s">
        <v>6967</v>
      </c>
      <c r="G2761" t="s">
        <v>12650</v>
      </c>
    </row>
    <row r="2762" spans="1:7" x14ac:dyDescent="0.25">
      <c r="A2762" t="s">
        <v>1607</v>
      </c>
      <c r="B2762" t="s">
        <v>8</v>
      </c>
      <c r="F2762" t="s">
        <v>6969</v>
      </c>
      <c r="G2762" t="s">
        <v>12650</v>
      </c>
    </row>
    <row r="2763" spans="1:7" x14ac:dyDescent="0.25">
      <c r="A2763" t="s">
        <v>1607</v>
      </c>
      <c r="B2763" t="s">
        <v>7068</v>
      </c>
      <c r="F2763" t="s">
        <v>6971</v>
      </c>
      <c r="G2763" t="s">
        <v>12650</v>
      </c>
    </row>
    <row r="2764" spans="1:7" x14ac:dyDescent="0.25">
      <c r="A2764" t="s">
        <v>1607</v>
      </c>
      <c r="B2764" t="s">
        <v>7068</v>
      </c>
      <c r="F2764" t="s">
        <v>6973</v>
      </c>
      <c r="G2764" t="s">
        <v>12650</v>
      </c>
    </row>
    <row r="2765" spans="1:7" x14ac:dyDescent="0.25">
      <c r="A2765" t="s">
        <v>4</v>
      </c>
      <c r="B2765" t="s">
        <v>7047</v>
      </c>
      <c r="F2765" t="s">
        <v>6975</v>
      </c>
      <c r="G2765" t="s">
        <v>12650</v>
      </c>
    </row>
    <row r="2766" spans="1:7" x14ac:dyDescent="0.25">
      <c r="A2766" t="s">
        <v>4</v>
      </c>
      <c r="B2766" t="s">
        <v>6439</v>
      </c>
      <c r="F2766" t="s">
        <v>6977</v>
      </c>
      <c r="G2766" t="s">
        <v>12651</v>
      </c>
    </row>
    <row r="2767" spans="1:7" x14ac:dyDescent="0.25">
      <c r="A2767" t="s">
        <v>4</v>
      </c>
      <c r="B2767" t="s">
        <v>6439</v>
      </c>
      <c r="F2767" t="s">
        <v>6979</v>
      </c>
      <c r="G2767" t="s">
        <v>12651</v>
      </c>
    </row>
    <row r="2768" spans="1:7" x14ac:dyDescent="0.25">
      <c r="A2768" t="s">
        <v>4</v>
      </c>
      <c r="B2768" t="s">
        <v>6439</v>
      </c>
      <c r="F2768" t="s">
        <v>6981</v>
      </c>
      <c r="G2768" t="s">
        <v>12651</v>
      </c>
    </row>
    <row r="2769" spans="1:7" x14ac:dyDescent="0.25">
      <c r="A2769" t="s">
        <v>4</v>
      </c>
      <c r="B2769" t="s">
        <v>6439</v>
      </c>
      <c r="F2769" t="s">
        <v>6983</v>
      </c>
      <c r="G2769" t="s">
        <v>12651</v>
      </c>
    </row>
    <row r="2770" spans="1:7" x14ac:dyDescent="0.25">
      <c r="A2770" t="s">
        <v>4</v>
      </c>
      <c r="B2770" t="s">
        <v>6439</v>
      </c>
      <c r="F2770" t="s">
        <v>6985</v>
      </c>
      <c r="G2770" t="s">
        <v>12651</v>
      </c>
    </row>
    <row r="2771" spans="1:7" x14ac:dyDescent="0.25">
      <c r="A2771" t="s">
        <v>4</v>
      </c>
      <c r="B2771" t="s">
        <v>6439</v>
      </c>
      <c r="F2771" t="s">
        <v>6987</v>
      </c>
      <c r="G2771" t="s">
        <v>12651</v>
      </c>
    </row>
    <row r="2772" spans="1:7" x14ac:dyDescent="0.25">
      <c r="A2772" t="s">
        <v>4</v>
      </c>
      <c r="B2772" t="s">
        <v>6439</v>
      </c>
      <c r="F2772" t="s">
        <v>6989</v>
      </c>
      <c r="G2772" t="s">
        <v>12651</v>
      </c>
    </row>
    <row r="2773" spans="1:7" x14ac:dyDescent="0.25">
      <c r="A2773" t="s">
        <v>1607</v>
      </c>
      <c r="B2773" t="s">
        <v>8</v>
      </c>
      <c r="F2773" t="s">
        <v>6991</v>
      </c>
      <c r="G2773" t="s">
        <v>12651</v>
      </c>
    </row>
    <row r="2774" spans="1:7" x14ac:dyDescent="0.25">
      <c r="A2774" t="s">
        <v>4</v>
      </c>
      <c r="B2774" t="s">
        <v>6439</v>
      </c>
      <c r="F2774" t="s">
        <v>6993</v>
      </c>
      <c r="G2774" t="s">
        <v>12651</v>
      </c>
    </row>
    <row r="2775" spans="1:7" x14ac:dyDescent="0.25">
      <c r="A2775" t="s">
        <v>4</v>
      </c>
      <c r="B2775" t="s">
        <v>7069</v>
      </c>
      <c r="F2775" t="s">
        <v>6995</v>
      </c>
      <c r="G2775" t="s">
        <v>12651</v>
      </c>
    </row>
    <row r="2776" spans="1:7" x14ac:dyDescent="0.25">
      <c r="A2776" t="s">
        <v>1607</v>
      </c>
      <c r="B2776" t="s">
        <v>8</v>
      </c>
      <c r="F2776" t="s">
        <v>6997</v>
      </c>
      <c r="G2776" t="s">
        <v>12651</v>
      </c>
    </row>
    <row r="2777" spans="1:7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12647</v>
      </c>
    </row>
    <row r="2802" spans="1:7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12647</v>
      </c>
    </row>
    <row r="2803" spans="1:7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12647</v>
      </c>
    </row>
    <row r="2804" spans="1:7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12647</v>
      </c>
    </row>
    <row r="2805" spans="1:7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12647</v>
      </c>
    </row>
    <row r="2806" spans="1:7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12647</v>
      </c>
    </row>
    <row r="2807" spans="1:7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12647</v>
      </c>
    </row>
    <row r="2808" spans="1:7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12647</v>
      </c>
    </row>
    <row r="2809" spans="1:7" x14ac:dyDescent="0.25">
      <c r="A2809" t="s">
        <v>4</v>
      </c>
      <c r="B2809" t="s">
        <v>7045</v>
      </c>
      <c r="F2809" t="s">
        <v>7180</v>
      </c>
      <c r="G2809" t="s">
        <v>11076</v>
      </c>
    </row>
    <row r="2810" spans="1:7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11076</v>
      </c>
    </row>
    <row r="2811" spans="1:7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11076</v>
      </c>
    </row>
    <row r="2812" spans="1:7" x14ac:dyDescent="0.25">
      <c r="A2812" t="s">
        <v>4</v>
      </c>
      <c r="B2812" t="s">
        <v>7045</v>
      </c>
      <c r="F2812" t="s">
        <v>7189</v>
      </c>
      <c r="G2812" t="s">
        <v>11076</v>
      </c>
    </row>
    <row r="2813" spans="1:7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x14ac:dyDescent="0.25">
      <c r="A2831" t="s">
        <v>1607</v>
      </c>
      <c r="B2831" t="s">
        <v>4393</v>
      </c>
      <c r="F2831" t="s">
        <v>7203</v>
      </c>
      <c r="G2831" t="s">
        <v>12648</v>
      </c>
    </row>
    <row r="2832" spans="1:7" x14ac:dyDescent="0.25">
      <c r="A2832" t="s">
        <v>4</v>
      </c>
      <c r="B2832" t="s">
        <v>9</v>
      </c>
      <c r="F2832" t="s">
        <v>7205</v>
      </c>
      <c r="G2832" t="s">
        <v>12648</v>
      </c>
    </row>
    <row r="2833" spans="1:7" x14ac:dyDescent="0.25">
      <c r="A2833" t="s">
        <v>684</v>
      </c>
      <c r="B2833" t="s">
        <v>1274</v>
      </c>
      <c r="F2833" t="s">
        <v>7207</v>
      </c>
      <c r="G2833" t="s">
        <v>12648</v>
      </c>
    </row>
    <row r="2834" spans="1:7" x14ac:dyDescent="0.25">
      <c r="A2834" t="s">
        <v>1627</v>
      </c>
      <c r="B2834" t="s">
        <v>687</v>
      </c>
      <c r="F2834" t="s">
        <v>7209</v>
      </c>
      <c r="G2834" t="s">
        <v>12648</v>
      </c>
    </row>
    <row r="2835" spans="1:7" x14ac:dyDescent="0.25">
      <c r="A2835" t="s">
        <v>7352</v>
      </c>
      <c r="B2835" t="s">
        <v>7353</v>
      </c>
      <c r="F2835" t="s">
        <v>7211</v>
      </c>
      <c r="G2835" t="s">
        <v>12648</v>
      </c>
    </row>
    <row r="2836" spans="1:7" x14ac:dyDescent="0.25">
      <c r="A2836" t="s">
        <v>1627</v>
      </c>
      <c r="B2836" t="s">
        <v>687</v>
      </c>
      <c r="F2836" t="s">
        <v>7213</v>
      </c>
      <c r="G2836" t="s">
        <v>12648</v>
      </c>
    </row>
    <row r="2837" spans="1:7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12648</v>
      </c>
    </row>
    <row r="2838" spans="1:7" x14ac:dyDescent="0.25">
      <c r="A2838" t="s">
        <v>4</v>
      </c>
      <c r="B2838" t="s">
        <v>9</v>
      </c>
      <c r="F2838" t="s">
        <v>7217</v>
      </c>
      <c r="G2838" t="s">
        <v>12648</v>
      </c>
    </row>
    <row r="2839" spans="1:7" x14ac:dyDescent="0.25">
      <c r="A2839" t="s">
        <v>4</v>
      </c>
      <c r="B2839" t="s">
        <v>9</v>
      </c>
      <c r="F2839" t="s">
        <v>7219</v>
      </c>
      <c r="G2839" t="s">
        <v>12648</v>
      </c>
    </row>
    <row r="2840" spans="1:7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12649</v>
      </c>
    </row>
    <row r="2841" spans="1:7" x14ac:dyDescent="0.25">
      <c r="A2841" t="s">
        <v>4</v>
      </c>
      <c r="B2841" t="s">
        <v>9</v>
      </c>
      <c r="F2841" t="s">
        <v>7130</v>
      </c>
      <c r="G2841" t="s">
        <v>12649</v>
      </c>
    </row>
    <row r="2842" spans="1:7" x14ac:dyDescent="0.25">
      <c r="A2842" t="s">
        <v>7354</v>
      </c>
      <c r="B2842" t="s">
        <v>7355</v>
      </c>
      <c r="F2842" t="s">
        <v>7132</v>
      </c>
      <c r="G2842" t="s">
        <v>12649</v>
      </c>
    </row>
    <row r="2843" spans="1:7" x14ac:dyDescent="0.25">
      <c r="A2843" t="s">
        <v>1627</v>
      </c>
      <c r="B2843" t="s">
        <v>1058</v>
      </c>
      <c r="F2843" t="s">
        <v>7134</v>
      </c>
      <c r="G2843" t="s">
        <v>12649</v>
      </c>
    </row>
    <row r="2844" spans="1:7" x14ac:dyDescent="0.25">
      <c r="A2844" t="s">
        <v>7354</v>
      </c>
      <c r="B2844" t="s">
        <v>4131</v>
      </c>
      <c r="F2844" t="s">
        <v>7136</v>
      </c>
      <c r="G2844" t="s">
        <v>12649</v>
      </c>
    </row>
    <row r="2845" spans="1:7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12649</v>
      </c>
    </row>
    <row r="2846" spans="1:7" x14ac:dyDescent="0.25">
      <c r="A2846" t="s">
        <v>4</v>
      </c>
      <c r="B2846" t="s">
        <v>9</v>
      </c>
      <c r="F2846" t="s">
        <v>7140</v>
      </c>
      <c r="G2846" t="s">
        <v>12649</v>
      </c>
    </row>
    <row r="2847" spans="1:7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12649</v>
      </c>
    </row>
    <row r="2848" spans="1:7" x14ac:dyDescent="0.25">
      <c r="A2848" t="s">
        <v>4</v>
      </c>
      <c r="B2848" t="s">
        <v>7358</v>
      </c>
      <c r="F2848" t="s">
        <v>7144</v>
      </c>
      <c r="G2848" t="s">
        <v>12649</v>
      </c>
    </row>
    <row r="2849" spans="1:7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12649</v>
      </c>
    </row>
    <row r="2850" spans="1:7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12649</v>
      </c>
    </row>
    <row r="2851" spans="1:7" x14ac:dyDescent="0.25">
      <c r="A2851" t="s">
        <v>4</v>
      </c>
      <c r="B2851" t="s">
        <v>9</v>
      </c>
      <c r="F2851" t="s">
        <v>7150</v>
      </c>
      <c r="G2851" t="s">
        <v>12649</v>
      </c>
    </row>
    <row r="2852" spans="1:7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12649</v>
      </c>
    </row>
    <row r="2853" spans="1:7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12649</v>
      </c>
    </row>
    <row r="2854" spans="1:7" x14ac:dyDescent="0.25">
      <c r="A2854" t="s">
        <v>4</v>
      </c>
      <c r="B2854" t="s">
        <v>9</v>
      </c>
      <c r="F2854" t="s">
        <v>7156</v>
      </c>
      <c r="G2854" t="s">
        <v>12649</v>
      </c>
    </row>
    <row r="2855" spans="1:7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12649</v>
      </c>
    </row>
    <row r="2856" spans="1:7" x14ac:dyDescent="0.25">
      <c r="A2856" t="s">
        <v>7359</v>
      </c>
      <c r="B2856" t="s">
        <v>1058</v>
      </c>
      <c r="F2856" t="s">
        <v>7160</v>
      </c>
      <c r="G2856" t="s">
        <v>12649</v>
      </c>
    </row>
    <row r="2857" spans="1:7" x14ac:dyDescent="0.25">
      <c r="A2857" t="s">
        <v>1627</v>
      </c>
      <c r="B2857" t="s">
        <v>1058</v>
      </c>
      <c r="F2857" t="s">
        <v>7162</v>
      </c>
      <c r="G2857" t="s">
        <v>12649</v>
      </c>
    </row>
    <row r="2858" spans="1:7" x14ac:dyDescent="0.25">
      <c r="A2858" t="s">
        <v>1627</v>
      </c>
      <c r="B2858" t="s">
        <v>1058</v>
      </c>
      <c r="F2858" t="s">
        <v>7164</v>
      </c>
      <c r="G2858" t="s">
        <v>12649</v>
      </c>
    </row>
    <row r="2859" spans="1:7" x14ac:dyDescent="0.25">
      <c r="A2859" t="s">
        <v>4</v>
      </c>
      <c r="B2859" t="s">
        <v>9</v>
      </c>
      <c r="F2859" t="s">
        <v>7166</v>
      </c>
      <c r="G2859" t="s">
        <v>12649</v>
      </c>
    </row>
    <row r="2860" spans="1:7" x14ac:dyDescent="0.25">
      <c r="A2860" t="s">
        <v>7354</v>
      </c>
      <c r="B2860" t="s">
        <v>4131</v>
      </c>
      <c r="F2860" t="s">
        <v>7168</v>
      </c>
      <c r="G2860" t="s">
        <v>12649</v>
      </c>
    </row>
    <row r="2861" spans="1:7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12649</v>
      </c>
    </row>
    <row r="2862" spans="1:7" x14ac:dyDescent="0.25">
      <c r="A2862" t="s">
        <v>4</v>
      </c>
      <c r="B2862" t="s">
        <v>6157</v>
      </c>
      <c r="F2862" t="s">
        <v>7172</v>
      </c>
      <c r="G2862" t="s">
        <v>12649</v>
      </c>
    </row>
    <row r="2863" spans="1:7" x14ac:dyDescent="0.25">
      <c r="A2863" t="s">
        <v>7360</v>
      </c>
      <c r="B2863" t="s">
        <v>1058</v>
      </c>
      <c r="F2863" t="s">
        <v>7174</v>
      </c>
      <c r="G2863" t="s">
        <v>12649</v>
      </c>
    </row>
    <row r="2864" spans="1:7" x14ac:dyDescent="0.25">
      <c r="A2864" t="s">
        <v>7360</v>
      </c>
      <c r="B2864" t="s">
        <v>1058</v>
      </c>
      <c r="F2864" t="s">
        <v>7176</v>
      </c>
      <c r="G2864" t="s">
        <v>12649</v>
      </c>
    </row>
    <row r="2865" spans="1:7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12649</v>
      </c>
    </row>
    <row r="2866" spans="1:7" x14ac:dyDescent="0.25">
      <c r="A2866" t="s">
        <v>4</v>
      </c>
      <c r="B2866" t="s">
        <v>8</v>
      </c>
      <c r="F2866" t="s">
        <v>7221</v>
      </c>
      <c r="G2866" t="s">
        <v>12650</v>
      </c>
    </row>
    <row r="2867" spans="1:7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12650</v>
      </c>
    </row>
    <row r="2868" spans="1:7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12650</v>
      </c>
    </row>
    <row r="2869" spans="1:7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12650</v>
      </c>
    </row>
    <row r="2870" spans="1:7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12650</v>
      </c>
    </row>
    <row r="2871" spans="1:7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12650</v>
      </c>
    </row>
    <row r="2872" spans="1:7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12650</v>
      </c>
    </row>
    <row r="2873" spans="1:7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12650</v>
      </c>
    </row>
    <row r="2874" spans="1:7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12650</v>
      </c>
    </row>
    <row r="2875" spans="1:7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12650</v>
      </c>
    </row>
    <row r="2876" spans="1:7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12650</v>
      </c>
    </row>
    <row r="2877" spans="1:7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12650</v>
      </c>
    </row>
    <row r="2878" spans="1:7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12650</v>
      </c>
    </row>
    <row r="2879" spans="1:7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12650</v>
      </c>
    </row>
    <row r="2880" spans="1:7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12650</v>
      </c>
    </row>
    <row r="2881" spans="1:7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12650</v>
      </c>
    </row>
    <row r="2882" spans="1:7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12650</v>
      </c>
    </row>
    <row r="2883" spans="1:7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12650</v>
      </c>
    </row>
    <row r="2884" spans="1:7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12650</v>
      </c>
    </row>
    <row r="2885" spans="1:7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12650</v>
      </c>
    </row>
    <row r="2886" spans="1:7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12650</v>
      </c>
    </row>
    <row r="2887" spans="1:7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12650</v>
      </c>
    </row>
    <row r="2888" spans="1:7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12650</v>
      </c>
    </row>
    <row r="2889" spans="1:7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12650</v>
      </c>
    </row>
    <row r="2890" spans="1:7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12650</v>
      </c>
    </row>
    <row r="2891" spans="1:7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12650</v>
      </c>
    </row>
    <row r="2892" spans="1:7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12650</v>
      </c>
    </row>
    <row r="2893" spans="1:7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12650</v>
      </c>
    </row>
    <row r="2894" spans="1:7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12650</v>
      </c>
    </row>
    <row r="2895" spans="1:7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12651</v>
      </c>
    </row>
    <row r="2896" spans="1:7" x14ac:dyDescent="0.25">
      <c r="A2896" t="s">
        <v>588</v>
      </c>
      <c r="B2896" t="s">
        <v>4396</v>
      </c>
      <c r="F2896" t="s">
        <v>7281</v>
      </c>
      <c r="G2896" t="s">
        <v>12651</v>
      </c>
    </row>
    <row r="2897" spans="1:7" x14ac:dyDescent="0.25">
      <c r="A2897" t="s">
        <v>588</v>
      </c>
      <c r="B2897" t="s">
        <v>4396</v>
      </c>
      <c r="F2897" t="s">
        <v>7283</v>
      </c>
      <c r="G2897" t="s">
        <v>12651</v>
      </c>
    </row>
    <row r="2898" spans="1:7" x14ac:dyDescent="0.25">
      <c r="A2898" t="s">
        <v>588</v>
      </c>
      <c r="B2898" t="s">
        <v>4396</v>
      </c>
      <c r="F2898" t="s">
        <v>7285</v>
      </c>
      <c r="G2898" t="s">
        <v>12651</v>
      </c>
    </row>
    <row r="2899" spans="1:7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12651</v>
      </c>
    </row>
    <row r="2900" spans="1:7" x14ac:dyDescent="0.25">
      <c r="A2900" t="s">
        <v>4</v>
      </c>
      <c r="B2900" t="s">
        <v>8</v>
      </c>
      <c r="F2900" t="s">
        <v>7289</v>
      </c>
      <c r="G2900" t="s">
        <v>12651</v>
      </c>
    </row>
    <row r="2901" spans="1:7" x14ac:dyDescent="0.25">
      <c r="A2901" t="s">
        <v>588</v>
      </c>
      <c r="B2901" t="s">
        <v>4396</v>
      </c>
      <c r="F2901" t="s">
        <v>7291</v>
      </c>
      <c r="G2901" t="s">
        <v>12651</v>
      </c>
    </row>
    <row r="2902" spans="1:7" x14ac:dyDescent="0.25">
      <c r="A2902" t="s">
        <v>588</v>
      </c>
      <c r="B2902" t="s">
        <v>4396</v>
      </c>
      <c r="F2902" t="s">
        <v>7293</v>
      </c>
      <c r="G2902" t="s">
        <v>12651</v>
      </c>
    </row>
    <row r="2903" spans="1:7" x14ac:dyDescent="0.25">
      <c r="A2903" t="s">
        <v>588</v>
      </c>
      <c r="B2903" t="s">
        <v>4396</v>
      </c>
      <c r="F2903" t="s">
        <v>7295</v>
      </c>
      <c r="G2903" t="s">
        <v>12651</v>
      </c>
    </row>
    <row r="2904" spans="1:7" x14ac:dyDescent="0.25">
      <c r="A2904" t="s">
        <v>588</v>
      </c>
      <c r="B2904" t="s">
        <v>4396</v>
      </c>
      <c r="F2904" t="s">
        <v>7297</v>
      </c>
      <c r="G2904" t="s">
        <v>12651</v>
      </c>
    </row>
    <row r="2905" spans="1:7" x14ac:dyDescent="0.25">
      <c r="A2905" t="s">
        <v>4</v>
      </c>
      <c r="B2905" t="s">
        <v>8</v>
      </c>
      <c r="F2905" t="s">
        <v>7299</v>
      </c>
      <c r="G2905" t="s">
        <v>12651</v>
      </c>
    </row>
    <row r="2906" spans="1:7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x14ac:dyDescent="0.25">
      <c r="A2921" t="s">
        <v>1607</v>
      </c>
      <c r="F2921" t="s">
        <v>7391</v>
      </c>
      <c r="G2921" t="s">
        <v>91</v>
      </c>
    </row>
    <row r="2922" spans="1:7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x14ac:dyDescent="0.25">
      <c r="A2923" t="s">
        <v>1273</v>
      </c>
      <c r="B2923" t="s">
        <v>3358</v>
      </c>
      <c r="F2923" t="s">
        <v>7367</v>
      </c>
      <c r="G2923" t="s">
        <v>12647</v>
      </c>
    </row>
    <row r="2924" spans="1:7" x14ac:dyDescent="0.25">
      <c r="A2924" t="s">
        <v>7462</v>
      </c>
      <c r="B2924" t="s">
        <v>3358</v>
      </c>
      <c r="F2924" t="s">
        <v>7369</v>
      </c>
      <c r="G2924" t="s">
        <v>12647</v>
      </c>
    </row>
    <row r="2925" spans="1:7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12647</v>
      </c>
    </row>
    <row r="2926" spans="1:7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12647</v>
      </c>
    </row>
    <row r="2927" spans="1:7" x14ac:dyDescent="0.25">
      <c r="A2927" t="s">
        <v>587</v>
      </c>
      <c r="B2927" t="s">
        <v>3358</v>
      </c>
      <c r="F2927" t="s">
        <v>7375</v>
      </c>
      <c r="G2927" t="s">
        <v>12647</v>
      </c>
    </row>
    <row r="2928" spans="1:7" x14ac:dyDescent="0.25">
      <c r="A2928" t="s">
        <v>1607</v>
      </c>
      <c r="B2928" t="s">
        <v>8</v>
      </c>
      <c r="F2928" t="s">
        <v>7377</v>
      </c>
      <c r="G2928" t="s">
        <v>12647</v>
      </c>
    </row>
    <row r="2929" spans="1:7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12647</v>
      </c>
    </row>
    <row r="2930" spans="1:7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12647</v>
      </c>
    </row>
    <row r="2931" spans="1:7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12647</v>
      </c>
    </row>
    <row r="2932" spans="1:7" x14ac:dyDescent="0.25">
      <c r="A2932" t="s">
        <v>4</v>
      </c>
      <c r="B2932" t="s">
        <v>7045</v>
      </c>
      <c r="F2932" t="s">
        <v>7385</v>
      </c>
      <c r="G2932" t="s">
        <v>11076</v>
      </c>
    </row>
    <row r="2933" spans="1:7" x14ac:dyDescent="0.25">
      <c r="A2933" t="s">
        <v>4</v>
      </c>
      <c r="B2933" t="s">
        <v>7045</v>
      </c>
      <c r="F2933" t="s">
        <v>7468</v>
      </c>
      <c r="G2933" t="s">
        <v>11076</v>
      </c>
    </row>
    <row r="2934" spans="1:7" x14ac:dyDescent="0.25">
      <c r="A2934" t="s">
        <v>4</v>
      </c>
      <c r="B2934" t="s">
        <v>7045</v>
      </c>
      <c r="F2934" t="s">
        <v>7470</v>
      </c>
      <c r="G2934" t="s">
        <v>11076</v>
      </c>
    </row>
    <row r="2935" spans="1:7" x14ac:dyDescent="0.25">
      <c r="A2935" t="s">
        <v>4</v>
      </c>
      <c r="B2935" t="s">
        <v>7045</v>
      </c>
      <c r="F2935" t="s">
        <v>7472</v>
      </c>
      <c r="G2935" t="s">
        <v>11076</v>
      </c>
    </row>
    <row r="2936" spans="1:7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x14ac:dyDescent="0.25">
      <c r="A2959" t="s">
        <v>4</v>
      </c>
      <c r="B2959" t="s">
        <v>9</v>
      </c>
      <c r="F2959" t="s">
        <v>7410</v>
      </c>
      <c r="G2959" t="s">
        <v>12648</v>
      </c>
    </row>
    <row r="2960" spans="1:7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12648</v>
      </c>
    </row>
    <row r="2961" spans="1:7" x14ac:dyDescent="0.25">
      <c r="A2961" t="s">
        <v>7531</v>
      </c>
      <c r="B2961" t="s">
        <v>1274</v>
      </c>
      <c r="F2961" t="s">
        <v>7414</v>
      </c>
      <c r="G2961" t="s">
        <v>12648</v>
      </c>
    </row>
    <row r="2962" spans="1:7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12648</v>
      </c>
    </row>
    <row r="2963" spans="1:7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12648</v>
      </c>
    </row>
    <row r="2964" spans="1:7" x14ac:dyDescent="0.25">
      <c r="A2964" t="s">
        <v>1627</v>
      </c>
      <c r="B2964" t="s">
        <v>687</v>
      </c>
      <c r="F2964" t="s">
        <v>7420</v>
      </c>
      <c r="G2964" t="s">
        <v>12648</v>
      </c>
    </row>
    <row r="2965" spans="1:7" x14ac:dyDescent="0.25">
      <c r="A2965" t="s">
        <v>4</v>
      </c>
      <c r="B2965" t="s">
        <v>9</v>
      </c>
      <c r="F2965" t="s">
        <v>7532</v>
      </c>
      <c r="G2965" t="s">
        <v>12648</v>
      </c>
    </row>
    <row r="2966" spans="1:7" x14ac:dyDescent="0.25">
      <c r="A2966" t="s">
        <v>1627</v>
      </c>
      <c r="B2966" t="s">
        <v>687</v>
      </c>
      <c r="F2966" t="s">
        <v>7534</v>
      </c>
      <c r="G2966" t="s">
        <v>12648</v>
      </c>
    </row>
    <row r="2967" spans="1:7" x14ac:dyDescent="0.25">
      <c r="A2967" t="s">
        <v>1627</v>
      </c>
      <c r="B2967" t="s">
        <v>687</v>
      </c>
      <c r="F2967" t="s">
        <v>7536</v>
      </c>
      <c r="G2967" t="s">
        <v>12648</v>
      </c>
    </row>
    <row r="2968" spans="1:7" x14ac:dyDescent="0.25">
      <c r="A2968" t="s">
        <v>7531</v>
      </c>
      <c r="B2968" t="s">
        <v>1274</v>
      </c>
      <c r="F2968" t="s">
        <v>7538</v>
      </c>
      <c r="G2968" t="s">
        <v>12648</v>
      </c>
    </row>
    <row r="2969" spans="1:7" x14ac:dyDescent="0.25">
      <c r="A2969" t="s">
        <v>1627</v>
      </c>
      <c r="B2969" t="s">
        <v>687</v>
      </c>
      <c r="F2969" t="s">
        <v>7540</v>
      </c>
      <c r="G2969" t="s">
        <v>12648</v>
      </c>
    </row>
    <row r="2970" spans="1:7" x14ac:dyDescent="0.25">
      <c r="A2970" t="s">
        <v>1627</v>
      </c>
      <c r="B2970" t="s">
        <v>687</v>
      </c>
      <c r="F2970" t="s">
        <v>7542</v>
      </c>
      <c r="G2970" t="s">
        <v>12648</v>
      </c>
    </row>
    <row r="2971" spans="1:7" x14ac:dyDescent="0.25">
      <c r="A2971" t="s">
        <v>7531</v>
      </c>
      <c r="B2971" t="s">
        <v>1274</v>
      </c>
      <c r="F2971" t="s">
        <v>7544</v>
      </c>
      <c r="G2971" t="s">
        <v>12648</v>
      </c>
    </row>
    <row r="2972" spans="1:7" x14ac:dyDescent="0.25">
      <c r="A2972" t="s">
        <v>1627</v>
      </c>
      <c r="B2972" t="s">
        <v>687</v>
      </c>
      <c r="F2972" t="s">
        <v>7546</v>
      </c>
      <c r="G2972" t="s">
        <v>12648</v>
      </c>
    </row>
    <row r="2973" spans="1:7" x14ac:dyDescent="0.25">
      <c r="A2973" t="s">
        <v>1627</v>
      </c>
      <c r="B2973" t="s">
        <v>687</v>
      </c>
      <c r="F2973" t="s">
        <v>7548</v>
      </c>
      <c r="G2973" t="s">
        <v>12648</v>
      </c>
    </row>
    <row r="2974" spans="1:7" x14ac:dyDescent="0.25">
      <c r="A2974" t="s">
        <v>7562</v>
      </c>
      <c r="B2974" t="s">
        <v>468</v>
      </c>
      <c r="F2974" t="s">
        <v>7550</v>
      </c>
      <c r="G2974" t="s">
        <v>12648</v>
      </c>
    </row>
    <row r="2975" spans="1:7" x14ac:dyDescent="0.25">
      <c r="A2975" t="s">
        <v>7531</v>
      </c>
      <c r="B2975" t="s">
        <v>1274</v>
      </c>
      <c r="F2975" t="s">
        <v>7552</v>
      </c>
      <c r="G2975" t="s">
        <v>12648</v>
      </c>
    </row>
    <row r="2976" spans="1:7" x14ac:dyDescent="0.25">
      <c r="A2976" t="s">
        <v>7531</v>
      </c>
      <c r="B2976" t="s">
        <v>1274</v>
      </c>
      <c r="F2976" t="s">
        <v>7554</v>
      </c>
      <c r="G2976" t="s">
        <v>12648</v>
      </c>
    </row>
    <row r="2977" spans="1:7" x14ac:dyDescent="0.25">
      <c r="A2977" t="s">
        <v>7531</v>
      </c>
      <c r="B2977" t="s">
        <v>1274</v>
      </c>
      <c r="F2977" t="s">
        <v>7556</v>
      </c>
      <c r="G2977" t="s">
        <v>12648</v>
      </c>
    </row>
    <row r="2978" spans="1:7" x14ac:dyDescent="0.25">
      <c r="A2978" t="s">
        <v>1627</v>
      </c>
      <c r="B2978" t="s">
        <v>687</v>
      </c>
      <c r="F2978" t="s">
        <v>7558</v>
      </c>
      <c r="G2978" t="s">
        <v>12648</v>
      </c>
    </row>
    <row r="2979" spans="1:7" x14ac:dyDescent="0.25">
      <c r="A2979" t="s">
        <v>7531</v>
      </c>
      <c r="B2979" t="s">
        <v>1274</v>
      </c>
      <c r="F2979" t="s">
        <v>7560</v>
      </c>
      <c r="G2979" t="s">
        <v>12648</v>
      </c>
    </row>
    <row r="2980" spans="1:7" x14ac:dyDescent="0.25">
      <c r="A2980" t="s">
        <v>7563</v>
      </c>
      <c r="B2980" t="s">
        <v>1058</v>
      </c>
      <c r="F2980" t="s">
        <v>7422</v>
      </c>
      <c r="G2980" t="s">
        <v>12649</v>
      </c>
    </row>
    <row r="2981" spans="1:7" x14ac:dyDescent="0.25">
      <c r="A2981" t="s">
        <v>7563</v>
      </c>
      <c r="B2981" t="s">
        <v>1058</v>
      </c>
      <c r="F2981" t="s">
        <v>7424</v>
      </c>
      <c r="G2981" t="s">
        <v>12649</v>
      </c>
    </row>
    <row r="2982" spans="1:7" x14ac:dyDescent="0.25">
      <c r="A2982" t="s">
        <v>7563</v>
      </c>
      <c r="B2982" t="s">
        <v>7564</v>
      </c>
      <c r="F2982" t="s">
        <v>7426</v>
      </c>
      <c r="G2982" t="s">
        <v>12649</v>
      </c>
    </row>
    <row r="2983" spans="1:7" x14ac:dyDescent="0.25">
      <c r="A2983" t="s">
        <v>4</v>
      </c>
      <c r="B2983" t="s">
        <v>6157</v>
      </c>
      <c r="F2983" t="s">
        <v>7428</v>
      </c>
      <c r="G2983" t="s">
        <v>12649</v>
      </c>
    </row>
    <row r="2984" spans="1:7" x14ac:dyDescent="0.25">
      <c r="A2984" t="s">
        <v>7563</v>
      </c>
      <c r="B2984" t="s">
        <v>1058</v>
      </c>
      <c r="F2984" t="s">
        <v>7565</v>
      </c>
      <c r="G2984" t="s">
        <v>12649</v>
      </c>
    </row>
    <row r="2985" spans="1:7" x14ac:dyDescent="0.25">
      <c r="A2985" t="s">
        <v>7563</v>
      </c>
      <c r="B2985" t="s">
        <v>1058</v>
      </c>
      <c r="F2985" t="s">
        <v>7567</v>
      </c>
      <c r="G2985" t="s">
        <v>12649</v>
      </c>
    </row>
    <row r="2986" spans="1:7" x14ac:dyDescent="0.25">
      <c r="A2986" t="s">
        <v>7563</v>
      </c>
      <c r="B2986" t="s">
        <v>1058</v>
      </c>
      <c r="F2986" t="s">
        <v>7569</v>
      </c>
      <c r="G2986" t="s">
        <v>12649</v>
      </c>
    </row>
    <row r="2987" spans="1:7" x14ac:dyDescent="0.25">
      <c r="A2987" t="s">
        <v>7563</v>
      </c>
      <c r="B2987" t="s">
        <v>1058</v>
      </c>
      <c r="F2987" t="s">
        <v>7571</v>
      </c>
      <c r="G2987" t="s">
        <v>12649</v>
      </c>
    </row>
    <row r="2988" spans="1:7" x14ac:dyDescent="0.25">
      <c r="A2988" t="s">
        <v>7563</v>
      </c>
      <c r="B2988" t="s">
        <v>1058</v>
      </c>
      <c r="F2988" t="s">
        <v>7573</v>
      </c>
      <c r="G2988" t="s">
        <v>12649</v>
      </c>
    </row>
    <row r="2989" spans="1:7" x14ac:dyDescent="0.25">
      <c r="A2989" t="s">
        <v>7563</v>
      </c>
      <c r="B2989" t="s">
        <v>1058</v>
      </c>
      <c r="F2989" t="s">
        <v>7575</v>
      </c>
      <c r="G2989" t="s">
        <v>12649</v>
      </c>
    </row>
    <row r="2990" spans="1:7" x14ac:dyDescent="0.25">
      <c r="A2990" t="s">
        <v>7583</v>
      </c>
      <c r="B2990" t="s">
        <v>1058</v>
      </c>
      <c r="F2990" t="s">
        <v>7577</v>
      </c>
      <c r="G2990" t="s">
        <v>12649</v>
      </c>
    </row>
    <row r="2991" spans="1:7" x14ac:dyDescent="0.25">
      <c r="A2991" t="s">
        <v>7562</v>
      </c>
      <c r="B2991" t="s">
        <v>4131</v>
      </c>
      <c r="F2991" t="s">
        <v>7579</v>
      </c>
      <c r="G2991" t="s">
        <v>12649</v>
      </c>
    </row>
    <row r="2992" spans="1:7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12649</v>
      </c>
    </row>
    <row r="2993" spans="1:7" x14ac:dyDescent="0.25">
      <c r="A2993" t="s">
        <v>6436</v>
      </c>
      <c r="B2993" t="s">
        <v>3358</v>
      </c>
      <c r="F2993" t="s">
        <v>7430</v>
      </c>
      <c r="G2993" t="s">
        <v>12650</v>
      </c>
    </row>
    <row r="2994" spans="1:7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12650</v>
      </c>
    </row>
    <row r="2995" spans="1:7" x14ac:dyDescent="0.25">
      <c r="A2995" t="s">
        <v>6436</v>
      </c>
      <c r="B2995" t="s">
        <v>3358</v>
      </c>
      <c r="F2995" t="s">
        <v>7434</v>
      </c>
      <c r="G2995" t="s">
        <v>12650</v>
      </c>
    </row>
    <row r="2996" spans="1:7" x14ac:dyDescent="0.25">
      <c r="A2996" t="s">
        <v>4</v>
      </c>
      <c r="B2996" t="s">
        <v>8</v>
      </c>
      <c r="F2996" t="s">
        <v>7436</v>
      </c>
      <c r="G2996" t="s">
        <v>12650</v>
      </c>
    </row>
    <row r="2997" spans="1:7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12650</v>
      </c>
    </row>
    <row r="2998" spans="1:7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12650</v>
      </c>
    </row>
    <row r="2999" spans="1:7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12650</v>
      </c>
    </row>
    <row r="3000" spans="1:7" x14ac:dyDescent="0.25">
      <c r="A3000" t="s">
        <v>1273</v>
      </c>
      <c r="B3000" t="s">
        <v>7608</v>
      </c>
      <c r="F3000" t="s">
        <v>7590</v>
      </c>
      <c r="G3000" t="s">
        <v>12650</v>
      </c>
    </row>
    <row r="3001" spans="1:7" x14ac:dyDescent="0.25">
      <c r="A3001" t="s">
        <v>587</v>
      </c>
      <c r="B3001" t="s">
        <v>7608</v>
      </c>
      <c r="F3001" t="s">
        <v>7592</v>
      </c>
      <c r="G3001" t="s">
        <v>12650</v>
      </c>
    </row>
    <row r="3002" spans="1:7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12650</v>
      </c>
    </row>
    <row r="3003" spans="1:7" x14ac:dyDescent="0.25">
      <c r="A3003" t="s">
        <v>1273</v>
      </c>
      <c r="B3003" t="s">
        <v>7609</v>
      </c>
      <c r="F3003" t="s">
        <v>7596</v>
      </c>
      <c r="G3003" t="s">
        <v>12650</v>
      </c>
    </row>
    <row r="3004" spans="1:7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12650</v>
      </c>
    </row>
    <row r="3005" spans="1:7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12650</v>
      </c>
    </row>
    <row r="3006" spans="1:7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12650</v>
      </c>
    </row>
    <row r="3007" spans="1:7" x14ac:dyDescent="0.25">
      <c r="A3007" t="s">
        <v>4</v>
      </c>
      <c r="B3007" t="s">
        <v>8</v>
      </c>
      <c r="F3007" t="s">
        <v>7605</v>
      </c>
      <c r="G3007" t="s">
        <v>12650</v>
      </c>
    </row>
    <row r="3008" spans="1:7" x14ac:dyDescent="0.25">
      <c r="A3008" t="s">
        <v>1607</v>
      </c>
      <c r="B3008" t="s">
        <v>8</v>
      </c>
      <c r="F3008" t="s">
        <v>7438</v>
      </c>
      <c r="G3008" t="s">
        <v>12651</v>
      </c>
    </row>
    <row r="3009" spans="1:7" x14ac:dyDescent="0.25">
      <c r="A3009" t="s">
        <v>4</v>
      </c>
      <c r="B3009" t="s">
        <v>8</v>
      </c>
      <c r="F3009" t="s">
        <v>7610</v>
      </c>
      <c r="G3009" t="s">
        <v>12651</v>
      </c>
    </row>
    <row r="3010" spans="1:7" x14ac:dyDescent="0.25">
      <c r="A3010" t="s">
        <v>588</v>
      </c>
      <c r="B3010" t="s">
        <v>4396</v>
      </c>
      <c r="F3010" t="s">
        <v>7612</v>
      </c>
      <c r="G3010" t="s">
        <v>12651</v>
      </c>
    </row>
    <row r="3011" spans="1:7" x14ac:dyDescent="0.25">
      <c r="A3011" t="s">
        <v>588</v>
      </c>
      <c r="B3011" t="s">
        <v>4396</v>
      </c>
      <c r="F3011" t="s">
        <v>7614</v>
      </c>
      <c r="G3011" t="s">
        <v>12651</v>
      </c>
    </row>
    <row r="3012" spans="1:7" x14ac:dyDescent="0.25">
      <c r="A3012" t="s">
        <v>588</v>
      </c>
      <c r="B3012" t="s">
        <v>4396</v>
      </c>
      <c r="F3012" t="s">
        <v>7616</v>
      </c>
      <c r="G3012" t="s">
        <v>12651</v>
      </c>
    </row>
    <row r="3013" spans="1:7" x14ac:dyDescent="0.25">
      <c r="A3013" t="s">
        <v>588</v>
      </c>
      <c r="B3013" t="s">
        <v>4396</v>
      </c>
      <c r="F3013" t="s">
        <v>7618</v>
      </c>
      <c r="G3013" t="s">
        <v>12651</v>
      </c>
    </row>
    <row r="3014" spans="1:7" x14ac:dyDescent="0.25">
      <c r="A3014" t="s">
        <v>588</v>
      </c>
      <c r="B3014" t="s">
        <v>4396</v>
      </c>
      <c r="F3014" t="s">
        <v>7620</v>
      </c>
      <c r="G3014" t="s">
        <v>12651</v>
      </c>
    </row>
    <row r="3015" spans="1:7" x14ac:dyDescent="0.25">
      <c r="A3015" t="s">
        <v>4</v>
      </c>
      <c r="B3015" t="s">
        <v>8</v>
      </c>
      <c r="F3015" t="s">
        <v>7622</v>
      </c>
      <c r="G3015" t="s">
        <v>12651</v>
      </c>
    </row>
    <row r="3016" spans="1:7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x14ac:dyDescent="0.25">
      <c r="A3038" t="s">
        <v>1607</v>
      </c>
      <c r="F3038" t="s">
        <v>7677</v>
      </c>
      <c r="G3038" t="s">
        <v>91</v>
      </c>
    </row>
    <row r="3039" spans="1:7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12647</v>
      </c>
    </row>
    <row r="3040" spans="1:7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12647</v>
      </c>
    </row>
    <row r="3041" spans="1:7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12647</v>
      </c>
    </row>
    <row r="3042" spans="1:7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12647</v>
      </c>
    </row>
    <row r="3043" spans="1:7" x14ac:dyDescent="0.25">
      <c r="A3043" t="s">
        <v>1607</v>
      </c>
      <c r="B3043" t="s">
        <v>8</v>
      </c>
      <c r="F3043" t="s">
        <v>7659</v>
      </c>
      <c r="G3043" t="s">
        <v>12647</v>
      </c>
    </row>
    <row r="3044" spans="1:7" x14ac:dyDescent="0.25">
      <c r="A3044" t="s">
        <v>4</v>
      </c>
      <c r="B3044" t="s">
        <v>7739</v>
      </c>
      <c r="F3044" t="s">
        <v>7661</v>
      </c>
      <c r="G3044" t="s">
        <v>11076</v>
      </c>
    </row>
    <row r="3045" spans="1:7" x14ac:dyDescent="0.25">
      <c r="A3045" t="s">
        <v>1607</v>
      </c>
      <c r="B3045" t="s">
        <v>8</v>
      </c>
      <c r="F3045" t="s">
        <v>7663</v>
      </c>
      <c r="G3045" t="s">
        <v>11076</v>
      </c>
    </row>
    <row r="3046" spans="1:7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x14ac:dyDescent="0.25">
      <c r="A3055" t="s">
        <v>7531</v>
      </c>
      <c r="B3055" t="s">
        <v>1274</v>
      </c>
      <c r="F3055" t="s">
        <v>7685</v>
      </c>
      <c r="G3055" t="s">
        <v>12648</v>
      </c>
    </row>
    <row r="3056" spans="1:7" x14ac:dyDescent="0.25">
      <c r="A3056" t="s">
        <v>4</v>
      </c>
      <c r="B3056" t="s">
        <v>9</v>
      </c>
      <c r="F3056" t="s">
        <v>7687</v>
      </c>
      <c r="G3056" t="s">
        <v>12648</v>
      </c>
    </row>
    <row r="3057" spans="1:7" x14ac:dyDescent="0.25">
      <c r="A3057" t="s">
        <v>7531</v>
      </c>
      <c r="B3057" t="s">
        <v>1274</v>
      </c>
      <c r="F3057" t="s">
        <v>7689</v>
      </c>
      <c r="G3057" t="s">
        <v>12648</v>
      </c>
    </row>
    <row r="3058" spans="1:7" x14ac:dyDescent="0.25">
      <c r="A3058" t="s">
        <v>1627</v>
      </c>
      <c r="B3058" t="s">
        <v>687</v>
      </c>
      <c r="F3058" t="s">
        <v>7691</v>
      </c>
      <c r="G3058" t="s">
        <v>12648</v>
      </c>
    </row>
    <row r="3059" spans="1:7" x14ac:dyDescent="0.25">
      <c r="A3059" t="s">
        <v>4</v>
      </c>
      <c r="B3059" t="s">
        <v>9</v>
      </c>
      <c r="F3059" t="s">
        <v>7693</v>
      </c>
      <c r="G3059" t="s">
        <v>12648</v>
      </c>
    </row>
    <row r="3060" spans="1:7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12650</v>
      </c>
    </row>
    <row r="3061" spans="1:7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12650</v>
      </c>
    </row>
    <row r="3062" spans="1:7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12650</v>
      </c>
    </row>
    <row r="3063" spans="1:7" x14ac:dyDescent="0.25">
      <c r="A3063" t="s">
        <v>1607</v>
      </c>
      <c r="B3063" t="s">
        <v>8</v>
      </c>
      <c r="F3063" t="s">
        <v>7722</v>
      </c>
      <c r="G3063" t="s">
        <v>12651</v>
      </c>
    </row>
    <row r="3064" spans="1:7" x14ac:dyDescent="0.25">
      <c r="A3064" t="s">
        <v>1607</v>
      </c>
      <c r="B3064" t="s">
        <v>8</v>
      </c>
      <c r="F3064" t="s">
        <v>7723</v>
      </c>
      <c r="G3064" t="s">
        <v>12651</v>
      </c>
    </row>
    <row r="3065" spans="1:7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12649</v>
      </c>
    </row>
    <row r="3070" spans="1:7" x14ac:dyDescent="0.25">
      <c r="A3070" t="s">
        <v>4</v>
      </c>
      <c r="B3070" t="s">
        <v>7745</v>
      </c>
      <c r="F3070" t="s">
        <v>7712</v>
      </c>
      <c r="G3070" t="s">
        <v>12649</v>
      </c>
    </row>
    <row r="3071" spans="1:7" x14ac:dyDescent="0.25">
      <c r="A3071" t="s">
        <v>7746</v>
      </c>
      <c r="B3071" t="s">
        <v>7355</v>
      </c>
      <c r="F3071" t="s">
        <v>7714</v>
      </c>
      <c r="G3071" t="s">
        <v>12649</v>
      </c>
    </row>
    <row r="3072" spans="1:7" x14ac:dyDescent="0.25">
      <c r="A3072" t="s">
        <v>1607</v>
      </c>
      <c r="F3072" t="s">
        <v>7762</v>
      </c>
      <c r="G3072" t="s">
        <v>91</v>
      </c>
    </row>
    <row r="3073" spans="1:7" x14ac:dyDescent="0.25">
      <c r="A3073" t="s">
        <v>1607</v>
      </c>
      <c r="F3073" t="s">
        <v>7764</v>
      </c>
      <c r="G3073" t="s">
        <v>91</v>
      </c>
    </row>
    <row r="3074" spans="1:7" x14ac:dyDescent="0.25">
      <c r="A3074" t="s">
        <v>1607</v>
      </c>
      <c r="B3074" t="s">
        <v>8</v>
      </c>
      <c r="F3074" t="s">
        <v>7766</v>
      </c>
      <c r="G3074" t="s">
        <v>12647</v>
      </c>
    </row>
    <row r="3075" spans="1:7" x14ac:dyDescent="0.25">
      <c r="A3075" t="s">
        <v>1607</v>
      </c>
      <c r="B3075" t="s">
        <v>8</v>
      </c>
      <c r="F3075" t="s">
        <v>7768</v>
      </c>
      <c r="G3075" t="s">
        <v>12647</v>
      </c>
    </row>
    <row r="3076" spans="1:7" x14ac:dyDescent="0.25">
      <c r="A3076" t="s">
        <v>4</v>
      </c>
      <c r="B3076" t="s">
        <v>7045</v>
      </c>
      <c r="F3076" t="s">
        <v>7770</v>
      </c>
      <c r="G3076" t="s">
        <v>11076</v>
      </c>
    </row>
    <row r="3077" spans="1:7" x14ac:dyDescent="0.25">
      <c r="A3077" t="s">
        <v>4</v>
      </c>
      <c r="B3077" t="s">
        <v>7045</v>
      </c>
      <c r="F3077" t="s">
        <v>7772</v>
      </c>
      <c r="G3077" t="s">
        <v>11076</v>
      </c>
    </row>
    <row r="3078" spans="1:7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x14ac:dyDescent="0.25">
      <c r="A3100" t="s">
        <v>7531</v>
      </c>
      <c r="B3100" t="s">
        <v>1274</v>
      </c>
      <c r="F3100" t="s">
        <v>7789</v>
      </c>
      <c r="G3100" t="s">
        <v>12648</v>
      </c>
    </row>
    <row r="3101" spans="1:7" x14ac:dyDescent="0.25">
      <c r="A3101" t="s">
        <v>7531</v>
      </c>
      <c r="B3101" t="s">
        <v>1274</v>
      </c>
      <c r="F3101" t="s">
        <v>7791</v>
      </c>
      <c r="G3101" t="s">
        <v>12648</v>
      </c>
    </row>
    <row r="3102" spans="1:7" x14ac:dyDescent="0.25">
      <c r="A3102" t="s">
        <v>7531</v>
      </c>
      <c r="B3102" t="s">
        <v>1274</v>
      </c>
      <c r="F3102" t="s">
        <v>7793</v>
      </c>
      <c r="G3102" t="s">
        <v>12648</v>
      </c>
    </row>
    <row r="3103" spans="1:7" x14ac:dyDescent="0.25">
      <c r="A3103" t="s">
        <v>1627</v>
      </c>
      <c r="B3103" t="s">
        <v>687</v>
      </c>
      <c r="F3103" t="s">
        <v>7795</v>
      </c>
      <c r="G3103" t="s">
        <v>12648</v>
      </c>
    </row>
    <row r="3104" spans="1:7" x14ac:dyDescent="0.25">
      <c r="A3104" t="s">
        <v>1627</v>
      </c>
      <c r="B3104" t="s">
        <v>687</v>
      </c>
      <c r="F3104" t="s">
        <v>7797</v>
      </c>
      <c r="G3104" t="s">
        <v>12648</v>
      </c>
    </row>
    <row r="3105" spans="1:7" x14ac:dyDescent="0.25">
      <c r="A3105" t="s">
        <v>1627</v>
      </c>
      <c r="B3105" t="s">
        <v>687</v>
      </c>
      <c r="F3105" t="s">
        <v>7799</v>
      </c>
      <c r="G3105" t="s">
        <v>12648</v>
      </c>
    </row>
    <row r="3106" spans="1:7" x14ac:dyDescent="0.25">
      <c r="A3106" t="s">
        <v>7531</v>
      </c>
      <c r="B3106" t="s">
        <v>1274</v>
      </c>
      <c r="F3106" t="s">
        <v>7801</v>
      </c>
      <c r="G3106" t="s">
        <v>12648</v>
      </c>
    </row>
    <row r="3107" spans="1:7" x14ac:dyDescent="0.25">
      <c r="A3107" t="s">
        <v>4</v>
      </c>
      <c r="B3107" t="s">
        <v>9</v>
      </c>
      <c r="F3107" t="s">
        <v>7803</v>
      </c>
      <c r="G3107" t="s">
        <v>12648</v>
      </c>
    </row>
    <row r="3108" spans="1:7" x14ac:dyDescent="0.25">
      <c r="A3108" t="s">
        <v>7531</v>
      </c>
      <c r="B3108" t="s">
        <v>1274</v>
      </c>
      <c r="F3108" t="s">
        <v>7805</v>
      </c>
      <c r="G3108" t="s">
        <v>12648</v>
      </c>
    </row>
    <row r="3109" spans="1:7" x14ac:dyDescent="0.25">
      <c r="A3109" t="s">
        <v>1627</v>
      </c>
      <c r="B3109" t="s">
        <v>687</v>
      </c>
      <c r="F3109" t="s">
        <v>7807</v>
      </c>
      <c r="G3109" t="s">
        <v>12648</v>
      </c>
    </row>
    <row r="3110" spans="1:7" x14ac:dyDescent="0.25">
      <c r="A3110" t="s">
        <v>7531</v>
      </c>
      <c r="B3110" t="s">
        <v>1274</v>
      </c>
      <c r="F3110" t="s">
        <v>7809</v>
      </c>
      <c r="G3110" t="s">
        <v>12648</v>
      </c>
    </row>
    <row r="3111" spans="1:7" x14ac:dyDescent="0.25">
      <c r="A3111" t="s">
        <v>7531</v>
      </c>
      <c r="B3111" t="s">
        <v>1274</v>
      </c>
      <c r="F3111" t="s">
        <v>7811</v>
      </c>
      <c r="G3111" t="s">
        <v>12648</v>
      </c>
    </row>
    <row r="3112" spans="1:7" x14ac:dyDescent="0.25">
      <c r="A3112" t="s">
        <v>7531</v>
      </c>
      <c r="B3112" t="s">
        <v>1274</v>
      </c>
      <c r="F3112" t="s">
        <v>7813</v>
      </c>
      <c r="G3112" t="s">
        <v>12648</v>
      </c>
    </row>
    <row r="3113" spans="1:7" x14ac:dyDescent="0.25">
      <c r="A3113" t="s">
        <v>7562</v>
      </c>
      <c r="B3113" t="s">
        <v>468</v>
      </c>
      <c r="F3113" t="s">
        <v>7815</v>
      </c>
      <c r="G3113" t="s">
        <v>12648</v>
      </c>
    </row>
    <row r="3114" spans="1:7" x14ac:dyDescent="0.25">
      <c r="A3114" t="s">
        <v>7531</v>
      </c>
      <c r="B3114" t="s">
        <v>1274</v>
      </c>
      <c r="F3114" t="s">
        <v>7817</v>
      </c>
      <c r="G3114" t="s">
        <v>12648</v>
      </c>
    </row>
    <row r="3115" spans="1:7" x14ac:dyDescent="0.25">
      <c r="A3115" t="s">
        <v>7531</v>
      </c>
      <c r="B3115" t="s">
        <v>1274</v>
      </c>
      <c r="F3115" t="s">
        <v>7819</v>
      </c>
      <c r="G3115" t="s">
        <v>12648</v>
      </c>
    </row>
    <row r="3116" spans="1:7" x14ac:dyDescent="0.25">
      <c r="A3116" t="s">
        <v>1627</v>
      </c>
      <c r="B3116" t="s">
        <v>687</v>
      </c>
      <c r="F3116" t="s">
        <v>7821</v>
      </c>
      <c r="G3116" t="s">
        <v>12648</v>
      </c>
    </row>
    <row r="3117" spans="1:7" x14ac:dyDescent="0.25">
      <c r="A3117" t="s">
        <v>1627</v>
      </c>
      <c r="B3117" t="s">
        <v>687</v>
      </c>
      <c r="F3117" t="s">
        <v>7823</v>
      </c>
      <c r="G3117" t="s">
        <v>12648</v>
      </c>
    </row>
    <row r="3118" spans="1:7" x14ac:dyDescent="0.25">
      <c r="A3118" t="s">
        <v>7563</v>
      </c>
      <c r="B3118" t="s">
        <v>1058</v>
      </c>
      <c r="F3118" t="s">
        <v>7825</v>
      </c>
      <c r="G3118" t="s">
        <v>12649</v>
      </c>
    </row>
    <row r="3119" spans="1:7" x14ac:dyDescent="0.25">
      <c r="A3119" t="s">
        <v>7563</v>
      </c>
      <c r="B3119" t="s">
        <v>1058</v>
      </c>
      <c r="F3119" t="s">
        <v>7827</v>
      </c>
      <c r="G3119" t="s">
        <v>12649</v>
      </c>
    </row>
    <row r="3120" spans="1:7" x14ac:dyDescent="0.25">
      <c r="A3120" t="s">
        <v>4</v>
      </c>
      <c r="B3120" t="s">
        <v>9</v>
      </c>
      <c r="F3120" t="s">
        <v>7829</v>
      </c>
      <c r="G3120" t="s">
        <v>12649</v>
      </c>
    </row>
    <row r="3121" spans="1:7" x14ac:dyDescent="0.25">
      <c r="A3121" t="s">
        <v>4</v>
      </c>
      <c r="B3121" t="s">
        <v>4393</v>
      </c>
      <c r="F3121" t="s">
        <v>7831</v>
      </c>
      <c r="G3121" t="s">
        <v>12649</v>
      </c>
    </row>
    <row r="3122" spans="1:7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12649</v>
      </c>
    </row>
    <row r="3123" spans="1:7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12649</v>
      </c>
    </row>
    <row r="3124" spans="1:7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12649</v>
      </c>
    </row>
    <row r="3125" spans="1:7" x14ac:dyDescent="0.25">
      <c r="A3125" t="s">
        <v>4</v>
      </c>
      <c r="B3125" t="s">
        <v>4393</v>
      </c>
      <c r="F3125" t="s">
        <v>7839</v>
      </c>
      <c r="G3125" t="s">
        <v>12649</v>
      </c>
    </row>
    <row r="3126" spans="1:7" x14ac:dyDescent="0.25">
      <c r="A3126" t="s">
        <v>4</v>
      </c>
      <c r="B3126" t="s">
        <v>4393</v>
      </c>
      <c r="F3126" t="s">
        <v>7841</v>
      </c>
      <c r="G3126" t="s">
        <v>12649</v>
      </c>
    </row>
    <row r="3127" spans="1:7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12649</v>
      </c>
    </row>
    <row r="3128" spans="1:7" x14ac:dyDescent="0.25">
      <c r="A3128" t="s">
        <v>1607</v>
      </c>
      <c r="B3128" t="s">
        <v>8</v>
      </c>
      <c r="F3128" t="s">
        <v>7845</v>
      </c>
      <c r="G3128" t="s">
        <v>12650</v>
      </c>
    </row>
    <row r="3129" spans="1:7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12650</v>
      </c>
    </row>
    <row r="3130" spans="1:7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12650</v>
      </c>
    </row>
    <row r="3131" spans="1:7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12650</v>
      </c>
    </row>
    <row r="3132" spans="1:7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12650</v>
      </c>
    </row>
    <row r="3133" spans="1:7" x14ac:dyDescent="0.25">
      <c r="A3133" t="s">
        <v>1607</v>
      </c>
      <c r="B3133" t="s">
        <v>8</v>
      </c>
      <c r="F3133" t="s">
        <v>7855</v>
      </c>
      <c r="G3133" t="s">
        <v>12651</v>
      </c>
    </row>
    <row r="3134" spans="1:7" x14ac:dyDescent="0.25">
      <c r="A3134" t="s">
        <v>5699</v>
      </c>
      <c r="B3134" t="s">
        <v>4396</v>
      </c>
      <c r="F3134" t="s">
        <v>7857</v>
      </c>
      <c r="G3134" t="s">
        <v>12651</v>
      </c>
    </row>
    <row r="3135" spans="1:7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12651</v>
      </c>
    </row>
    <row r="3136" spans="1:7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12651</v>
      </c>
    </row>
    <row r="3137" spans="1:7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x14ac:dyDescent="0.25">
      <c r="A3145" t="s">
        <v>1607</v>
      </c>
      <c r="F3145" t="s">
        <v>7934</v>
      </c>
      <c r="G3145" t="s">
        <v>91</v>
      </c>
    </row>
    <row r="3146" spans="1:7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12647</v>
      </c>
    </row>
    <row r="3149" spans="1:7" x14ac:dyDescent="0.25">
      <c r="A3149" t="s">
        <v>587</v>
      </c>
      <c r="B3149" t="s">
        <v>8099</v>
      </c>
      <c r="F3149" t="s">
        <v>7928</v>
      </c>
      <c r="G3149" t="s">
        <v>12647</v>
      </c>
    </row>
    <row r="3150" spans="1:7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12647</v>
      </c>
    </row>
    <row r="3151" spans="1:7" x14ac:dyDescent="0.25">
      <c r="A3151" t="s">
        <v>587</v>
      </c>
      <c r="B3151" t="s">
        <v>3358</v>
      </c>
      <c r="F3151" t="s">
        <v>7932</v>
      </c>
      <c r="G3151" t="s">
        <v>12647</v>
      </c>
    </row>
    <row r="3152" spans="1:7" x14ac:dyDescent="0.25">
      <c r="A3152" t="s">
        <v>4</v>
      </c>
      <c r="B3152" t="s">
        <v>7045</v>
      </c>
      <c r="F3152" t="s">
        <v>7955</v>
      </c>
      <c r="G3152" t="s">
        <v>11076</v>
      </c>
    </row>
    <row r="3153" spans="1:7" x14ac:dyDescent="0.25">
      <c r="A3153" t="s">
        <v>4</v>
      </c>
      <c r="B3153" t="s">
        <v>7045</v>
      </c>
      <c r="F3153" t="s">
        <v>7957</v>
      </c>
      <c r="G3153" t="s">
        <v>11076</v>
      </c>
    </row>
    <row r="3154" spans="1:7" x14ac:dyDescent="0.25">
      <c r="A3154" t="s">
        <v>4</v>
      </c>
      <c r="B3154" t="s">
        <v>7045</v>
      </c>
      <c r="F3154" t="s">
        <v>7959</v>
      </c>
      <c r="G3154" t="s">
        <v>11076</v>
      </c>
    </row>
    <row r="3155" spans="1:7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x14ac:dyDescent="0.25">
      <c r="A3172" t="s">
        <v>1627</v>
      </c>
      <c r="B3172" t="s">
        <v>687</v>
      </c>
      <c r="F3172" t="s">
        <v>7979</v>
      </c>
      <c r="G3172" t="s">
        <v>12648</v>
      </c>
    </row>
    <row r="3173" spans="1:7" x14ac:dyDescent="0.25">
      <c r="A3173" t="s">
        <v>1627</v>
      </c>
      <c r="B3173" t="s">
        <v>687</v>
      </c>
      <c r="F3173" t="s">
        <v>7981</v>
      </c>
      <c r="G3173" t="s">
        <v>12648</v>
      </c>
    </row>
    <row r="3174" spans="1:7" x14ac:dyDescent="0.25">
      <c r="A3174" t="s">
        <v>1627</v>
      </c>
      <c r="B3174" t="s">
        <v>687</v>
      </c>
      <c r="F3174" t="s">
        <v>7983</v>
      </c>
      <c r="G3174" t="s">
        <v>12648</v>
      </c>
    </row>
    <row r="3175" spans="1:7" x14ac:dyDescent="0.25">
      <c r="A3175" t="s">
        <v>7531</v>
      </c>
      <c r="B3175" t="s">
        <v>1274</v>
      </c>
      <c r="F3175" t="s">
        <v>7985</v>
      </c>
      <c r="G3175" t="s">
        <v>12648</v>
      </c>
    </row>
    <row r="3176" spans="1:7" x14ac:dyDescent="0.25">
      <c r="A3176" t="s">
        <v>7531</v>
      </c>
      <c r="B3176" t="s">
        <v>1274</v>
      </c>
      <c r="F3176" t="s">
        <v>7987</v>
      </c>
      <c r="G3176" t="s">
        <v>12648</v>
      </c>
    </row>
    <row r="3177" spans="1:7" x14ac:dyDescent="0.25">
      <c r="A3177" t="s">
        <v>7531</v>
      </c>
      <c r="B3177" t="s">
        <v>1274</v>
      </c>
      <c r="F3177" t="s">
        <v>7989</v>
      </c>
      <c r="G3177" t="s">
        <v>12648</v>
      </c>
    </row>
    <row r="3178" spans="1:7" x14ac:dyDescent="0.25">
      <c r="A3178" t="s">
        <v>7531</v>
      </c>
      <c r="B3178" t="s">
        <v>1274</v>
      </c>
      <c r="F3178" t="s">
        <v>7991</v>
      </c>
      <c r="G3178" t="s">
        <v>12648</v>
      </c>
    </row>
    <row r="3179" spans="1:7" x14ac:dyDescent="0.25">
      <c r="A3179" t="s">
        <v>7531</v>
      </c>
      <c r="B3179" t="s">
        <v>1274</v>
      </c>
      <c r="F3179" t="s">
        <v>7993</v>
      </c>
      <c r="G3179" t="s">
        <v>12648</v>
      </c>
    </row>
    <row r="3180" spans="1:7" x14ac:dyDescent="0.25">
      <c r="A3180" t="s">
        <v>7531</v>
      </c>
      <c r="B3180" t="s">
        <v>1274</v>
      </c>
      <c r="F3180" t="s">
        <v>7995</v>
      </c>
      <c r="G3180" t="s">
        <v>12648</v>
      </c>
    </row>
    <row r="3181" spans="1:7" x14ac:dyDescent="0.25">
      <c r="A3181" t="s">
        <v>1627</v>
      </c>
      <c r="B3181" t="s">
        <v>687</v>
      </c>
      <c r="F3181" t="s">
        <v>7997</v>
      </c>
      <c r="G3181" t="s">
        <v>12648</v>
      </c>
    </row>
    <row r="3182" spans="1:7" x14ac:dyDescent="0.25">
      <c r="A3182" t="s">
        <v>7562</v>
      </c>
      <c r="B3182" t="s">
        <v>468</v>
      </c>
      <c r="F3182" t="s">
        <v>7999</v>
      </c>
      <c r="G3182" t="s">
        <v>12648</v>
      </c>
    </row>
    <row r="3183" spans="1:7" x14ac:dyDescent="0.25">
      <c r="A3183" t="s">
        <v>4</v>
      </c>
      <c r="B3183" t="s">
        <v>9</v>
      </c>
      <c r="F3183" t="s">
        <v>8001</v>
      </c>
      <c r="G3183" t="s">
        <v>12648</v>
      </c>
    </row>
    <row r="3184" spans="1:7" x14ac:dyDescent="0.25">
      <c r="A3184" t="s">
        <v>1627</v>
      </c>
      <c r="B3184" t="s">
        <v>687</v>
      </c>
      <c r="F3184" t="s">
        <v>8003</v>
      </c>
      <c r="G3184" t="s">
        <v>12648</v>
      </c>
    </row>
    <row r="3185" spans="1:7" x14ac:dyDescent="0.25">
      <c r="A3185" t="s">
        <v>7354</v>
      </c>
      <c r="B3185" t="s">
        <v>4131</v>
      </c>
      <c r="F3185" t="s">
        <v>8005</v>
      </c>
      <c r="G3185" t="s">
        <v>12649</v>
      </c>
    </row>
    <row r="3186" spans="1:7" x14ac:dyDescent="0.25">
      <c r="A3186" t="s">
        <v>4</v>
      </c>
      <c r="B3186" t="s">
        <v>6157</v>
      </c>
      <c r="F3186" t="s">
        <v>8007</v>
      </c>
      <c r="G3186" t="s">
        <v>12649</v>
      </c>
    </row>
    <row r="3187" spans="1:7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12649</v>
      </c>
    </row>
    <row r="3188" spans="1:7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12649</v>
      </c>
    </row>
    <row r="3189" spans="1:7" x14ac:dyDescent="0.25">
      <c r="A3189" t="s">
        <v>7746</v>
      </c>
      <c r="B3189" t="s">
        <v>4131</v>
      </c>
      <c r="F3189" t="s">
        <v>8013</v>
      </c>
      <c r="G3189" t="s">
        <v>12649</v>
      </c>
    </row>
    <row r="3190" spans="1:7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12649</v>
      </c>
    </row>
    <row r="3191" spans="1:7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12649</v>
      </c>
    </row>
    <row r="3192" spans="1:7" x14ac:dyDescent="0.25">
      <c r="A3192" t="s">
        <v>587</v>
      </c>
      <c r="B3192" t="s">
        <v>4396</v>
      </c>
      <c r="F3192" t="s">
        <v>8019</v>
      </c>
      <c r="G3192" t="s">
        <v>12649</v>
      </c>
    </row>
    <row r="3193" spans="1:7" x14ac:dyDescent="0.25">
      <c r="A3193" t="s">
        <v>4</v>
      </c>
      <c r="B3193" t="s">
        <v>7066</v>
      </c>
      <c r="F3193" t="s">
        <v>8021</v>
      </c>
      <c r="G3193" t="s">
        <v>12649</v>
      </c>
    </row>
    <row r="3194" spans="1:7" x14ac:dyDescent="0.25">
      <c r="A3194" t="s">
        <v>1273</v>
      </c>
      <c r="B3194" t="s">
        <v>8099</v>
      </c>
      <c r="F3194" t="s">
        <v>8023</v>
      </c>
      <c r="G3194" t="s">
        <v>12650</v>
      </c>
    </row>
    <row r="3195" spans="1:7" x14ac:dyDescent="0.25">
      <c r="A3195" t="s">
        <v>587</v>
      </c>
      <c r="B3195" t="s">
        <v>8099</v>
      </c>
      <c r="F3195" t="s">
        <v>8025</v>
      </c>
      <c r="G3195" t="s">
        <v>12650</v>
      </c>
    </row>
    <row r="3196" spans="1:7" x14ac:dyDescent="0.25">
      <c r="A3196" t="s">
        <v>137</v>
      </c>
      <c r="B3196" t="s">
        <v>8099</v>
      </c>
      <c r="F3196" t="s">
        <v>8027</v>
      </c>
      <c r="G3196" t="s">
        <v>12650</v>
      </c>
    </row>
    <row r="3197" spans="1:7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12650</v>
      </c>
    </row>
    <row r="3198" spans="1:7" x14ac:dyDescent="0.25">
      <c r="A3198" t="s">
        <v>8100</v>
      </c>
      <c r="B3198" t="s">
        <v>8099</v>
      </c>
      <c r="F3198" t="s">
        <v>8031</v>
      </c>
      <c r="G3198" t="s">
        <v>12650</v>
      </c>
    </row>
    <row r="3199" spans="1:7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12650</v>
      </c>
    </row>
    <row r="3200" spans="1:7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12650</v>
      </c>
    </row>
    <row r="3201" spans="1:7" x14ac:dyDescent="0.25">
      <c r="A3201" t="s">
        <v>137</v>
      </c>
      <c r="B3201" t="s">
        <v>3358</v>
      </c>
      <c r="F3201" t="s">
        <v>8037</v>
      </c>
      <c r="G3201" t="s">
        <v>12650</v>
      </c>
    </row>
    <row r="3202" spans="1:7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12650</v>
      </c>
    </row>
    <row r="3203" spans="1:7" x14ac:dyDescent="0.25">
      <c r="A3203" t="s">
        <v>8101</v>
      </c>
      <c r="B3203" t="s">
        <v>3358</v>
      </c>
      <c r="F3203" t="s">
        <v>8041</v>
      </c>
      <c r="G3203" t="s">
        <v>12650</v>
      </c>
    </row>
    <row r="3204" spans="1:7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12650</v>
      </c>
    </row>
    <row r="3205" spans="1:7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12650</v>
      </c>
    </row>
    <row r="3206" spans="1:7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12650</v>
      </c>
    </row>
    <row r="3207" spans="1:7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12650</v>
      </c>
    </row>
    <row r="3208" spans="1:7" x14ac:dyDescent="0.25">
      <c r="A3208" t="s">
        <v>4</v>
      </c>
      <c r="B3208" t="s">
        <v>8</v>
      </c>
      <c r="F3208" t="s">
        <v>8051</v>
      </c>
      <c r="G3208" t="s">
        <v>12651</v>
      </c>
    </row>
    <row r="3209" spans="1:7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12651</v>
      </c>
    </row>
    <row r="3210" spans="1:7" x14ac:dyDescent="0.25">
      <c r="A3210" t="s">
        <v>588</v>
      </c>
      <c r="B3210" t="s">
        <v>4396</v>
      </c>
      <c r="F3210" t="s">
        <v>8055</v>
      </c>
      <c r="G3210" t="s">
        <v>12651</v>
      </c>
    </row>
    <row r="3211" spans="1:7" x14ac:dyDescent="0.25">
      <c r="A3211" t="s">
        <v>588</v>
      </c>
      <c r="B3211" t="s">
        <v>4396</v>
      </c>
      <c r="F3211" t="s">
        <v>8057</v>
      </c>
      <c r="G3211" t="s">
        <v>12651</v>
      </c>
    </row>
    <row r="3212" spans="1:7" x14ac:dyDescent="0.25">
      <c r="A3212" t="s">
        <v>588</v>
      </c>
      <c r="B3212" t="s">
        <v>4396</v>
      </c>
      <c r="F3212" t="s">
        <v>8059</v>
      </c>
      <c r="G3212" t="s">
        <v>12651</v>
      </c>
    </row>
    <row r="3213" spans="1:7" x14ac:dyDescent="0.25">
      <c r="A3213" t="s">
        <v>588</v>
      </c>
      <c r="B3213" t="s">
        <v>4396</v>
      </c>
      <c r="F3213" t="s">
        <v>8061</v>
      </c>
      <c r="G3213" t="s">
        <v>12651</v>
      </c>
    </row>
    <row r="3214" spans="1:7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12647</v>
      </c>
    </row>
    <row r="3228" spans="1:7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12647</v>
      </c>
    </row>
    <row r="3229" spans="1:7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12647</v>
      </c>
    </row>
    <row r="3230" spans="1:7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x14ac:dyDescent="0.25">
      <c r="A3258" t="s">
        <v>4</v>
      </c>
      <c r="B3258" t="s">
        <v>7045</v>
      </c>
      <c r="F3258" t="s">
        <v>8126</v>
      </c>
      <c r="G3258" t="s">
        <v>11076</v>
      </c>
    </row>
    <row r="3259" spans="1:7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x14ac:dyDescent="0.25">
      <c r="A3288" t="s">
        <v>7531</v>
      </c>
      <c r="B3288" t="s">
        <v>1274</v>
      </c>
      <c r="F3288" t="s">
        <v>8301</v>
      </c>
      <c r="G3288" t="s">
        <v>12648</v>
      </c>
    </row>
    <row r="3289" spans="1:7" x14ac:dyDescent="0.25">
      <c r="A3289" t="s">
        <v>7531</v>
      </c>
      <c r="B3289" t="s">
        <v>1274</v>
      </c>
      <c r="F3289" t="s">
        <v>8303</v>
      </c>
      <c r="G3289" t="s">
        <v>12648</v>
      </c>
    </row>
    <row r="3290" spans="1:7" x14ac:dyDescent="0.25">
      <c r="A3290" t="s">
        <v>4</v>
      </c>
      <c r="B3290" t="s">
        <v>9</v>
      </c>
      <c r="F3290" t="s">
        <v>8305</v>
      </c>
      <c r="G3290" t="s">
        <v>12648</v>
      </c>
    </row>
    <row r="3291" spans="1:7" x14ac:dyDescent="0.25">
      <c r="A3291" t="s">
        <v>7531</v>
      </c>
      <c r="B3291" t="s">
        <v>1274</v>
      </c>
      <c r="F3291" t="s">
        <v>8307</v>
      </c>
      <c r="G3291" t="s">
        <v>12648</v>
      </c>
    </row>
    <row r="3292" spans="1:7" x14ac:dyDescent="0.25">
      <c r="A3292" t="s">
        <v>7531</v>
      </c>
      <c r="B3292" t="s">
        <v>1274</v>
      </c>
      <c r="F3292" t="s">
        <v>8309</v>
      </c>
      <c r="G3292" t="s">
        <v>12648</v>
      </c>
    </row>
    <row r="3293" spans="1:7" x14ac:dyDescent="0.25">
      <c r="A3293" t="s">
        <v>4</v>
      </c>
      <c r="B3293" t="s">
        <v>9</v>
      </c>
      <c r="F3293" t="s">
        <v>8311</v>
      </c>
      <c r="G3293" t="s">
        <v>12648</v>
      </c>
    </row>
    <row r="3294" spans="1:7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12649</v>
      </c>
    </row>
    <row r="3295" spans="1:7" x14ac:dyDescent="0.25">
      <c r="A3295" t="s">
        <v>4</v>
      </c>
      <c r="B3295" t="s">
        <v>6157</v>
      </c>
      <c r="F3295" t="s">
        <v>8315</v>
      </c>
      <c r="G3295" t="s">
        <v>12649</v>
      </c>
    </row>
    <row r="3296" spans="1:7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12649</v>
      </c>
    </row>
    <row r="3297" spans="1:7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12649</v>
      </c>
    </row>
    <row r="3298" spans="1:7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12649</v>
      </c>
    </row>
    <row r="3299" spans="1:7" x14ac:dyDescent="0.25">
      <c r="A3299" t="s">
        <v>8371</v>
      </c>
      <c r="B3299" t="s">
        <v>1274</v>
      </c>
      <c r="F3299" t="s">
        <v>8325</v>
      </c>
      <c r="G3299" t="s">
        <v>12650</v>
      </c>
    </row>
    <row r="3300" spans="1:7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12650</v>
      </c>
    </row>
    <row r="3301" spans="1:7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12650</v>
      </c>
    </row>
    <row r="3302" spans="1:7" x14ac:dyDescent="0.25">
      <c r="A3302" t="s">
        <v>588</v>
      </c>
      <c r="B3302" t="s">
        <v>4396</v>
      </c>
      <c r="F3302" t="s">
        <v>8337</v>
      </c>
      <c r="G3302" t="s">
        <v>12651</v>
      </c>
    </row>
    <row r="3303" spans="1:7" x14ac:dyDescent="0.25">
      <c r="A3303" t="s">
        <v>588</v>
      </c>
      <c r="B3303" t="s">
        <v>4396</v>
      </c>
      <c r="F3303" t="s">
        <v>8339</v>
      </c>
      <c r="G3303" t="s">
        <v>12651</v>
      </c>
    </row>
    <row r="3304" spans="1:7" x14ac:dyDescent="0.25">
      <c r="A3304" t="s">
        <v>588</v>
      </c>
      <c r="B3304" t="s">
        <v>4396</v>
      </c>
      <c r="F3304" t="s">
        <v>8341</v>
      </c>
      <c r="G3304" t="s">
        <v>12651</v>
      </c>
    </row>
    <row r="3305" spans="1:7" x14ac:dyDescent="0.25">
      <c r="A3305" t="s">
        <v>588</v>
      </c>
      <c r="B3305" t="s">
        <v>4396</v>
      </c>
      <c r="F3305" t="s">
        <v>8343</v>
      </c>
      <c r="G3305" t="s">
        <v>12651</v>
      </c>
    </row>
    <row r="3306" spans="1:7" x14ac:dyDescent="0.25">
      <c r="A3306" t="s">
        <v>588</v>
      </c>
      <c r="B3306" t="s">
        <v>4396</v>
      </c>
      <c r="F3306" t="s">
        <v>8345</v>
      </c>
      <c r="G3306" t="s">
        <v>12651</v>
      </c>
    </row>
    <row r="3307" spans="1:7" x14ac:dyDescent="0.25">
      <c r="A3307" t="s">
        <v>588</v>
      </c>
      <c r="B3307" t="s">
        <v>4396</v>
      </c>
      <c r="F3307" t="s">
        <v>8347</v>
      </c>
      <c r="G3307" t="s">
        <v>12651</v>
      </c>
    </row>
    <row r="3308" spans="1:7" x14ac:dyDescent="0.25">
      <c r="A3308" t="s">
        <v>588</v>
      </c>
      <c r="B3308" t="s">
        <v>4396</v>
      </c>
      <c r="F3308" t="s">
        <v>8349</v>
      </c>
      <c r="G3308" t="s">
        <v>12651</v>
      </c>
    </row>
    <row r="3309" spans="1:7" x14ac:dyDescent="0.25">
      <c r="A3309" t="s">
        <v>588</v>
      </c>
      <c r="B3309" t="s">
        <v>4396</v>
      </c>
      <c r="F3309" t="s">
        <v>8351</v>
      </c>
      <c r="G3309" t="s">
        <v>12651</v>
      </c>
    </row>
    <row r="3310" spans="1:7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x14ac:dyDescent="0.25">
      <c r="A3316" t="s">
        <v>1607</v>
      </c>
      <c r="F3316" t="s">
        <v>8379</v>
      </c>
      <c r="G3316" t="s">
        <v>91</v>
      </c>
    </row>
    <row r="3317" spans="1:7" x14ac:dyDescent="0.25">
      <c r="A3317" t="s">
        <v>1607</v>
      </c>
      <c r="F3317" t="s">
        <v>8381</v>
      </c>
      <c r="G3317" t="s">
        <v>91</v>
      </c>
    </row>
    <row r="3318" spans="1:7" x14ac:dyDescent="0.25">
      <c r="A3318" t="s">
        <v>1607</v>
      </c>
      <c r="B3318" t="s">
        <v>8</v>
      </c>
      <c r="F3318" t="s">
        <v>8375</v>
      </c>
      <c r="G3318" t="s">
        <v>12647</v>
      </c>
    </row>
    <row r="3319" spans="1:7" x14ac:dyDescent="0.25">
      <c r="A3319" t="s">
        <v>1607</v>
      </c>
      <c r="B3319" t="s">
        <v>8</v>
      </c>
      <c r="F3319" t="s">
        <v>8377</v>
      </c>
      <c r="G3319" t="s">
        <v>12647</v>
      </c>
    </row>
    <row r="3320" spans="1:7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x14ac:dyDescent="0.25">
      <c r="A3328" t="s">
        <v>7531</v>
      </c>
      <c r="B3328" t="s">
        <v>1274</v>
      </c>
      <c r="F3328" t="s">
        <v>8383</v>
      </c>
      <c r="G3328" t="s">
        <v>12648</v>
      </c>
    </row>
    <row r="3329" spans="1:7" x14ac:dyDescent="0.25">
      <c r="A3329" t="s">
        <v>7531</v>
      </c>
      <c r="B3329" t="s">
        <v>1274</v>
      </c>
      <c r="F3329" t="s">
        <v>8385</v>
      </c>
      <c r="G3329" t="s">
        <v>12648</v>
      </c>
    </row>
    <row r="3330" spans="1:7" x14ac:dyDescent="0.25">
      <c r="A3330" t="s">
        <v>4</v>
      </c>
      <c r="B3330" t="s">
        <v>9</v>
      </c>
      <c r="F3330" t="s">
        <v>8387</v>
      </c>
      <c r="G3330" t="s">
        <v>12648</v>
      </c>
    </row>
    <row r="3331" spans="1:7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12649</v>
      </c>
    </row>
    <row r="3332" spans="1:7" x14ac:dyDescent="0.25">
      <c r="A3332" t="s">
        <v>4</v>
      </c>
      <c r="B3332" t="s">
        <v>4131</v>
      </c>
      <c r="F3332" t="s">
        <v>8435</v>
      </c>
      <c r="G3332" t="s">
        <v>12649</v>
      </c>
    </row>
    <row r="3333" spans="1:7" x14ac:dyDescent="0.25">
      <c r="A3333" t="s">
        <v>4</v>
      </c>
      <c r="B3333" t="s">
        <v>8439</v>
      </c>
      <c r="F3333" t="s">
        <v>8437</v>
      </c>
      <c r="G3333" t="s">
        <v>12650</v>
      </c>
    </row>
    <row r="3334" spans="1:7" x14ac:dyDescent="0.25">
      <c r="A3334" t="s">
        <v>4</v>
      </c>
      <c r="B3334" t="s">
        <v>399</v>
      </c>
      <c r="F3334" t="s">
        <v>8391</v>
      </c>
      <c r="G3334" t="s">
        <v>12650</v>
      </c>
    </row>
    <row r="3335" spans="1:7" x14ac:dyDescent="0.25">
      <c r="A3335" t="s">
        <v>1607</v>
      </c>
      <c r="B3335" t="s">
        <v>8</v>
      </c>
      <c r="F3335" t="s">
        <v>8393</v>
      </c>
      <c r="G3335" t="s">
        <v>12651</v>
      </c>
    </row>
    <row r="3336" spans="1:7" x14ac:dyDescent="0.25">
      <c r="A3336" t="s">
        <v>1607</v>
      </c>
      <c r="B3336" t="s">
        <v>8</v>
      </c>
      <c r="F3336" t="s">
        <v>8395</v>
      </c>
      <c r="G3336" t="s">
        <v>12651</v>
      </c>
    </row>
    <row r="3337" spans="1:7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x14ac:dyDescent="0.25">
      <c r="A3341" t="s">
        <v>1607</v>
      </c>
      <c r="B3341" t="s">
        <v>8</v>
      </c>
      <c r="F3341" t="s">
        <v>8440</v>
      </c>
      <c r="G3341" t="s">
        <v>11076</v>
      </c>
    </row>
    <row r="3342" spans="1:7" x14ac:dyDescent="0.25">
      <c r="A3342" t="s">
        <v>1607</v>
      </c>
      <c r="B3342" t="s">
        <v>8</v>
      </c>
      <c r="F3342" t="s">
        <v>8409</v>
      </c>
      <c r="G3342" t="s">
        <v>11076</v>
      </c>
    </row>
    <row r="3343" spans="1:7" x14ac:dyDescent="0.25">
      <c r="A3343" t="s">
        <v>1607</v>
      </c>
      <c r="F3343" t="s">
        <v>8446</v>
      </c>
      <c r="G3343" t="s">
        <v>91</v>
      </c>
    </row>
    <row r="3344" spans="1:7" x14ac:dyDescent="0.25">
      <c r="A3344" t="s">
        <v>1607</v>
      </c>
      <c r="F3344" t="s">
        <v>8448</v>
      </c>
      <c r="G3344" t="s">
        <v>91</v>
      </c>
    </row>
    <row r="3345" spans="1:7" x14ac:dyDescent="0.25">
      <c r="A3345" t="s">
        <v>1607</v>
      </c>
      <c r="B3345" t="s">
        <v>8</v>
      </c>
      <c r="F3345" t="s">
        <v>8442</v>
      </c>
      <c r="G3345" t="s">
        <v>12647</v>
      </c>
    </row>
    <row r="3346" spans="1:7" x14ac:dyDescent="0.25">
      <c r="A3346" t="s">
        <v>1607</v>
      </c>
      <c r="B3346" t="s">
        <v>8</v>
      </c>
      <c r="F3346" t="s">
        <v>8444</v>
      </c>
      <c r="G3346" t="s">
        <v>12647</v>
      </c>
    </row>
    <row r="3347" spans="1:7" x14ac:dyDescent="0.25">
      <c r="A3347" t="s">
        <v>4</v>
      </c>
      <c r="B3347" t="s">
        <v>7045</v>
      </c>
      <c r="F3347" t="s">
        <v>8468</v>
      </c>
      <c r="G3347" t="s">
        <v>11076</v>
      </c>
    </row>
    <row r="3348" spans="1:7" x14ac:dyDescent="0.25">
      <c r="A3348" t="s">
        <v>4</v>
      </c>
      <c r="B3348" t="s">
        <v>7045</v>
      </c>
      <c r="F3348" t="s">
        <v>8470</v>
      </c>
      <c r="G3348" t="s">
        <v>11076</v>
      </c>
    </row>
    <row r="3349" spans="1:7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x14ac:dyDescent="0.25">
      <c r="A3357" t="s">
        <v>7531</v>
      </c>
      <c r="B3357" t="s">
        <v>1274</v>
      </c>
      <c r="F3357" t="s">
        <v>8472</v>
      </c>
      <c r="G3357" t="s">
        <v>12648</v>
      </c>
    </row>
    <row r="3358" spans="1:7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12648</v>
      </c>
    </row>
    <row r="3359" spans="1:7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12648</v>
      </c>
    </row>
    <row r="3360" spans="1:7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12648</v>
      </c>
    </row>
    <row r="3361" spans="1:7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12648</v>
      </c>
    </row>
    <row r="3362" spans="1:7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12648</v>
      </c>
    </row>
    <row r="3363" spans="1:7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12648</v>
      </c>
    </row>
    <row r="3364" spans="1:7" x14ac:dyDescent="0.25">
      <c r="A3364" t="s">
        <v>7562</v>
      </c>
      <c r="B3364" t="s">
        <v>468</v>
      </c>
      <c r="F3364" t="s">
        <v>8486</v>
      </c>
      <c r="G3364" t="s">
        <v>12649</v>
      </c>
    </row>
    <row r="3365" spans="1:7" x14ac:dyDescent="0.25">
      <c r="A3365" t="s">
        <v>8527</v>
      </c>
      <c r="B3365" t="s">
        <v>468</v>
      </c>
      <c r="F3365" t="s">
        <v>8488</v>
      </c>
      <c r="G3365" t="s">
        <v>12649</v>
      </c>
    </row>
    <row r="3366" spans="1:7" x14ac:dyDescent="0.25">
      <c r="A3366" t="s">
        <v>7562</v>
      </c>
      <c r="B3366" t="s">
        <v>468</v>
      </c>
      <c r="F3366" t="s">
        <v>8490</v>
      </c>
      <c r="G3366" t="s">
        <v>12649</v>
      </c>
    </row>
    <row r="3367" spans="1:7" x14ac:dyDescent="0.25">
      <c r="A3367" t="s">
        <v>8527</v>
      </c>
      <c r="B3367" t="s">
        <v>468</v>
      </c>
      <c r="F3367" t="s">
        <v>8492</v>
      </c>
      <c r="G3367" t="s">
        <v>12649</v>
      </c>
    </row>
    <row r="3368" spans="1:7" x14ac:dyDescent="0.25">
      <c r="A3368" t="s">
        <v>4</v>
      </c>
      <c r="B3368" t="s">
        <v>6157</v>
      </c>
      <c r="F3368" t="s">
        <v>8494</v>
      </c>
      <c r="G3368" t="s">
        <v>12649</v>
      </c>
    </row>
    <row r="3369" spans="1:7" x14ac:dyDescent="0.25">
      <c r="A3369" t="s">
        <v>4</v>
      </c>
      <c r="B3369" t="s">
        <v>8528</v>
      </c>
      <c r="F3369" t="s">
        <v>8496</v>
      </c>
      <c r="G3369" t="s">
        <v>12650</v>
      </c>
    </row>
    <row r="3370" spans="1:7" x14ac:dyDescent="0.25">
      <c r="A3370" t="s">
        <v>4</v>
      </c>
      <c r="B3370" t="s">
        <v>8528</v>
      </c>
      <c r="F3370" t="s">
        <v>8498</v>
      </c>
      <c r="G3370" t="s">
        <v>12650</v>
      </c>
    </row>
    <row r="3371" spans="1:7" x14ac:dyDescent="0.25">
      <c r="A3371" t="s">
        <v>4</v>
      </c>
      <c r="B3371" t="s">
        <v>8528</v>
      </c>
      <c r="F3371" t="s">
        <v>8500</v>
      </c>
      <c r="G3371" t="s">
        <v>12650</v>
      </c>
    </row>
    <row r="3372" spans="1:7" x14ac:dyDescent="0.25">
      <c r="A3372" t="s">
        <v>4</v>
      </c>
      <c r="B3372" t="s">
        <v>8439</v>
      </c>
      <c r="F3372" t="s">
        <v>8502</v>
      </c>
      <c r="G3372" t="s">
        <v>12650</v>
      </c>
    </row>
    <row r="3373" spans="1:7" x14ac:dyDescent="0.25">
      <c r="A3373" t="s">
        <v>8529</v>
      </c>
      <c r="B3373" t="s">
        <v>468</v>
      </c>
      <c r="F3373" t="s">
        <v>8504</v>
      </c>
      <c r="G3373" t="s">
        <v>12651</v>
      </c>
    </row>
    <row r="3374" spans="1:7" x14ac:dyDescent="0.25">
      <c r="A3374" t="s">
        <v>8530</v>
      </c>
      <c r="B3374" t="s">
        <v>468</v>
      </c>
      <c r="F3374" t="s">
        <v>8506</v>
      </c>
      <c r="G3374" t="s">
        <v>12651</v>
      </c>
    </row>
    <row r="3375" spans="1:7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x14ac:dyDescent="0.25">
      <c r="A3379" t="s">
        <v>1607</v>
      </c>
      <c r="F3379" t="s">
        <v>8587</v>
      </c>
      <c r="G3379" t="s">
        <v>91</v>
      </c>
    </row>
    <row r="3380" spans="1:7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12647</v>
      </c>
    </row>
    <row r="3382" spans="1:7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12647</v>
      </c>
    </row>
    <row r="3383" spans="1:7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12647</v>
      </c>
    </row>
    <row r="3384" spans="1:7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12647</v>
      </c>
    </row>
    <row r="3385" spans="1:7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12647</v>
      </c>
    </row>
    <row r="3386" spans="1:7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12647</v>
      </c>
    </row>
    <row r="3387" spans="1:7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12647</v>
      </c>
    </row>
    <row r="3388" spans="1:7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12647</v>
      </c>
    </row>
    <row r="3389" spans="1:7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12647</v>
      </c>
    </row>
    <row r="3390" spans="1:7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12647</v>
      </c>
    </row>
    <row r="3391" spans="1:7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12647</v>
      </c>
    </row>
    <row r="3392" spans="1:7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12647</v>
      </c>
    </row>
    <row r="3393" spans="1:7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12647</v>
      </c>
    </row>
    <row r="3394" spans="1:7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12647</v>
      </c>
    </row>
    <row r="3395" spans="1:7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12647</v>
      </c>
    </row>
    <row r="3396" spans="1:7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12647</v>
      </c>
    </row>
    <row r="3397" spans="1:7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12647</v>
      </c>
    </row>
    <row r="3398" spans="1:7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12647</v>
      </c>
    </row>
    <row r="3399" spans="1:7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12647</v>
      </c>
    </row>
    <row r="3400" spans="1:7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12647</v>
      </c>
    </row>
    <row r="3401" spans="1:7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12647</v>
      </c>
    </row>
    <row r="3402" spans="1:7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12647</v>
      </c>
    </row>
    <row r="3403" spans="1:7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12647</v>
      </c>
    </row>
    <row r="3404" spans="1:7" x14ac:dyDescent="0.25">
      <c r="A3404" t="s">
        <v>4</v>
      </c>
      <c r="B3404" t="s">
        <v>7045</v>
      </c>
      <c r="F3404" t="s">
        <v>8606</v>
      </c>
      <c r="G3404" t="s">
        <v>11076</v>
      </c>
    </row>
    <row r="3405" spans="1:7" x14ac:dyDescent="0.25">
      <c r="A3405" t="s">
        <v>4</v>
      </c>
      <c r="B3405" t="s">
        <v>7045</v>
      </c>
      <c r="F3405" t="s">
        <v>8608</v>
      </c>
      <c r="G3405" t="s">
        <v>11076</v>
      </c>
    </row>
    <row r="3406" spans="1:7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x14ac:dyDescent="0.25">
      <c r="A3417" t="s">
        <v>8718</v>
      </c>
      <c r="B3417" t="s">
        <v>687</v>
      </c>
      <c r="F3417" t="s">
        <v>8610</v>
      </c>
      <c r="G3417" t="s">
        <v>12648</v>
      </c>
    </row>
    <row r="3418" spans="1:7" x14ac:dyDescent="0.25">
      <c r="A3418" t="s">
        <v>8718</v>
      </c>
      <c r="B3418" t="s">
        <v>687</v>
      </c>
      <c r="F3418" t="s">
        <v>8612</v>
      </c>
      <c r="G3418" t="s">
        <v>12648</v>
      </c>
    </row>
    <row r="3419" spans="1:7" x14ac:dyDescent="0.25">
      <c r="A3419" t="s">
        <v>1627</v>
      </c>
      <c r="B3419" t="s">
        <v>687</v>
      </c>
      <c r="F3419" t="s">
        <v>8614</v>
      </c>
      <c r="G3419" t="s">
        <v>12648</v>
      </c>
    </row>
    <row r="3420" spans="1:7" x14ac:dyDescent="0.25">
      <c r="A3420" t="s">
        <v>8718</v>
      </c>
      <c r="B3420" t="s">
        <v>687</v>
      </c>
      <c r="F3420" t="s">
        <v>8616</v>
      </c>
      <c r="G3420" t="s">
        <v>12648</v>
      </c>
    </row>
    <row r="3421" spans="1:7" x14ac:dyDescent="0.25">
      <c r="A3421" t="s">
        <v>1627</v>
      </c>
      <c r="B3421" t="s">
        <v>687</v>
      </c>
      <c r="F3421" t="s">
        <v>8618</v>
      </c>
      <c r="G3421" t="s">
        <v>12648</v>
      </c>
    </row>
    <row r="3422" spans="1:7" x14ac:dyDescent="0.25">
      <c r="A3422" t="s">
        <v>1627</v>
      </c>
      <c r="B3422" t="s">
        <v>687</v>
      </c>
      <c r="F3422" t="s">
        <v>8620</v>
      </c>
      <c r="G3422" t="s">
        <v>12648</v>
      </c>
    </row>
    <row r="3423" spans="1:7" x14ac:dyDescent="0.25">
      <c r="A3423" t="s">
        <v>1627</v>
      </c>
      <c r="B3423" t="s">
        <v>687</v>
      </c>
      <c r="F3423" t="s">
        <v>8622</v>
      </c>
      <c r="G3423" t="s">
        <v>12648</v>
      </c>
    </row>
    <row r="3424" spans="1:7" x14ac:dyDescent="0.25">
      <c r="A3424" t="s">
        <v>7531</v>
      </c>
      <c r="B3424" t="s">
        <v>1274</v>
      </c>
      <c r="F3424" t="s">
        <v>8624</v>
      </c>
      <c r="G3424" t="s">
        <v>12648</v>
      </c>
    </row>
    <row r="3425" spans="1:7" x14ac:dyDescent="0.25">
      <c r="A3425" t="s">
        <v>1627</v>
      </c>
      <c r="B3425" t="s">
        <v>687</v>
      </c>
      <c r="F3425" t="s">
        <v>8626</v>
      </c>
      <c r="G3425" t="s">
        <v>12648</v>
      </c>
    </row>
    <row r="3426" spans="1:7" x14ac:dyDescent="0.25">
      <c r="A3426" t="s">
        <v>7531</v>
      </c>
      <c r="B3426" t="s">
        <v>1274</v>
      </c>
      <c r="F3426" t="s">
        <v>8628</v>
      </c>
      <c r="G3426" t="s">
        <v>12648</v>
      </c>
    </row>
    <row r="3427" spans="1:7" x14ac:dyDescent="0.25">
      <c r="A3427" t="s">
        <v>7531</v>
      </c>
      <c r="B3427" t="s">
        <v>1274</v>
      </c>
      <c r="F3427" t="s">
        <v>8630</v>
      </c>
      <c r="G3427" t="s">
        <v>12648</v>
      </c>
    </row>
    <row r="3428" spans="1:7" x14ac:dyDescent="0.25">
      <c r="A3428" t="s">
        <v>1627</v>
      </c>
      <c r="B3428" t="s">
        <v>687</v>
      </c>
      <c r="F3428" t="s">
        <v>8632</v>
      </c>
      <c r="G3428" t="s">
        <v>12648</v>
      </c>
    </row>
    <row r="3429" spans="1:7" x14ac:dyDescent="0.25">
      <c r="A3429" t="s">
        <v>1627</v>
      </c>
      <c r="B3429" t="s">
        <v>687</v>
      </c>
      <c r="F3429" t="s">
        <v>8634</v>
      </c>
      <c r="G3429" t="s">
        <v>12648</v>
      </c>
    </row>
    <row r="3430" spans="1:7" x14ac:dyDescent="0.25">
      <c r="A3430" t="s">
        <v>7562</v>
      </c>
      <c r="B3430" t="s">
        <v>468</v>
      </c>
      <c r="F3430" t="s">
        <v>8642</v>
      </c>
      <c r="G3430" t="s">
        <v>12649</v>
      </c>
    </row>
    <row r="3431" spans="1:7" x14ac:dyDescent="0.25">
      <c r="A3431" t="s">
        <v>4</v>
      </c>
      <c r="B3431" t="s">
        <v>6157</v>
      </c>
      <c r="F3431" t="s">
        <v>8644</v>
      </c>
      <c r="G3431" t="s">
        <v>12649</v>
      </c>
    </row>
    <row r="3432" spans="1:7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12649</v>
      </c>
    </row>
    <row r="3433" spans="1:7" x14ac:dyDescent="0.25">
      <c r="A3433" t="s">
        <v>7746</v>
      </c>
      <c r="B3433" t="s">
        <v>4131</v>
      </c>
      <c r="F3433" t="s">
        <v>8648</v>
      </c>
      <c r="G3433" t="s">
        <v>12649</v>
      </c>
    </row>
    <row r="3434" spans="1:7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12649</v>
      </c>
    </row>
    <row r="3435" spans="1:7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12649</v>
      </c>
    </row>
    <row r="3436" spans="1:7" x14ac:dyDescent="0.25">
      <c r="A3436" t="s">
        <v>7354</v>
      </c>
      <c r="B3436" t="s">
        <v>4131</v>
      </c>
      <c r="F3436" t="s">
        <v>8654</v>
      </c>
      <c r="G3436" t="s">
        <v>12649</v>
      </c>
    </row>
    <row r="3437" spans="1:7" x14ac:dyDescent="0.25">
      <c r="A3437" t="s">
        <v>7562</v>
      </c>
      <c r="B3437" t="s">
        <v>468</v>
      </c>
      <c r="F3437" t="s">
        <v>8656</v>
      </c>
      <c r="G3437" t="s">
        <v>12649</v>
      </c>
    </row>
    <row r="3438" spans="1:7" x14ac:dyDescent="0.25">
      <c r="A3438" t="s">
        <v>7354</v>
      </c>
      <c r="B3438" t="s">
        <v>4131</v>
      </c>
      <c r="F3438" t="s">
        <v>8658</v>
      </c>
      <c r="G3438" t="s">
        <v>12649</v>
      </c>
    </row>
    <row r="3439" spans="1:7" x14ac:dyDescent="0.25">
      <c r="A3439" t="s">
        <v>7354</v>
      </c>
      <c r="B3439" t="s">
        <v>4131</v>
      </c>
      <c r="F3439" t="s">
        <v>8660</v>
      </c>
      <c r="G3439" t="s">
        <v>12649</v>
      </c>
    </row>
    <row r="3440" spans="1:7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12649</v>
      </c>
    </row>
    <row r="3441" spans="1:7" x14ac:dyDescent="0.25">
      <c r="A3441" t="s">
        <v>7354</v>
      </c>
      <c r="B3441" t="s">
        <v>4131</v>
      </c>
      <c r="F3441" t="s">
        <v>8664</v>
      </c>
      <c r="G3441" t="s">
        <v>12649</v>
      </c>
    </row>
    <row r="3442" spans="1:7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12650</v>
      </c>
    </row>
    <row r="3443" spans="1:7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12650</v>
      </c>
    </row>
    <row r="3444" spans="1:7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12650</v>
      </c>
    </row>
    <row r="3445" spans="1:7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12650</v>
      </c>
    </row>
    <row r="3446" spans="1:7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12650</v>
      </c>
    </row>
    <row r="3447" spans="1:7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12650</v>
      </c>
    </row>
    <row r="3448" spans="1:7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12650</v>
      </c>
    </row>
    <row r="3449" spans="1:7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12650</v>
      </c>
    </row>
    <row r="3450" spans="1:7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12650</v>
      </c>
    </row>
    <row r="3451" spans="1:7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12650</v>
      </c>
    </row>
    <row r="3452" spans="1:7" x14ac:dyDescent="0.25">
      <c r="A3452" t="s">
        <v>1607</v>
      </c>
      <c r="B3452" t="s">
        <v>8</v>
      </c>
      <c r="F3452" t="s">
        <v>8686</v>
      </c>
      <c r="G3452" t="s">
        <v>12651</v>
      </c>
    </row>
    <row r="3453" spans="1:7" x14ac:dyDescent="0.25">
      <c r="A3453" t="s">
        <v>1607</v>
      </c>
      <c r="B3453" t="s">
        <v>8</v>
      </c>
      <c r="F3453" t="s">
        <v>8688</v>
      </c>
      <c r="G3453" t="s">
        <v>12651</v>
      </c>
    </row>
    <row r="3454" spans="1:7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x14ac:dyDescent="0.25">
      <c r="A3462" t="s">
        <v>1273</v>
      </c>
      <c r="B3462" t="s">
        <v>8099</v>
      </c>
      <c r="F3462" t="s">
        <v>8720</v>
      </c>
      <c r="G3462" t="s">
        <v>12647</v>
      </c>
    </row>
    <row r="3463" spans="1:7" x14ac:dyDescent="0.25">
      <c r="A3463" t="s">
        <v>587</v>
      </c>
      <c r="B3463" t="s">
        <v>8099</v>
      </c>
      <c r="F3463" t="s">
        <v>8722</v>
      </c>
      <c r="G3463" t="s">
        <v>12647</v>
      </c>
    </row>
    <row r="3464" spans="1:7" x14ac:dyDescent="0.25">
      <c r="A3464" t="s">
        <v>4</v>
      </c>
      <c r="B3464" t="s">
        <v>7045</v>
      </c>
      <c r="F3464" t="s">
        <v>8724</v>
      </c>
      <c r="G3464" t="s">
        <v>11076</v>
      </c>
    </row>
    <row r="3465" spans="1:7" x14ac:dyDescent="0.25">
      <c r="A3465" t="s">
        <v>4</v>
      </c>
      <c r="B3465" t="s">
        <v>7045</v>
      </c>
      <c r="F3465" t="s">
        <v>8726</v>
      </c>
      <c r="G3465" t="s">
        <v>11076</v>
      </c>
    </row>
    <row r="3466" spans="1:7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x14ac:dyDescent="0.25">
      <c r="A3472" t="s">
        <v>4</v>
      </c>
      <c r="B3472" t="s">
        <v>9</v>
      </c>
      <c r="F3472" t="s">
        <v>8747</v>
      </c>
      <c r="G3472" t="s">
        <v>12648</v>
      </c>
    </row>
    <row r="3473" spans="1:7" x14ac:dyDescent="0.25">
      <c r="A3473" t="s">
        <v>7531</v>
      </c>
      <c r="B3473" t="s">
        <v>1274</v>
      </c>
      <c r="F3473" t="s">
        <v>8749</v>
      </c>
      <c r="G3473" t="s">
        <v>12648</v>
      </c>
    </row>
    <row r="3474" spans="1:7" x14ac:dyDescent="0.25">
      <c r="A3474" t="s">
        <v>8718</v>
      </c>
      <c r="B3474" t="s">
        <v>687</v>
      </c>
      <c r="F3474" t="s">
        <v>8751</v>
      </c>
      <c r="G3474" t="s">
        <v>12648</v>
      </c>
    </row>
    <row r="3475" spans="1:7" x14ac:dyDescent="0.25">
      <c r="A3475" t="s">
        <v>1627</v>
      </c>
      <c r="B3475" t="s">
        <v>687</v>
      </c>
      <c r="F3475" t="s">
        <v>8753</v>
      </c>
      <c r="G3475" t="s">
        <v>12648</v>
      </c>
    </row>
    <row r="3476" spans="1:7" x14ac:dyDescent="0.25">
      <c r="A3476" t="s">
        <v>8718</v>
      </c>
      <c r="B3476" t="s">
        <v>687</v>
      </c>
      <c r="F3476" t="s">
        <v>8755</v>
      </c>
      <c r="G3476" t="s">
        <v>12648</v>
      </c>
    </row>
    <row r="3477" spans="1:7" x14ac:dyDescent="0.25">
      <c r="A3477" t="s">
        <v>1627</v>
      </c>
      <c r="B3477" t="s">
        <v>687</v>
      </c>
      <c r="F3477" t="s">
        <v>8757</v>
      </c>
      <c r="G3477" t="s">
        <v>12648</v>
      </c>
    </row>
    <row r="3478" spans="1:7" x14ac:dyDescent="0.25">
      <c r="A3478" t="s">
        <v>8718</v>
      </c>
      <c r="B3478" t="s">
        <v>687</v>
      </c>
      <c r="F3478" t="s">
        <v>8759</v>
      </c>
      <c r="G3478" t="s">
        <v>12648</v>
      </c>
    </row>
    <row r="3479" spans="1:7" x14ac:dyDescent="0.25">
      <c r="A3479" t="s">
        <v>1627</v>
      </c>
      <c r="B3479" t="s">
        <v>687</v>
      </c>
      <c r="F3479" t="s">
        <v>8761</v>
      </c>
      <c r="G3479" t="s">
        <v>12648</v>
      </c>
    </row>
    <row r="3480" spans="1:7" x14ac:dyDescent="0.25">
      <c r="A3480" t="s">
        <v>7562</v>
      </c>
      <c r="B3480" t="s">
        <v>468</v>
      </c>
      <c r="F3480" t="s">
        <v>8763</v>
      </c>
      <c r="G3480" t="s">
        <v>12649</v>
      </c>
    </row>
    <row r="3481" spans="1:7" x14ac:dyDescent="0.25">
      <c r="A3481" t="s">
        <v>4</v>
      </c>
      <c r="B3481" t="s">
        <v>6157</v>
      </c>
      <c r="F3481" t="s">
        <v>8765</v>
      </c>
      <c r="G3481" t="s">
        <v>12649</v>
      </c>
    </row>
    <row r="3482" spans="1:7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12649</v>
      </c>
    </row>
    <row r="3483" spans="1:7" x14ac:dyDescent="0.25">
      <c r="A3483" t="s">
        <v>1273</v>
      </c>
      <c r="B3483" t="s">
        <v>70</v>
      </c>
      <c r="F3483" t="s">
        <v>8769</v>
      </c>
      <c r="G3483" t="s">
        <v>12650</v>
      </c>
    </row>
    <row r="3484" spans="1:7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12650</v>
      </c>
    </row>
    <row r="3485" spans="1:7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12650</v>
      </c>
    </row>
    <row r="3486" spans="1:7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12650</v>
      </c>
    </row>
    <row r="3487" spans="1:7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12650</v>
      </c>
    </row>
    <row r="3488" spans="1:7" x14ac:dyDescent="0.25">
      <c r="A3488" t="s">
        <v>587</v>
      </c>
      <c r="B3488" t="s">
        <v>70</v>
      </c>
      <c r="F3488" t="s">
        <v>8783</v>
      </c>
      <c r="G3488" t="s">
        <v>12650</v>
      </c>
    </row>
    <row r="3489" spans="1:7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12650</v>
      </c>
    </row>
    <row r="3490" spans="1:7" x14ac:dyDescent="0.25">
      <c r="A3490" t="s">
        <v>137</v>
      </c>
      <c r="B3490" t="s">
        <v>8099</v>
      </c>
      <c r="F3490" t="s">
        <v>8787</v>
      </c>
      <c r="G3490" t="s">
        <v>12650</v>
      </c>
    </row>
    <row r="3491" spans="1:7" x14ac:dyDescent="0.25">
      <c r="A3491" t="s">
        <v>1273</v>
      </c>
      <c r="B3491" t="s">
        <v>8099</v>
      </c>
      <c r="F3491" t="s">
        <v>8789</v>
      </c>
      <c r="G3491" t="s">
        <v>12650</v>
      </c>
    </row>
    <row r="3492" spans="1:7" x14ac:dyDescent="0.25">
      <c r="A3492" t="s">
        <v>4</v>
      </c>
      <c r="B3492" t="s">
        <v>8812</v>
      </c>
      <c r="F3492" t="s">
        <v>8791</v>
      </c>
      <c r="G3492" t="s">
        <v>12650</v>
      </c>
    </row>
    <row r="3493" spans="1:7" x14ac:dyDescent="0.25">
      <c r="A3493" t="s">
        <v>587</v>
      </c>
      <c r="B3493" t="s">
        <v>8099</v>
      </c>
      <c r="F3493" t="s">
        <v>8793</v>
      </c>
      <c r="G3493" t="s">
        <v>12650</v>
      </c>
    </row>
    <row r="3494" spans="1:7" x14ac:dyDescent="0.25">
      <c r="A3494" t="s">
        <v>1607</v>
      </c>
      <c r="B3494" t="s">
        <v>8</v>
      </c>
      <c r="F3494" t="s">
        <v>8795</v>
      </c>
      <c r="G3494" t="s">
        <v>12651</v>
      </c>
    </row>
    <row r="3495" spans="1:7" x14ac:dyDescent="0.25">
      <c r="A3495" t="s">
        <v>1607</v>
      </c>
      <c r="B3495" t="s">
        <v>8</v>
      </c>
      <c r="F3495" t="s">
        <v>8797</v>
      </c>
      <c r="G3495" t="s">
        <v>12651</v>
      </c>
    </row>
    <row r="3496" spans="1:7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x14ac:dyDescent="0.25">
      <c r="A3502" t="s">
        <v>1607</v>
      </c>
      <c r="F3502" t="s">
        <v>8820</v>
      </c>
      <c r="G3502" t="s">
        <v>91</v>
      </c>
    </row>
    <row r="3503" spans="1:7" x14ac:dyDescent="0.25">
      <c r="A3503" t="s">
        <v>1607</v>
      </c>
      <c r="B3503" t="s">
        <v>8</v>
      </c>
      <c r="F3503" t="s">
        <v>8822</v>
      </c>
      <c r="G3503" t="s">
        <v>12647</v>
      </c>
    </row>
    <row r="3504" spans="1:7" x14ac:dyDescent="0.25">
      <c r="A3504" t="s">
        <v>1607</v>
      </c>
      <c r="B3504" t="s">
        <v>8</v>
      </c>
      <c r="F3504" t="s">
        <v>8824</v>
      </c>
      <c r="G3504" t="s">
        <v>12647</v>
      </c>
    </row>
    <row r="3505" spans="1:7" x14ac:dyDescent="0.25">
      <c r="A3505" t="s">
        <v>4</v>
      </c>
      <c r="B3505" t="s">
        <v>8912</v>
      </c>
      <c r="F3505" t="s">
        <v>8854</v>
      </c>
      <c r="G3505" t="s">
        <v>11076</v>
      </c>
    </row>
    <row r="3506" spans="1:7" x14ac:dyDescent="0.25">
      <c r="A3506" t="s">
        <v>1607</v>
      </c>
      <c r="B3506" t="s">
        <v>8</v>
      </c>
      <c r="F3506" t="s">
        <v>8856</v>
      </c>
      <c r="G3506" t="s">
        <v>11076</v>
      </c>
    </row>
    <row r="3507" spans="1:7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x14ac:dyDescent="0.25">
      <c r="A3516" t="s">
        <v>7562</v>
      </c>
      <c r="B3516" t="s">
        <v>1274</v>
      </c>
      <c r="F3516" t="s">
        <v>8838</v>
      </c>
      <c r="G3516" t="s">
        <v>12648</v>
      </c>
    </row>
    <row r="3517" spans="1:7" x14ac:dyDescent="0.25">
      <c r="A3517" t="s">
        <v>1627</v>
      </c>
      <c r="B3517" t="s">
        <v>687</v>
      </c>
      <c r="F3517" t="s">
        <v>8840</v>
      </c>
      <c r="G3517" t="s">
        <v>12648</v>
      </c>
    </row>
    <row r="3518" spans="1:7" x14ac:dyDescent="0.25">
      <c r="A3518" t="s">
        <v>8921</v>
      </c>
      <c r="B3518" t="s">
        <v>8922</v>
      </c>
      <c r="F3518" t="s">
        <v>8842</v>
      </c>
      <c r="G3518" t="s">
        <v>12649</v>
      </c>
    </row>
    <row r="3519" spans="1:7" x14ac:dyDescent="0.25">
      <c r="A3519" t="s">
        <v>7746</v>
      </c>
      <c r="B3519" t="s">
        <v>1274</v>
      </c>
      <c r="F3519" t="s">
        <v>8844</v>
      </c>
      <c r="G3519" t="s">
        <v>12649</v>
      </c>
    </row>
    <row r="3520" spans="1:7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12650</v>
      </c>
    </row>
    <row r="3521" spans="1:7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12650</v>
      </c>
    </row>
    <row r="3522" spans="1:7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12650</v>
      </c>
    </row>
    <row r="3523" spans="1:7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12650</v>
      </c>
    </row>
    <row r="3524" spans="1:7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12650</v>
      </c>
    </row>
    <row r="3525" spans="1:7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12650</v>
      </c>
    </row>
    <row r="3526" spans="1:7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12650</v>
      </c>
    </row>
    <row r="3527" spans="1:7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12650</v>
      </c>
    </row>
    <row r="3528" spans="1:7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12650</v>
      </c>
    </row>
    <row r="3529" spans="1:7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12650</v>
      </c>
    </row>
    <row r="3530" spans="1:7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12650</v>
      </c>
    </row>
    <row r="3531" spans="1:7" x14ac:dyDescent="0.25">
      <c r="A3531" t="s">
        <v>587</v>
      </c>
      <c r="B3531" t="s">
        <v>8912</v>
      </c>
      <c r="F3531" t="s">
        <v>8900</v>
      </c>
      <c r="G3531" t="s">
        <v>12650</v>
      </c>
    </row>
    <row r="3532" spans="1:7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12650</v>
      </c>
    </row>
    <row r="3533" spans="1:7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12650</v>
      </c>
    </row>
    <row r="3534" spans="1:7" x14ac:dyDescent="0.25">
      <c r="A3534" t="s">
        <v>1607</v>
      </c>
      <c r="B3534" t="s">
        <v>8</v>
      </c>
      <c r="F3534" t="s">
        <v>8846</v>
      </c>
      <c r="G3534" t="s">
        <v>12651</v>
      </c>
    </row>
    <row r="3535" spans="1:7" x14ac:dyDescent="0.25">
      <c r="A3535" t="s">
        <v>8925</v>
      </c>
      <c r="F3535" t="s">
        <v>8923</v>
      </c>
      <c r="G3535" t="s">
        <v>12651</v>
      </c>
    </row>
    <row r="3536" spans="1:7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x14ac:dyDescent="0.25">
      <c r="A3538" t="s">
        <v>1617</v>
      </c>
      <c r="F3538" t="s">
        <v>8848</v>
      </c>
      <c r="G3538" t="s">
        <v>1600</v>
      </c>
    </row>
    <row r="3539" spans="1:7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x14ac:dyDescent="0.25">
      <c r="A3540" t="s">
        <v>1607</v>
      </c>
      <c r="F3540" t="s">
        <v>8930</v>
      </c>
      <c r="G3540" t="s">
        <v>91</v>
      </c>
    </row>
    <row r="3541" spans="1:7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x14ac:dyDescent="0.25">
      <c r="A3545" t="s">
        <v>1607</v>
      </c>
      <c r="B3545" t="s">
        <v>8</v>
      </c>
      <c r="F3545" t="s">
        <v>8926</v>
      </c>
      <c r="G3545" t="s">
        <v>12647</v>
      </c>
    </row>
    <row r="3546" spans="1:7" x14ac:dyDescent="0.25">
      <c r="A3546" t="s">
        <v>4</v>
      </c>
      <c r="B3546" t="s">
        <v>8099</v>
      </c>
      <c r="F3546" t="s">
        <v>8928</v>
      </c>
      <c r="G3546" t="s">
        <v>12647</v>
      </c>
    </row>
    <row r="3547" spans="1:7" x14ac:dyDescent="0.25">
      <c r="A3547" t="s">
        <v>4</v>
      </c>
      <c r="B3547" t="s">
        <v>7045</v>
      </c>
      <c r="F3547" t="s">
        <v>8952</v>
      </c>
      <c r="G3547" t="s">
        <v>11076</v>
      </c>
    </row>
    <row r="3548" spans="1:7" x14ac:dyDescent="0.25">
      <c r="A3548" t="s">
        <v>4</v>
      </c>
      <c r="B3548" t="s">
        <v>7045</v>
      </c>
      <c r="F3548" t="s">
        <v>8954</v>
      </c>
      <c r="G3548" t="s">
        <v>11076</v>
      </c>
    </row>
    <row r="3549" spans="1:7" x14ac:dyDescent="0.25">
      <c r="A3549" t="s">
        <v>4</v>
      </c>
      <c r="B3549" t="s">
        <v>7045</v>
      </c>
      <c r="F3549" t="s">
        <v>8956</v>
      </c>
      <c r="G3549" t="s">
        <v>11076</v>
      </c>
    </row>
    <row r="3550" spans="1:7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x14ac:dyDescent="0.25">
      <c r="A3559" t="s">
        <v>1627</v>
      </c>
      <c r="B3559" t="s">
        <v>687</v>
      </c>
      <c r="F3559" t="s">
        <v>8976</v>
      </c>
      <c r="G3559" t="s">
        <v>12648</v>
      </c>
    </row>
    <row r="3560" spans="1:7" x14ac:dyDescent="0.25">
      <c r="A3560" t="s">
        <v>7531</v>
      </c>
      <c r="B3560" t="s">
        <v>1274</v>
      </c>
      <c r="F3560" t="s">
        <v>8978</v>
      </c>
      <c r="G3560" t="s">
        <v>12648</v>
      </c>
    </row>
    <row r="3561" spans="1:7" x14ac:dyDescent="0.25">
      <c r="A3561" t="s">
        <v>7531</v>
      </c>
      <c r="B3561" t="s">
        <v>1274</v>
      </c>
      <c r="F3561" t="s">
        <v>8980</v>
      </c>
      <c r="G3561" t="s">
        <v>12648</v>
      </c>
    </row>
    <row r="3562" spans="1:7" x14ac:dyDescent="0.25">
      <c r="A3562" t="s">
        <v>7531</v>
      </c>
      <c r="B3562" t="s">
        <v>1274</v>
      </c>
      <c r="F3562" t="s">
        <v>8982</v>
      </c>
      <c r="G3562" t="s">
        <v>12648</v>
      </c>
    </row>
    <row r="3563" spans="1:7" x14ac:dyDescent="0.25">
      <c r="A3563" t="s">
        <v>4</v>
      </c>
      <c r="B3563" t="s">
        <v>9</v>
      </c>
      <c r="F3563" t="s">
        <v>8984</v>
      </c>
      <c r="G3563" t="s">
        <v>12648</v>
      </c>
    </row>
    <row r="3564" spans="1:7" x14ac:dyDescent="0.25">
      <c r="A3564" t="s">
        <v>7531</v>
      </c>
      <c r="B3564" t="s">
        <v>1274</v>
      </c>
      <c r="F3564" t="s">
        <v>8986</v>
      </c>
      <c r="G3564" t="s">
        <v>12648</v>
      </c>
    </row>
    <row r="3565" spans="1:7" x14ac:dyDescent="0.25">
      <c r="A3565" t="s">
        <v>1627</v>
      </c>
      <c r="B3565" t="s">
        <v>687</v>
      </c>
      <c r="F3565" t="s">
        <v>8988</v>
      </c>
      <c r="G3565" t="s">
        <v>12648</v>
      </c>
    </row>
    <row r="3566" spans="1:7" x14ac:dyDescent="0.25">
      <c r="A3566" t="s">
        <v>7531</v>
      </c>
      <c r="B3566" t="s">
        <v>1274</v>
      </c>
      <c r="F3566" t="s">
        <v>8990</v>
      </c>
      <c r="G3566" t="s">
        <v>12648</v>
      </c>
    </row>
    <row r="3567" spans="1:7" x14ac:dyDescent="0.25">
      <c r="A3567" t="s">
        <v>1627</v>
      </c>
      <c r="B3567" t="s">
        <v>687</v>
      </c>
      <c r="F3567" t="s">
        <v>8992</v>
      </c>
      <c r="G3567" t="s">
        <v>12648</v>
      </c>
    </row>
    <row r="3568" spans="1:7" x14ac:dyDescent="0.25">
      <c r="A3568" t="s">
        <v>4</v>
      </c>
      <c r="B3568" t="s">
        <v>9</v>
      </c>
      <c r="F3568" t="s">
        <v>8994</v>
      </c>
      <c r="G3568" t="s">
        <v>12649</v>
      </c>
    </row>
    <row r="3569" spans="1:7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12649</v>
      </c>
    </row>
    <row r="3570" spans="1:7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12649</v>
      </c>
    </row>
    <row r="3571" spans="1:7" x14ac:dyDescent="0.25">
      <c r="A3571" t="s">
        <v>7354</v>
      </c>
      <c r="B3571" t="s">
        <v>7355</v>
      </c>
      <c r="F3571" t="s">
        <v>9000</v>
      </c>
      <c r="G3571" t="s">
        <v>12649</v>
      </c>
    </row>
    <row r="3572" spans="1:7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12649</v>
      </c>
    </row>
    <row r="3573" spans="1:7" x14ac:dyDescent="0.25">
      <c r="A3573" t="s">
        <v>7354</v>
      </c>
      <c r="B3573" t="s">
        <v>7355</v>
      </c>
      <c r="F3573" t="s">
        <v>9004</v>
      </c>
      <c r="G3573" t="s">
        <v>12649</v>
      </c>
    </row>
    <row r="3574" spans="1:7" x14ac:dyDescent="0.25">
      <c r="A3574" t="s">
        <v>7354</v>
      </c>
      <c r="B3574" t="s">
        <v>7355</v>
      </c>
      <c r="F3574" t="s">
        <v>9006</v>
      </c>
      <c r="G3574" t="s">
        <v>12649</v>
      </c>
    </row>
    <row r="3575" spans="1:7" x14ac:dyDescent="0.25">
      <c r="A3575" t="s">
        <v>7746</v>
      </c>
      <c r="B3575" t="s">
        <v>1274</v>
      </c>
      <c r="F3575" t="s">
        <v>9008</v>
      </c>
      <c r="G3575" t="s">
        <v>12649</v>
      </c>
    </row>
    <row r="3576" spans="1:7" x14ac:dyDescent="0.25">
      <c r="A3576" t="s">
        <v>4</v>
      </c>
      <c r="B3576" t="s">
        <v>6157</v>
      </c>
      <c r="F3576" t="s">
        <v>9010</v>
      </c>
      <c r="G3576" t="s">
        <v>12649</v>
      </c>
    </row>
    <row r="3577" spans="1:7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12650</v>
      </c>
    </row>
    <row r="3578" spans="1:7" x14ac:dyDescent="0.25">
      <c r="A3578" t="s">
        <v>9137</v>
      </c>
      <c r="B3578" t="s">
        <v>86</v>
      </c>
      <c r="F3578" t="s">
        <v>9014</v>
      </c>
      <c r="G3578" t="s">
        <v>12650</v>
      </c>
    </row>
    <row r="3579" spans="1:7" x14ac:dyDescent="0.25">
      <c r="A3579" t="s">
        <v>9138</v>
      </c>
      <c r="B3579" t="s">
        <v>86</v>
      </c>
      <c r="F3579" t="s">
        <v>9016</v>
      </c>
      <c r="G3579" t="s">
        <v>12650</v>
      </c>
    </row>
    <row r="3580" spans="1:7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12650</v>
      </c>
    </row>
    <row r="3581" spans="1:7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12650</v>
      </c>
    </row>
    <row r="3582" spans="1:7" x14ac:dyDescent="0.25">
      <c r="A3582" t="s">
        <v>1273</v>
      </c>
      <c r="B3582" t="s">
        <v>8099</v>
      </c>
      <c r="F3582" t="s">
        <v>9022</v>
      </c>
      <c r="G3582" t="s">
        <v>12650</v>
      </c>
    </row>
    <row r="3583" spans="1:7" x14ac:dyDescent="0.25">
      <c r="A3583" t="s">
        <v>9139</v>
      </c>
      <c r="B3583" t="s">
        <v>8099</v>
      </c>
      <c r="F3583" t="s">
        <v>9024</v>
      </c>
      <c r="G3583" t="s">
        <v>12650</v>
      </c>
    </row>
    <row r="3584" spans="1:7" x14ac:dyDescent="0.25">
      <c r="A3584" t="s">
        <v>9140</v>
      </c>
      <c r="B3584" t="s">
        <v>86</v>
      </c>
      <c r="F3584" t="s">
        <v>9026</v>
      </c>
      <c r="G3584" t="s">
        <v>12650</v>
      </c>
    </row>
    <row r="3585" spans="1:7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12650</v>
      </c>
    </row>
    <row r="3586" spans="1:7" x14ac:dyDescent="0.25">
      <c r="A3586" t="s">
        <v>587</v>
      </c>
      <c r="B3586" t="s">
        <v>8099</v>
      </c>
      <c r="F3586" t="s">
        <v>9030</v>
      </c>
      <c r="G3586" t="s">
        <v>12650</v>
      </c>
    </row>
    <row r="3587" spans="1:7" x14ac:dyDescent="0.25">
      <c r="A3587" t="s">
        <v>1607</v>
      </c>
      <c r="B3587" t="s">
        <v>8</v>
      </c>
      <c r="F3587" t="s">
        <v>9032</v>
      </c>
      <c r="G3587" t="s">
        <v>12651</v>
      </c>
    </row>
    <row r="3588" spans="1:7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12651</v>
      </c>
    </row>
    <row r="3589" spans="1:7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12651</v>
      </c>
    </row>
    <row r="3590" spans="1:7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12651</v>
      </c>
    </row>
    <row r="3591" spans="1:7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12651</v>
      </c>
    </row>
    <row r="3592" spans="1:7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12651</v>
      </c>
    </row>
    <row r="3593" spans="1:7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12651</v>
      </c>
    </row>
    <row r="3594" spans="1:7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12651</v>
      </c>
    </row>
    <row r="3595" spans="1:7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12651</v>
      </c>
    </row>
    <row r="3596" spans="1:7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12651</v>
      </c>
    </row>
    <row r="3597" spans="1:7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12651</v>
      </c>
    </row>
    <row r="3598" spans="1:7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12651</v>
      </c>
    </row>
    <row r="3599" spans="1:7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12651</v>
      </c>
    </row>
    <row r="3600" spans="1:7" x14ac:dyDescent="0.25">
      <c r="A3600" t="s">
        <v>9139</v>
      </c>
      <c r="B3600" t="s">
        <v>9129</v>
      </c>
      <c r="F3600" t="s">
        <v>9058</v>
      </c>
      <c r="G3600" t="s">
        <v>12651</v>
      </c>
    </row>
    <row r="3601" spans="1:7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12651</v>
      </c>
    </row>
    <row r="3602" spans="1:7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12651</v>
      </c>
    </row>
    <row r="3603" spans="1:7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12651</v>
      </c>
    </row>
    <row r="3604" spans="1:7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12651</v>
      </c>
    </row>
    <row r="3605" spans="1:7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12651</v>
      </c>
    </row>
    <row r="3606" spans="1:7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12651</v>
      </c>
    </row>
    <row r="3607" spans="1:7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12651</v>
      </c>
    </row>
    <row r="3608" spans="1:7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12651</v>
      </c>
    </row>
    <row r="3609" spans="1:7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12651</v>
      </c>
    </row>
    <row r="3610" spans="1:7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12651</v>
      </c>
    </row>
    <row r="3611" spans="1:7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12651</v>
      </c>
    </row>
    <row r="3612" spans="1:7" x14ac:dyDescent="0.25">
      <c r="A3612" t="s">
        <v>4099</v>
      </c>
      <c r="B3612" t="s">
        <v>9129</v>
      </c>
      <c r="F3612" t="s">
        <v>9082</v>
      </c>
      <c r="G3612" t="s">
        <v>12651</v>
      </c>
    </row>
    <row r="3613" spans="1:7" x14ac:dyDescent="0.25">
      <c r="A3613" t="s">
        <v>588</v>
      </c>
      <c r="B3613" t="s">
        <v>4396</v>
      </c>
      <c r="F3613" t="s">
        <v>9084</v>
      </c>
      <c r="G3613" t="s">
        <v>12651</v>
      </c>
    </row>
    <row r="3614" spans="1:7" x14ac:dyDescent="0.25">
      <c r="A3614" t="s">
        <v>588</v>
      </c>
      <c r="B3614" t="s">
        <v>4396</v>
      </c>
      <c r="F3614" t="s">
        <v>9086</v>
      </c>
      <c r="G3614" t="s">
        <v>12651</v>
      </c>
    </row>
    <row r="3615" spans="1:7" x14ac:dyDescent="0.25">
      <c r="A3615" t="s">
        <v>588</v>
      </c>
      <c r="B3615" t="s">
        <v>4396</v>
      </c>
      <c r="F3615" t="s">
        <v>9088</v>
      </c>
      <c r="G3615" t="s">
        <v>12651</v>
      </c>
    </row>
    <row r="3616" spans="1:7" x14ac:dyDescent="0.25">
      <c r="A3616" t="s">
        <v>588</v>
      </c>
      <c r="B3616" t="s">
        <v>4396</v>
      </c>
      <c r="F3616" t="s">
        <v>9090</v>
      </c>
      <c r="G3616" t="s">
        <v>12651</v>
      </c>
    </row>
    <row r="3617" spans="1:7" x14ac:dyDescent="0.25">
      <c r="A3617" t="s">
        <v>588</v>
      </c>
      <c r="B3617" t="s">
        <v>4396</v>
      </c>
      <c r="F3617" t="s">
        <v>9092</v>
      </c>
      <c r="G3617" t="s">
        <v>12651</v>
      </c>
    </row>
    <row r="3618" spans="1:7" x14ac:dyDescent="0.25">
      <c r="A3618" t="s">
        <v>4</v>
      </c>
      <c r="B3618" t="s">
        <v>8</v>
      </c>
      <c r="F3618" t="s">
        <v>9094</v>
      </c>
      <c r="G3618" t="s">
        <v>12651</v>
      </c>
    </row>
    <row r="3619" spans="1:7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x14ac:dyDescent="0.25">
      <c r="A3628" t="s">
        <v>9142</v>
      </c>
      <c r="F3628" t="s">
        <v>9123</v>
      </c>
      <c r="G3628" t="s">
        <v>1600</v>
      </c>
    </row>
    <row r="3629" spans="1:7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x14ac:dyDescent="0.25">
      <c r="A3633" t="s">
        <v>1607</v>
      </c>
      <c r="F3633" t="s">
        <v>9158</v>
      </c>
      <c r="G3633" t="s">
        <v>91</v>
      </c>
    </row>
    <row r="3634" spans="1:7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x14ac:dyDescent="0.25">
      <c r="A3640" t="s">
        <v>1607</v>
      </c>
      <c r="F3640" t="s">
        <v>9172</v>
      </c>
      <c r="G3640" t="s">
        <v>91</v>
      </c>
    </row>
    <row r="3641" spans="1:7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12647</v>
      </c>
    </row>
    <row r="3642" spans="1:7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12647</v>
      </c>
    </row>
    <row r="3643" spans="1:7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12647</v>
      </c>
    </row>
    <row r="3644" spans="1:7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12647</v>
      </c>
    </row>
    <row r="3645" spans="1:7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12647</v>
      </c>
    </row>
    <row r="3646" spans="1:7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12647</v>
      </c>
    </row>
    <row r="3647" spans="1:7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12647</v>
      </c>
    </row>
    <row r="3648" spans="1:7" x14ac:dyDescent="0.25">
      <c r="A3648" t="s">
        <v>4</v>
      </c>
      <c r="B3648" t="s">
        <v>7045</v>
      </c>
      <c r="F3648" t="s">
        <v>9254</v>
      </c>
      <c r="G3648" t="s">
        <v>11076</v>
      </c>
    </row>
    <row r="3649" spans="1:7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11076</v>
      </c>
    </row>
    <row r="3650" spans="1:7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11076</v>
      </c>
    </row>
    <row r="3651" spans="1:7" x14ac:dyDescent="0.25">
      <c r="A3651" t="s">
        <v>1273</v>
      </c>
      <c r="B3651" t="s">
        <v>70</v>
      </c>
      <c r="F3651" t="s">
        <v>9261</v>
      </c>
      <c r="G3651" t="s">
        <v>11076</v>
      </c>
    </row>
    <row r="3652" spans="1:7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11076</v>
      </c>
    </row>
    <row r="3653" spans="1:7" x14ac:dyDescent="0.25">
      <c r="A3653" t="s">
        <v>587</v>
      </c>
      <c r="B3653" t="s">
        <v>70</v>
      </c>
      <c r="F3653" t="s">
        <v>9265</v>
      </c>
      <c r="G3653" t="s">
        <v>11076</v>
      </c>
    </row>
    <row r="3654" spans="1:7" x14ac:dyDescent="0.25">
      <c r="A3654" t="s">
        <v>1273</v>
      </c>
      <c r="B3654" t="s">
        <v>66</v>
      </c>
      <c r="F3654" t="s">
        <v>9267</v>
      </c>
      <c r="G3654" t="s">
        <v>11076</v>
      </c>
    </row>
    <row r="3655" spans="1:7" x14ac:dyDescent="0.25">
      <c r="A3655" t="s">
        <v>4921</v>
      </c>
      <c r="B3655" t="s">
        <v>66</v>
      </c>
      <c r="F3655" t="s">
        <v>9269</v>
      </c>
      <c r="G3655" t="s">
        <v>11076</v>
      </c>
    </row>
    <row r="3656" spans="1:7" x14ac:dyDescent="0.25">
      <c r="A3656" t="s">
        <v>587</v>
      </c>
      <c r="B3656" t="s">
        <v>66</v>
      </c>
      <c r="F3656" t="s">
        <v>9271</v>
      </c>
      <c r="G3656" t="s">
        <v>11076</v>
      </c>
    </row>
    <row r="3657" spans="1:7" x14ac:dyDescent="0.25">
      <c r="A3657" t="s">
        <v>4</v>
      </c>
      <c r="B3657" t="s">
        <v>7045</v>
      </c>
      <c r="F3657" t="s">
        <v>9273</v>
      </c>
      <c r="G3657" t="s">
        <v>11076</v>
      </c>
    </row>
    <row r="3658" spans="1:7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x14ac:dyDescent="0.25">
      <c r="A3670" t="s">
        <v>7531</v>
      </c>
      <c r="B3670" t="s">
        <v>1274</v>
      </c>
      <c r="F3670" t="s">
        <v>9290</v>
      </c>
      <c r="G3670" t="s">
        <v>12648</v>
      </c>
    </row>
    <row r="3671" spans="1:7" x14ac:dyDescent="0.25">
      <c r="A3671" t="s">
        <v>1627</v>
      </c>
      <c r="B3671" t="s">
        <v>687</v>
      </c>
      <c r="F3671" t="s">
        <v>9292</v>
      </c>
      <c r="G3671" t="s">
        <v>12648</v>
      </c>
    </row>
    <row r="3672" spans="1:7" x14ac:dyDescent="0.25">
      <c r="A3672" t="s">
        <v>7531</v>
      </c>
      <c r="B3672" t="s">
        <v>1274</v>
      </c>
      <c r="F3672" t="s">
        <v>9294</v>
      </c>
      <c r="G3672" t="s">
        <v>12648</v>
      </c>
    </row>
    <row r="3673" spans="1:7" x14ac:dyDescent="0.25">
      <c r="A3673" t="s">
        <v>1627</v>
      </c>
      <c r="B3673" t="s">
        <v>687</v>
      </c>
      <c r="F3673" t="s">
        <v>9296</v>
      </c>
      <c r="G3673" t="s">
        <v>12648</v>
      </c>
    </row>
    <row r="3674" spans="1:7" x14ac:dyDescent="0.25">
      <c r="A3674" t="s">
        <v>1627</v>
      </c>
      <c r="B3674" t="s">
        <v>687</v>
      </c>
      <c r="F3674" t="s">
        <v>9298</v>
      </c>
      <c r="G3674" t="s">
        <v>12648</v>
      </c>
    </row>
    <row r="3675" spans="1:7" x14ac:dyDescent="0.25">
      <c r="A3675" t="s">
        <v>4</v>
      </c>
      <c r="B3675" t="s">
        <v>9</v>
      </c>
      <c r="F3675" t="s">
        <v>9300</v>
      </c>
      <c r="G3675" t="s">
        <v>12648</v>
      </c>
    </row>
    <row r="3676" spans="1:7" x14ac:dyDescent="0.25">
      <c r="A3676" t="s">
        <v>7354</v>
      </c>
      <c r="B3676" t="s">
        <v>7355</v>
      </c>
      <c r="F3676" t="s">
        <v>9183</v>
      </c>
      <c r="G3676" t="s">
        <v>12649</v>
      </c>
    </row>
    <row r="3677" spans="1:7" x14ac:dyDescent="0.25">
      <c r="A3677" t="s">
        <v>7354</v>
      </c>
      <c r="B3677" t="s">
        <v>7355</v>
      </c>
      <c r="F3677" t="s">
        <v>9185</v>
      </c>
      <c r="G3677" t="s">
        <v>12649</v>
      </c>
    </row>
    <row r="3678" spans="1:7" x14ac:dyDescent="0.25">
      <c r="A3678" t="s">
        <v>7746</v>
      </c>
      <c r="B3678" t="s">
        <v>1274</v>
      </c>
      <c r="F3678" t="s">
        <v>9187</v>
      </c>
      <c r="G3678" t="s">
        <v>12649</v>
      </c>
    </row>
    <row r="3679" spans="1:7" x14ac:dyDescent="0.25">
      <c r="A3679" t="s">
        <v>9316</v>
      </c>
      <c r="B3679" t="s">
        <v>1274</v>
      </c>
      <c r="F3679" t="s">
        <v>9189</v>
      </c>
      <c r="G3679" t="s">
        <v>12649</v>
      </c>
    </row>
    <row r="3680" spans="1:7" x14ac:dyDescent="0.25">
      <c r="A3680" t="s">
        <v>7354</v>
      </c>
      <c r="B3680" t="s">
        <v>7355</v>
      </c>
      <c r="F3680" t="s">
        <v>9191</v>
      </c>
      <c r="G3680" t="s">
        <v>12649</v>
      </c>
    </row>
    <row r="3681" spans="1:7" x14ac:dyDescent="0.25">
      <c r="A3681" t="s">
        <v>1627</v>
      </c>
      <c r="B3681" t="s">
        <v>1058</v>
      </c>
      <c r="F3681" t="s">
        <v>9193</v>
      </c>
      <c r="G3681" t="s">
        <v>12649</v>
      </c>
    </row>
    <row r="3682" spans="1:7" x14ac:dyDescent="0.25">
      <c r="A3682" t="s">
        <v>4</v>
      </c>
      <c r="B3682" t="s">
        <v>9</v>
      </c>
      <c r="F3682" t="s">
        <v>9195</v>
      </c>
      <c r="G3682" t="s">
        <v>12649</v>
      </c>
    </row>
    <row r="3683" spans="1:7" x14ac:dyDescent="0.25">
      <c r="A3683" t="s">
        <v>4</v>
      </c>
      <c r="B3683" t="s">
        <v>9</v>
      </c>
      <c r="F3683" t="s">
        <v>9197</v>
      </c>
      <c r="G3683" t="s">
        <v>12649</v>
      </c>
    </row>
    <row r="3684" spans="1:7" x14ac:dyDescent="0.25">
      <c r="A3684" t="s">
        <v>7354</v>
      </c>
      <c r="B3684" t="s">
        <v>7355</v>
      </c>
      <c r="F3684" t="s">
        <v>9199</v>
      </c>
      <c r="G3684" t="s">
        <v>12649</v>
      </c>
    </row>
    <row r="3685" spans="1:7" x14ac:dyDescent="0.25">
      <c r="A3685" t="s">
        <v>4</v>
      </c>
      <c r="B3685" t="s">
        <v>9317</v>
      </c>
      <c r="F3685" t="s">
        <v>9201</v>
      </c>
      <c r="G3685" t="s">
        <v>12649</v>
      </c>
    </row>
    <row r="3686" spans="1:7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12649</v>
      </c>
    </row>
    <row r="3687" spans="1:7" x14ac:dyDescent="0.25">
      <c r="A3687" t="s">
        <v>7354</v>
      </c>
      <c r="B3687" t="s">
        <v>7355</v>
      </c>
      <c r="F3687" t="s">
        <v>9205</v>
      </c>
      <c r="G3687" t="s">
        <v>12649</v>
      </c>
    </row>
    <row r="3688" spans="1:7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12651</v>
      </c>
    </row>
    <row r="3689" spans="1:7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12651</v>
      </c>
    </row>
    <row r="3690" spans="1:7" x14ac:dyDescent="0.25">
      <c r="A3690" t="s">
        <v>9321</v>
      </c>
      <c r="B3690" t="s">
        <v>1274</v>
      </c>
      <c r="F3690" t="s">
        <v>9211</v>
      </c>
      <c r="G3690" t="s">
        <v>12651</v>
      </c>
    </row>
    <row r="3691" spans="1:7" x14ac:dyDescent="0.25">
      <c r="A3691" t="s">
        <v>9322</v>
      </c>
      <c r="B3691" t="s">
        <v>1274</v>
      </c>
      <c r="F3691" t="s">
        <v>9213</v>
      </c>
      <c r="G3691" t="s">
        <v>12651</v>
      </c>
    </row>
    <row r="3692" spans="1:7" x14ac:dyDescent="0.25">
      <c r="A3692" t="s">
        <v>9323</v>
      </c>
      <c r="B3692" t="s">
        <v>1274</v>
      </c>
      <c r="F3692" t="s">
        <v>9215</v>
      </c>
      <c r="G3692" t="s">
        <v>12651</v>
      </c>
    </row>
    <row r="3693" spans="1:7" x14ac:dyDescent="0.25">
      <c r="A3693" t="s">
        <v>9323</v>
      </c>
      <c r="B3693" t="s">
        <v>1274</v>
      </c>
      <c r="F3693" t="s">
        <v>9217</v>
      </c>
      <c r="G3693" t="s">
        <v>12651</v>
      </c>
    </row>
    <row r="3694" spans="1:7" x14ac:dyDescent="0.25">
      <c r="A3694" t="s">
        <v>9323</v>
      </c>
      <c r="B3694" t="s">
        <v>1274</v>
      </c>
      <c r="F3694" t="s">
        <v>9219</v>
      </c>
      <c r="G3694" t="s">
        <v>12651</v>
      </c>
    </row>
    <row r="3695" spans="1:7" x14ac:dyDescent="0.25">
      <c r="A3695" t="s">
        <v>4</v>
      </c>
      <c r="B3695" t="s">
        <v>6439</v>
      </c>
      <c r="F3695" t="s">
        <v>9221</v>
      </c>
      <c r="G3695" t="s">
        <v>12651</v>
      </c>
    </row>
    <row r="3696" spans="1:7" x14ac:dyDescent="0.25">
      <c r="A3696" t="s">
        <v>1607</v>
      </c>
      <c r="B3696" t="s">
        <v>8</v>
      </c>
      <c r="F3696" t="s">
        <v>9223</v>
      </c>
      <c r="G3696" t="s">
        <v>12651</v>
      </c>
    </row>
    <row r="3697" spans="1:7" x14ac:dyDescent="0.25">
      <c r="A3697" t="s">
        <v>4</v>
      </c>
      <c r="B3697" t="s">
        <v>6439</v>
      </c>
      <c r="F3697" t="s">
        <v>9225</v>
      </c>
      <c r="G3697" t="s">
        <v>12651</v>
      </c>
    </row>
    <row r="3698" spans="1:7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x14ac:dyDescent="0.25">
      <c r="A3705" t="s">
        <v>9325</v>
      </c>
      <c r="F3705" t="s">
        <v>9248</v>
      </c>
      <c r="G3705" t="s">
        <v>1600</v>
      </c>
    </row>
    <row r="3706" spans="1:7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x14ac:dyDescent="0.25">
      <c r="A3709" t="s">
        <v>1607</v>
      </c>
      <c r="F3709" t="s">
        <v>9348</v>
      </c>
      <c r="G3709" t="s">
        <v>91</v>
      </c>
    </row>
    <row r="3710" spans="1:7" x14ac:dyDescent="0.25">
      <c r="A3710" t="s">
        <v>1607</v>
      </c>
      <c r="B3710" t="s">
        <v>8</v>
      </c>
      <c r="F3710" t="s">
        <v>9326</v>
      </c>
      <c r="G3710" t="s">
        <v>12647</v>
      </c>
    </row>
    <row r="3711" spans="1:7" x14ac:dyDescent="0.25">
      <c r="A3711" t="s">
        <v>1607</v>
      </c>
      <c r="B3711" t="s">
        <v>8</v>
      </c>
      <c r="F3711" t="s">
        <v>9413</v>
      </c>
      <c r="G3711" t="s">
        <v>12647</v>
      </c>
    </row>
    <row r="3712" spans="1:7" x14ac:dyDescent="0.25">
      <c r="A3712" t="s">
        <v>4921</v>
      </c>
      <c r="B3712" t="s">
        <v>9421</v>
      </c>
      <c r="F3712" t="s">
        <v>9328</v>
      </c>
      <c r="G3712" t="s">
        <v>11076</v>
      </c>
    </row>
    <row r="3713" spans="1:7" x14ac:dyDescent="0.25">
      <c r="A3713" t="s">
        <v>1607</v>
      </c>
      <c r="B3713" t="s">
        <v>8</v>
      </c>
      <c r="F3713" t="s">
        <v>9330</v>
      </c>
      <c r="G3713" t="s">
        <v>11076</v>
      </c>
    </row>
    <row r="3714" spans="1:7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x14ac:dyDescent="0.25">
      <c r="A3722" t="s">
        <v>4</v>
      </c>
      <c r="B3722" t="s">
        <v>9</v>
      </c>
      <c r="F3722" t="s">
        <v>9356</v>
      </c>
      <c r="G3722" t="s">
        <v>12648</v>
      </c>
    </row>
    <row r="3723" spans="1:7" x14ac:dyDescent="0.25">
      <c r="A3723" t="s">
        <v>1627</v>
      </c>
      <c r="B3723" t="s">
        <v>687</v>
      </c>
      <c r="F3723" t="s">
        <v>9358</v>
      </c>
      <c r="G3723" t="s">
        <v>12648</v>
      </c>
    </row>
    <row r="3724" spans="1:7" x14ac:dyDescent="0.25">
      <c r="A3724" t="s">
        <v>1627</v>
      </c>
      <c r="B3724" t="s">
        <v>687</v>
      </c>
      <c r="F3724" t="s">
        <v>9360</v>
      </c>
      <c r="G3724" t="s">
        <v>12648</v>
      </c>
    </row>
    <row r="3725" spans="1:7" x14ac:dyDescent="0.25">
      <c r="A3725" t="s">
        <v>1627</v>
      </c>
      <c r="B3725" t="s">
        <v>687</v>
      </c>
      <c r="F3725" t="s">
        <v>9362</v>
      </c>
      <c r="G3725" t="s">
        <v>12648</v>
      </c>
    </row>
    <row r="3726" spans="1:7" x14ac:dyDescent="0.25">
      <c r="A3726" t="s">
        <v>4</v>
      </c>
      <c r="B3726" t="s">
        <v>6157</v>
      </c>
      <c r="F3726" t="s">
        <v>9364</v>
      </c>
      <c r="G3726" t="s">
        <v>12649</v>
      </c>
    </row>
    <row r="3727" spans="1:7" x14ac:dyDescent="0.25">
      <c r="A3727" t="s">
        <v>1627</v>
      </c>
      <c r="B3727" t="s">
        <v>1058</v>
      </c>
      <c r="F3727" t="s">
        <v>9366</v>
      </c>
      <c r="G3727" t="s">
        <v>12649</v>
      </c>
    </row>
    <row r="3728" spans="1:7" x14ac:dyDescent="0.25">
      <c r="A3728" t="s">
        <v>7354</v>
      </c>
      <c r="B3728" t="s">
        <v>7355</v>
      </c>
      <c r="F3728" t="s">
        <v>9368</v>
      </c>
      <c r="G3728" t="s">
        <v>12649</v>
      </c>
    </row>
    <row r="3729" spans="1:7" x14ac:dyDescent="0.25">
      <c r="A3729" t="s">
        <v>7746</v>
      </c>
      <c r="B3729" t="s">
        <v>1274</v>
      </c>
      <c r="F3729" t="s">
        <v>9370</v>
      </c>
      <c r="G3729" t="s">
        <v>12649</v>
      </c>
    </row>
    <row r="3730" spans="1:7" x14ac:dyDescent="0.25">
      <c r="A3730" t="s">
        <v>7746</v>
      </c>
      <c r="B3730" t="s">
        <v>1274</v>
      </c>
      <c r="F3730" t="s">
        <v>9372</v>
      </c>
      <c r="G3730" t="s">
        <v>12649</v>
      </c>
    </row>
    <row r="3731" spans="1:7" x14ac:dyDescent="0.25">
      <c r="A3731" t="s">
        <v>7354</v>
      </c>
      <c r="B3731" t="s">
        <v>7355</v>
      </c>
      <c r="F3731" t="s">
        <v>9374</v>
      </c>
      <c r="G3731" t="s">
        <v>12649</v>
      </c>
    </row>
    <row r="3732" spans="1:7" x14ac:dyDescent="0.25">
      <c r="A3732" t="s">
        <v>7354</v>
      </c>
      <c r="B3732" t="s">
        <v>7355</v>
      </c>
      <c r="F3732" t="s">
        <v>9376</v>
      </c>
      <c r="G3732" t="s">
        <v>12649</v>
      </c>
    </row>
    <row r="3733" spans="1:7" x14ac:dyDescent="0.25">
      <c r="A3733" t="s">
        <v>4</v>
      </c>
      <c r="B3733" t="s">
        <v>9</v>
      </c>
      <c r="F3733" t="s">
        <v>9378</v>
      </c>
      <c r="G3733" t="s">
        <v>12649</v>
      </c>
    </row>
    <row r="3734" spans="1:7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12649</v>
      </c>
    </row>
    <row r="3735" spans="1:7" x14ac:dyDescent="0.25">
      <c r="A3735" t="s">
        <v>4</v>
      </c>
      <c r="B3735" t="s">
        <v>9422</v>
      </c>
      <c r="F3735" t="s">
        <v>9382</v>
      </c>
      <c r="G3735" t="s">
        <v>12649</v>
      </c>
    </row>
    <row r="3736" spans="1:7" x14ac:dyDescent="0.25">
      <c r="A3736" t="s">
        <v>1607</v>
      </c>
      <c r="B3736" t="s">
        <v>8</v>
      </c>
      <c r="F3736" t="s">
        <v>9384</v>
      </c>
      <c r="G3736" t="s">
        <v>12650</v>
      </c>
    </row>
    <row r="3737" spans="1:7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12650</v>
      </c>
    </row>
    <row r="3738" spans="1:7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12650</v>
      </c>
    </row>
    <row r="3739" spans="1:7" x14ac:dyDescent="0.25">
      <c r="A3739" t="s">
        <v>1607</v>
      </c>
      <c r="B3739" t="s">
        <v>8</v>
      </c>
      <c r="F3739" t="s">
        <v>9390</v>
      </c>
      <c r="G3739" t="s">
        <v>12651</v>
      </c>
    </row>
    <row r="3740" spans="1:7" x14ac:dyDescent="0.25">
      <c r="A3740" t="s">
        <v>1607</v>
      </c>
      <c r="B3740" t="s">
        <v>8</v>
      </c>
      <c r="F3740" t="s">
        <v>9392</v>
      </c>
      <c r="G3740" t="s">
        <v>12651</v>
      </c>
    </row>
    <row r="3741" spans="1:7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x14ac:dyDescent="0.25">
      <c r="A3767" t="s">
        <v>9599</v>
      </c>
      <c r="F3767" t="s">
        <v>9575</v>
      </c>
      <c r="G3767" t="s">
        <v>896</v>
      </c>
    </row>
    <row r="3768" spans="1:7" x14ac:dyDescent="0.25">
      <c r="A3768" t="s">
        <v>9600</v>
      </c>
      <c r="F3768" t="s">
        <v>9578</v>
      </c>
      <c r="G3768" t="s">
        <v>896</v>
      </c>
    </row>
    <row r="3769" spans="1:7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x14ac:dyDescent="0.25">
      <c r="A3778" t="s">
        <v>9600</v>
      </c>
      <c r="F3778" t="s">
        <v>9435</v>
      </c>
      <c r="G3778" t="s">
        <v>897</v>
      </c>
    </row>
    <row r="3779" spans="1:7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x14ac:dyDescent="0.25">
      <c r="A3790" t="s">
        <v>9600</v>
      </c>
      <c r="F3790" t="s">
        <v>9471</v>
      </c>
      <c r="G3790" t="s">
        <v>1537</v>
      </c>
    </row>
    <row r="3791" spans="1:7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x14ac:dyDescent="0.25">
      <c r="A3832" t="s">
        <v>12</v>
      </c>
      <c r="F3832" t="s">
        <v>9688</v>
      </c>
      <c r="G3832" t="s">
        <v>1537</v>
      </c>
    </row>
    <row r="3833" spans="1:7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x14ac:dyDescent="0.25">
      <c r="A3880" t="s">
        <v>9600</v>
      </c>
      <c r="F3880" t="s">
        <v>9917</v>
      </c>
      <c r="G3880" t="s">
        <v>894</v>
      </c>
    </row>
    <row r="3881" spans="1:7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x14ac:dyDescent="0.25">
      <c r="A3890" t="s">
        <v>9600</v>
      </c>
      <c r="F3890" t="s">
        <v>9835</v>
      </c>
      <c r="G3890" t="s">
        <v>895</v>
      </c>
    </row>
    <row r="3891" spans="1:7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x14ac:dyDescent="0.25">
      <c r="A3895" t="s">
        <v>10020</v>
      </c>
      <c r="F3895" t="s">
        <v>9971</v>
      </c>
      <c r="G3895" t="s">
        <v>896</v>
      </c>
    </row>
    <row r="3896" spans="1:7" x14ac:dyDescent="0.25">
      <c r="A3896" t="s">
        <v>10020</v>
      </c>
      <c r="F3896" t="s">
        <v>9974</v>
      </c>
      <c r="G3896" t="s">
        <v>896</v>
      </c>
    </row>
    <row r="3897" spans="1:7" x14ac:dyDescent="0.25">
      <c r="A3897" t="s">
        <v>10020</v>
      </c>
      <c r="F3897" t="s">
        <v>9977</v>
      </c>
      <c r="G3897" t="s">
        <v>896</v>
      </c>
    </row>
    <row r="3898" spans="1:7" x14ac:dyDescent="0.25">
      <c r="A3898" t="s">
        <v>10020</v>
      </c>
      <c r="F3898" t="s">
        <v>9980</v>
      </c>
      <c r="G3898" t="s">
        <v>896</v>
      </c>
    </row>
    <row r="3899" spans="1:7" x14ac:dyDescent="0.25">
      <c r="A3899" t="s">
        <v>10020</v>
      </c>
      <c r="F3899" t="s">
        <v>9983</v>
      </c>
      <c r="G3899" t="s">
        <v>896</v>
      </c>
    </row>
    <row r="3900" spans="1:7" x14ac:dyDescent="0.25">
      <c r="A3900" t="s">
        <v>10020</v>
      </c>
      <c r="F3900" t="s">
        <v>9986</v>
      </c>
      <c r="G3900" t="s">
        <v>896</v>
      </c>
    </row>
    <row r="3901" spans="1:7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x14ac:dyDescent="0.25">
      <c r="A3905" t="s">
        <v>7887</v>
      </c>
      <c r="F3905" t="s">
        <v>9852</v>
      </c>
      <c r="G3905" t="s">
        <v>897</v>
      </c>
    </row>
    <row r="3906" spans="1:7" x14ac:dyDescent="0.25">
      <c r="A3906" t="s">
        <v>7887</v>
      </c>
      <c r="F3906" t="s">
        <v>9854</v>
      </c>
      <c r="G3906" t="s">
        <v>897</v>
      </c>
    </row>
    <row r="3907" spans="1:7" x14ac:dyDescent="0.25">
      <c r="A3907" t="s">
        <v>7887</v>
      </c>
      <c r="F3907" t="s">
        <v>9856</v>
      </c>
      <c r="G3907" t="s">
        <v>897</v>
      </c>
    </row>
    <row r="3908" spans="1:7" x14ac:dyDescent="0.25">
      <c r="A3908" t="s">
        <v>7887</v>
      </c>
      <c r="F3908" t="s">
        <v>9858</v>
      </c>
      <c r="G3908" t="s">
        <v>897</v>
      </c>
    </row>
    <row r="3909" spans="1:7" x14ac:dyDescent="0.25">
      <c r="A3909" t="s">
        <v>7887</v>
      </c>
      <c r="F3909" t="s">
        <v>9860</v>
      </c>
      <c r="G3909" t="s">
        <v>897</v>
      </c>
    </row>
    <row r="3910" spans="1:7" x14ac:dyDescent="0.25">
      <c r="A3910" t="s">
        <v>7887</v>
      </c>
      <c r="F3910" t="s">
        <v>9862</v>
      </c>
      <c r="G3910" t="s">
        <v>897</v>
      </c>
    </row>
    <row r="3911" spans="1:7" x14ac:dyDescent="0.25">
      <c r="A3911" t="s">
        <v>7887</v>
      </c>
      <c r="F3911" t="s">
        <v>9864</v>
      </c>
      <c r="G3911" t="s">
        <v>897</v>
      </c>
    </row>
    <row r="3912" spans="1:7" x14ac:dyDescent="0.25">
      <c r="A3912" t="s">
        <v>7887</v>
      </c>
      <c r="F3912" t="s">
        <v>9866</v>
      </c>
      <c r="G3912" t="s">
        <v>897</v>
      </c>
    </row>
    <row r="3913" spans="1:7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x14ac:dyDescent="0.25">
      <c r="A3918" t="s">
        <v>7</v>
      </c>
      <c r="F3918" t="s">
        <v>9881</v>
      </c>
      <c r="G3918" t="s">
        <v>1537</v>
      </c>
    </row>
    <row r="3919" spans="1:7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x14ac:dyDescent="0.25">
      <c r="A3926" t="s">
        <v>9600</v>
      </c>
      <c r="F3926" t="s">
        <v>9947</v>
      </c>
      <c r="G3926" t="s">
        <v>1600</v>
      </c>
    </row>
    <row r="3927" spans="1:7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x14ac:dyDescent="0.25">
      <c r="A3947" t="s">
        <v>7</v>
      </c>
      <c r="F3947" t="s">
        <v>10100</v>
      </c>
      <c r="G3947" t="s">
        <v>896</v>
      </c>
    </row>
    <row r="3948" spans="1:7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x14ac:dyDescent="0.25">
      <c r="A3950" t="s">
        <v>9600</v>
      </c>
      <c r="F3950" t="s">
        <v>10109</v>
      </c>
      <c r="G3950" t="s">
        <v>896</v>
      </c>
    </row>
    <row r="3951" spans="1:7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x14ac:dyDescent="0.25">
      <c r="A3953" t="s">
        <v>11</v>
      </c>
      <c r="F3953" t="s">
        <v>10118</v>
      </c>
      <c r="G3953" t="s">
        <v>896</v>
      </c>
    </row>
    <row r="3954" spans="1:7" x14ac:dyDescent="0.25">
      <c r="A3954" t="s">
        <v>9600</v>
      </c>
      <c r="F3954" t="s">
        <v>10121</v>
      </c>
      <c r="G3954" t="s">
        <v>896</v>
      </c>
    </row>
    <row r="3955" spans="1:7" x14ac:dyDescent="0.25">
      <c r="A3955" t="s">
        <v>10020</v>
      </c>
      <c r="F3955" t="s">
        <v>10124</v>
      </c>
      <c r="G3955" t="s">
        <v>896</v>
      </c>
    </row>
    <row r="3956" spans="1:7" x14ac:dyDescent="0.25">
      <c r="A3956" t="s">
        <v>10020</v>
      </c>
      <c r="F3956" t="s">
        <v>10127</v>
      </c>
      <c r="G3956" t="s">
        <v>896</v>
      </c>
    </row>
    <row r="3957" spans="1:7" x14ac:dyDescent="0.25">
      <c r="A3957" t="s">
        <v>10020</v>
      </c>
      <c r="F3957" t="s">
        <v>10024</v>
      </c>
      <c r="G3957" t="s">
        <v>1537</v>
      </c>
    </row>
    <row r="3958" spans="1:7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x14ac:dyDescent="0.25">
      <c r="A3959" t="s">
        <v>10020</v>
      </c>
      <c r="F3959" t="s">
        <v>10030</v>
      </c>
      <c r="G3959" t="s">
        <v>1537</v>
      </c>
    </row>
    <row r="3960" spans="1:7" x14ac:dyDescent="0.25">
      <c r="A3960" t="s">
        <v>10020</v>
      </c>
      <c r="F3960" t="s">
        <v>10033</v>
      </c>
      <c r="G3960" t="s">
        <v>1537</v>
      </c>
    </row>
    <row r="3961" spans="1:7" x14ac:dyDescent="0.25">
      <c r="A3961" t="s">
        <v>10020</v>
      </c>
      <c r="F3961" t="s">
        <v>10036</v>
      </c>
      <c r="G3961" t="s">
        <v>1537</v>
      </c>
    </row>
    <row r="3962" spans="1:7" x14ac:dyDescent="0.25">
      <c r="A3962" t="s">
        <v>10020</v>
      </c>
      <c r="F3962" t="s">
        <v>10039</v>
      </c>
      <c r="G3962" t="s">
        <v>1537</v>
      </c>
    </row>
    <row r="3963" spans="1:7" x14ac:dyDescent="0.25">
      <c r="A3963" t="s">
        <v>10020</v>
      </c>
      <c r="F3963" t="s">
        <v>10042</v>
      </c>
      <c r="G3963" t="s">
        <v>1537</v>
      </c>
    </row>
    <row r="3964" spans="1:7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x14ac:dyDescent="0.25">
      <c r="A3972" t="s">
        <v>9600</v>
      </c>
      <c r="F3972" t="s">
        <v>10140</v>
      </c>
      <c r="G3972" t="s">
        <v>10022</v>
      </c>
    </row>
    <row r="3973" spans="1:7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x14ac:dyDescent="0.25">
      <c r="A3980" t="s">
        <v>7</v>
      </c>
      <c r="F3980" t="s">
        <v>10176</v>
      </c>
      <c r="G3980" t="s">
        <v>896</v>
      </c>
    </row>
    <row r="3981" spans="1:7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x14ac:dyDescent="0.25">
      <c r="A3983" t="s">
        <v>7887</v>
      </c>
      <c r="F3983" t="s">
        <v>10155</v>
      </c>
      <c r="G3983" t="s">
        <v>897</v>
      </c>
    </row>
    <row r="3984" spans="1:7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x14ac:dyDescent="0.25">
      <c r="A3986" t="s">
        <v>10020</v>
      </c>
      <c r="F3986" t="s">
        <v>10182</v>
      </c>
      <c r="G3986" t="s">
        <v>1537</v>
      </c>
    </row>
    <row r="3987" spans="1:7" x14ac:dyDescent="0.25">
      <c r="A3987" t="s">
        <v>10020</v>
      </c>
      <c r="F3987" t="s">
        <v>10185</v>
      </c>
      <c r="G3987" t="s">
        <v>1537</v>
      </c>
    </row>
    <row r="3988" spans="1:7" x14ac:dyDescent="0.25">
      <c r="A3988" t="s">
        <v>10020</v>
      </c>
      <c r="F3988" t="s">
        <v>10188</v>
      </c>
      <c r="G3988" t="s">
        <v>1537</v>
      </c>
    </row>
    <row r="3989" spans="1:7" x14ac:dyDescent="0.25">
      <c r="A3989" t="s">
        <v>10020</v>
      </c>
      <c r="F3989" t="s">
        <v>10191</v>
      </c>
      <c r="G3989" t="s">
        <v>1537</v>
      </c>
    </row>
    <row r="3990" spans="1:7" x14ac:dyDescent="0.25">
      <c r="A3990" t="s">
        <v>10020</v>
      </c>
      <c r="F3990" t="s">
        <v>10194</v>
      </c>
      <c r="G3990" t="s">
        <v>1537</v>
      </c>
    </row>
    <row r="3991" spans="1:7" x14ac:dyDescent="0.25">
      <c r="A3991" t="s">
        <v>10020</v>
      </c>
      <c r="F3991" t="s">
        <v>10197</v>
      </c>
      <c r="G3991" t="s">
        <v>1537</v>
      </c>
    </row>
    <row r="3992" spans="1:7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x14ac:dyDescent="0.25">
      <c r="A3997" t="s">
        <v>7</v>
      </c>
      <c r="F3997" t="s">
        <v>10215</v>
      </c>
      <c r="G3997" t="s">
        <v>10022</v>
      </c>
    </row>
    <row r="3998" spans="1:7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x14ac:dyDescent="0.25">
      <c r="A4001" t="s">
        <v>10020</v>
      </c>
      <c r="F4001" t="s">
        <v>10227</v>
      </c>
      <c r="G4001" t="s">
        <v>10022</v>
      </c>
    </row>
    <row r="4002" spans="1:7" x14ac:dyDescent="0.25">
      <c r="A4002" t="s">
        <v>10020</v>
      </c>
      <c r="F4002" t="s">
        <v>10230</v>
      </c>
      <c r="G4002" t="s">
        <v>10022</v>
      </c>
    </row>
    <row r="4003" spans="1:7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x14ac:dyDescent="0.25">
      <c r="A4016" t="s">
        <v>10020</v>
      </c>
      <c r="F4016" t="s">
        <v>10364</v>
      </c>
      <c r="G4016" t="s">
        <v>896</v>
      </c>
    </row>
    <row r="4017" spans="1:7" x14ac:dyDescent="0.25">
      <c r="A4017" t="s">
        <v>10020</v>
      </c>
      <c r="F4017" t="s">
        <v>10367</v>
      </c>
      <c r="G4017" t="s">
        <v>896</v>
      </c>
    </row>
    <row r="4018" spans="1:7" x14ac:dyDescent="0.25">
      <c r="A4018" t="s">
        <v>10020</v>
      </c>
      <c r="F4018" t="s">
        <v>10370</v>
      </c>
      <c r="G4018" t="s">
        <v>896</v>
      </c>
    </row>
    <row r="4019" spans="1:7" x14ac:dyDescent="0.25">
      <c r="A4019" t="s">
        <v>10020</v>
      </c>
      <c r="F4019" t="s">
        <v>10373</v>
      </c>
      <c r="G4019" t="s">
        <v>896</v>
      </c>
    </row>
    <row r="4020" spans="1:7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x14ac:dyDescent="0.25">
      <c r="A4021" t="s">
        <v>10020</v>
      </c>
      <c r="F4021" t="s">
        <v>10379</v>
      </c>
      <c r="G4021" t="s">
        <v>896</v>
      </c>
    </row>
    <row r="4022" spans="1:7" x14ac:dyDescent="0.25">
      <c r="A4022" t="s">
        <v>10020</v>
      </c>
      <c r="F4022" t="s">
        <v>10382</v>
      </c>
      <c r="G4022" t="s">
        <v>896</v>
      </c>
    </row>
    <row r="4023" spans="1:7" x14ac:dyDescent="0.25">
      <c r="A4023" t="s">
        <v>10020</v>
      </c>
      <c r="F4023" t="s">
        <v>10385</v>
      </c>
      <c r="G4023" t="s">
        <v>896</v>
      </c>
    </row>
    <row r="4024" spans="1:7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x14ac:dyDescent="0.25">
      <c r="A4025" t="s">
        <v>10020</v>
      </c>
      <c r="F4025" t="s">
        <v>10391</v>
      </c>
      <c r="G4025" t="s">
        <v>897</v>
      </c>
    </row>
    <row r="4026" spans="1:7" x14ac:dyDescent="0.25">
      <c r="A4026" t="s">
        <v>10020</v>
      </c>
      <c r="F4026" t="s">
        <v>10394</v>
      </c>
      <c r="G4026" t="s">
        <v>897</v>
      </c>
    </row>
    <row r="4027" spans="1:7" x14ac:dyDescent="0.25">
      <c r="A4027" t="s">
        <v>10020</v>
      </c>
      <c r="F4027" t="s">
        <v>10397</v>
      </c>
      <c r="G4027" t="s">
        <v>897</v>
      </c>
    </row>
    <row r="4028" spans="1:7" x14ac:dyDescent="0.25">
      <c r="A4028" t="s">
        <v>10020</v>
      </c>
      <c r="F4028" t="s">
        <v>10400</v>
      </c>
      <c r="G4028" t="s">
        <v>897</v>
      </c>
    </row>
    <row r="4029" spans="1:7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x14ac:dyDescent="0.25">
      <c r="A4030" t="s">
        <v>10020</v>
      </c>
      <c r="F4030" t="s">
        <v>10406</v>
      </c>
      <c r="G4030" t="s">
        <v>897</v>
      </c>
    </row>
    <row r="4031" spans="1:7" x14ac:dyDescent="0.25">
      <c r="A4031" t="s">
        <v>10020</v>
      </c>
      <c r="F4031" t="s">
        <v>10409</v>
      </c>
      <c r="G4031" t="s">
        <v>897</v>
      </c>
    </row>
    <row r="4032" spans="1:7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x14ac:dyDescent="0.25">
      <c r="A4033" t="s">
        <v>10020</v>
      </c>
      <c r="F4033" t="s">
        <v>10271</v>
      </c>
      <c r="G4033" t="s">
        <v>1537</v>
      </c>
    </row>
    <row r="4034" spans="1:7" x14ac:dyDescent="0.25">
      <c r="A4034" t="s">
        <v>10020</v>
      </c>
      <c r="F4034" t="s">
        <v>10274</v>
      </c>
      <c r="G4034" t="s">
        <v>1537</v>
      </c>
    </row>
    <row r="4035" spans="1:7" x14ac:dyDescent="0.25">
      <c r="A4035" t="s">
        <v>10020</v>
      </c>
      <c r="F4035" t="s">
        <v>10277</v>
      </c>
      <c r="G4035" t="s">
        <v>1537</v>
      </c>
    </row>
    <row r="4036" spans="1:7" x14ac:dyDescent="0.25">
      <c r="A4036" t="s">
        <v>10020</v>
      </c>
      <c r="F4036" t="s">
        <v>10280</v>
      </c>
      <c r="G4036" t="s">
        <v>1537</v>
      </c>
    </row>
    <row r="4037" spans="1:7" x14ac:dyDescent="0.25">
      <c r="A4037" t="s">
        <v>10020</v>
      </c>
      <c r="F4037" t="s">
        <v>10283</v>
      </c>
      <c r="G4037" t="s">
        <v>1537</v>
      </c>
    </row>
    <row r="4038" spans="1:7" x14ac:dyDescent="0.25">
      <c r="A4038" t="s">
        <v>10020</v>
      </c>
      <c r="F4038" t="s">
        <v>10286</v>
      </c>
      <c r="G4038" t="s">
        <v>1537</v>
      </c>
    </row>
    <row r="4039" spans="1:7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x14ac:dyDescent="0.25">
      <c r="A4040" t="s">
        <v>10020</v>
      </c>
      <c r="F4040" t="s">
        <v>10292</v>
      </c>
      <c r="G4040" t="s">
        <v>1537</v>
      </c>
    </row>
    <row r="4041" spans="1:7" x14ac:dyDescent="0.25">
      <c r="A4041" t="s">
        <v>10020</v>
      </c>
      <c r="F4041" t="s">
        <v>10295</v>
      </c>
      <c r="G4041" t="s">
        <v>1537</v>
      </c>
    </row>
    <row r="4042" spans="1:7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x14ac:dyDescent="0.25">
      <c r="A4046" t="s">
        <v>10020</v>
      </c>
      <c r="F4046" t="s">
        <v>10310</v>
      </c>
      <c r="G4046" t="s">
        <v>10022</v>
      </c>
    </row>
    <row r="4047" spans="1:7" x14ac:dyDescent="0.25">
      <c r="A4047" t="s">
        <v>10020</v>
      </c>
      <c r="F4047" t="s">
        <v>10313</v>
      </c>
      <c r="G4047" t="s">
        <v>10022</v>
      </c>
    </row>
    <row r="4048" spans="1:7" x14ac:dyDescent="0.25">
      <c r="A4048" t="s">
        <v>10020</v>
      </c>
      <c r="F4048" t="s">
        <v>10316</v>
      </c>
      <c r="G4048" t="s">
        <v>10022</v>
      </c>
    </row>
    <row r="4049" spans="1:7" x14ac:dyDescent="0.25">
      <c r="A4049" t="s">
        <v>10020</v>
      </c>
      <c r="F4049" t="s">
        <v>10319</v>
      </c>
      <c r="G4049" t="s">
        <v>10022</v>
      </c>
    </row>
    <row r="4050" spans="1:7" x14ac:dyDescent="0.25">
      <c r="A4050" t="s">
        <v>10020</v>
      </c>
      <c r="F4050" t="s">
        <v>10322</v>
      </c>
      <c r="G4050" t="s">
        <v>10022</v>
      </c>
    </row>
    <row r="4051" spans="1:7" x14ac:dyDescent="0.25">
      <c r="A4051" t="s">
        <v>10020</v>
      </c>
      <c r="F4051" t="s">
        <v>10325</v>
      </c>
      <c r="G4051" t="s">
        <v>10022</v>
      </c>
    </row>
    <row r="4052" spans="1:7" x14ac:dyDescent="0.25">
      <c r="A4052" t="s">
        <v>10020</v>
      </c>
      <c r="F4052" t="s">
        <v>10328</v>
      </c>
      <c r="G4052" t="s">
        <v>10022</v>
      </c>
    </row>
    <row r="4053" spans="1:7" x14ac:dyDescent="0.25">
      <c r="A4053" t="s">
        <v>10020</v>
      </c>
      <c r="F4053" t="s">
        <v>10331</v>
      </c>
      <c r="G4053" t="s">
        <v>10022</v>
      </c>
    </row>
    <row r="4054" spans="1:7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x14ac:dyDescent="0.25">
      <c r="A4055" t="s">
        <v>10020</v>
      </c>
      <c r="F4055" t="s">
        <v>10337</v>
      </c>
      <c r="G4055" t="s">
        <v>10022</v>
      </c>
    </row>
    <row r="4056" spans="1:7" x14ac:dyDescent="0.25">
      <c r="A4056" t="s">
        <v>10020</v>
      </c>
      <c r="F4056" t="s">
        <v>10340</v>
      </c>
      <c r="G4056" t="s">
        <v>10022</v>
      </c>
    </row>
    <row r="4057" spans="1:7" x14ac:dyDescent="0.25">
      <c r="A4057" t="s">
        <v>10020</v>
      </c>
      <c r="F4057" t="s">
        <v>10343</v>
      </c>
      <c r="G4057" t="s">
        <v>10022</v>
      </c>
    </row>
    <row r="4058" spans="1:7" x14ac:dyDescent="0.25">
      <c r="A4058" t="s">
        <v>10020</v>
      </c>
      <c r="F4058" t="s">
        <v>10346</v>
      </c>
      <c r="G4058" t="s">
        <v>10022</v>
      </c>
    </row>
    <row r="4059" spans="1:7" x14ac:dyDescent="0.25">
      <c r="A4059" t="s">
        <v>10020</v>
      </c>
      <c r="F4059" t="s">
        <v>10349</v>
      </c>
      <c r="G4059" t="s">
        <v>10022</v>
      </c>
    </row>
    <row r="4060" spans="1:7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x14ac:dyDescent="0.25">
      <c r="A4075" t="s">
        <v>10571</v>
      </c>
      <c r="F4075" t="s">
        <v>10460</v>
      </c>
      <c r="G4075" t="s">
        <v>896</v>
      </c>
    </row>
    <row r="4076" spans="1:7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x14ac:dyDescent="0.25">
      <c r="A4095" t="s">
        <v>3397</v>
      </c>
      <c r="F4095" t="s">
        <v>10520</v>
      </c>
      <c r="G4095" t="s">
        <v>896</v>
      </c>
    </row>
    <row r="4096" spans="1:7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x14ac:dyDescent="0.25">
      <c r="A4098" t="s">
        <v>7</v>
      </c>
      <c r="F4098" t="s">
        <v>10529</v>
      </c>
      <c r="G4098" t="s">
        <v>896</v>
      </c>
    </row>
    <row r="4099" spans="1:7" x14ac:dyDescent="0.25">
      <c r="A4099" t="s">
        <v>1539</v>
      </c>
      <c r="F4099" t="s">
        <v>10532</v>
      </c>
      <c r="G4099" t="s">
        <v>896</v>
      </c>
    </row>
    <row r="4100" spans="1:7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x14ac:dyDescent="0.25">
      <c r="A4101" t="s">
        <v>10020</v>
      </c>
      <c r="F4101" t="s">
        <v>10538</v>
      </c>
      <c r="G4101" t="s">
        <v>897</v>
      </c>
    </row>
    <row r="4102" spans="1:7" x14ac:dyDescent="0.25">
      <c r="A4102" t="s">
        <v>7</v>
      </c>
      <c r="F4102" t="s">
        <v>10541</v>
      </c>
      <c r="G4102" t="s">
        <v>897</v>
      </c>
    </row>
    <row r="4103" spans="1:7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x14ac:dyDescent="0.25">
      <c r="A4104" t="s">
        <v>12</v>
      </c>
      <c r="F4104" t="s">
        <v>10547</v>
      </c>
      <c r="G4104" t="s">
        <v>1537</v>
      </c>
    </row>
    <row r="4105" spans="1:7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x14ac:dyDescent="0.25">
      <c r="A4107" t="s">
        <v>10020</v>
      </c>
      <c r="F4107" t="s">
        <v>10556</v>
      </c>
      <c r="G4107" t="s">
        <v>10022</v>
      </c>
    </row>
    <row r="4108" spans="1:7" x14ac:dyDescent="0.25">
      <c r="A4108" t="s">
        <v>10020</v>
      </c>
      <c r="F4108" t="s">
        <v>10559</v>
      </c>
      <c r="G4108" t="s">
        <v>10022</v>
      </c>
    </row>
    <row r="4109" spans="1:7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x14ac:dyDescent="0.25">
      <c r="A4110" t="s">
        <v>91</v>
      </c>
      <c r="B4110" t="s">
        <v>11072</v>
      </c>
      <c r="F4110" t="s">
        <v>10584</v>
      </c>
      <c r="G4110" t="s">
        <v>91</v>
      </c>
    </row>
    <row r="4111" spans="1:7" x14ac:dyDescent="0.25">
      <c r="A4111" t="s">
        <v>91</v>
      </c>
      <c r="B4111" t="s">
        <v>11071</v>
      </c>
      <c r="C4111" t="s">
        <v>4070</v>
      </c>
      <c r="E4111" t="s">
        <v>11074</v>
      </c>
      <c r="F4111" t="s">
        <v>10586</v>
      </c>
      <c r="G4111" t="s">
        <v>91</v>
      </c>
    </row>
    <row r="4112" spans="1:7" x14ac:dyDescent="0.25">
      <c r="A4112" t="s">
        <v>62</v>
      </c>
      <c r="B4112" t="s">
        <v>11072</v>
      </c>
      <c r="C4112" t="s">
        <v>165</v>
      </c>
      <c r="F4112" t="s">
        <v>10588</v>
      </c>
      <c r="G4112" t="s">
        <v>91</v>
      </c>
    </row>
    <row r="4113" spans="1:7" x14ac:dyDescent="0.25">
      <c r="A4113" t="s">
        <v>91</v>
      </c>
      <c r="B4113" t="s">
        <v>11073</v>
      </c>
      <c r="C4113" t="s">
        <v>60</v>
      </c>
      <c r="F4113" t="s">
        <v>10590</v>
      </c>
      <c r="G4113" t="s">
        <v>91</v>
      </c>
    </row>
    <row r="4114" spans="1:7" x14ac:dyDescent="0.25">
      <c r="A4114" t="s">
        <v>91</v>
      </c>
      <c r="B4114" t="s">
        <v>11071</v>
      </c>
      <c r="C4114" t="s">
        <v>4070</v>
      </c>
      <c r="F4114" t="s">
        <v>10592</v>
      </c>
      <c r="G4114" t="s">
        <v>91</v>
      </c>
    </row>
    <row r="4115" spans="1:7" x14ac:dyDescent="0.25">
      <c r="A4115" t="s">
        <v>62</v>
      </c>
      <c r="B4115" t="s">
        <v>11073</v>
      </c>
      <c r="C4115" t="s">
        <v>51</v>
      </c>
      <c r="F4115" t="s">
        <v>10594</v>
      </c>
      <c r="G4115" t="s">
        <v>91</v>
      </c>
    </row>
    <row r="4116" spans="1:7" x14ac:dyDescent="0.25">
      <c r="A4116" t="s">
        <v>62</v>
      </c>
      <c r="B4116" t="s">
        <v>11071</v>
      </c>
      <c r="C4116" t="s">
        <v>4070</v>
      </c>
      <c r="F4116" t="s">
        <v>10596</v>
      </c>
      <c r="G4116" t="s">
        <v>91</v>
      </c>
    </row>
    <row r="4117" spans="1:7" x14ac:dyDescent="0.25">
      <c r="A4117" t="s">
        <v>62</v>
      </c>
      <c r="B4117" t="s">
        <v>11075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x14ac:dyDescent="0.25">
      <c r="A4118" t="s">
        <v>1607</v>
      </c>
      <c r="B4118" t="s">
        <v>8</v>
      </c>
      <c r="F4118" t="s">
        <v>10604</v>
      </c>
      <c r="G4118" t="s">
        <v>12647</v>
      </c>
    </row>
    <row r="4119" spans="1:7" x14ac:dyDescent="0.25">
      <c r="A4119" t="s">
        <v>1607</v>
      </c>
      <c r="B4119" t="s">
        <v>8</v>
      </c>
      <c r="F4119" t="s">
        <v>10606</v>
      </c>
      <c r="G4119" t="s">
        <v>12647</v>
      </c>
    </row>
    <row r="4120" spans="1:7" x14ac:dyDescent="0.25">
      <c r="A4120" t="s">
        <v>4</v>
      </c>
      <c r="B4120" t="s">
        <v>7045</v>
      </c>
      <c r="F4120" t="s">
        <v>10600</v>
      </c>
      <c r="G4120" t="s">
        <v>11076</v>
      </c>
    </row>
    <row r="4121" spans="1:7" x14ac:dyDescent="0.25">
      <c r="A4121" t="s">
        <v>4</v>
      </c>
      <c r="B4121" t="s">
        <v>7045</v>
      </c>
      <c r="F4121" t="s">
        <v>10602</v>
      </c>
      <c r="G4121" t="s">
        <v>11076</v>
      </c>
    </row>
    <row r="4122" spans="1:7" x14ac:dyDescent="0.25">
      <c r="A4122" t="s">
        <v>4921</v>
      </c>
      <c r="B4122" t="s">
        <v>11072</v>
      </c>
      <c r="F4122" t="s">
        <v>10608</v>
      </c>
      <c r="G4122" t="s">
        <v>894</v>
      </c>
    </row>
    <row r="4123" spans="1:7" x14ac:dyDescent="0.25">
      <c r="A4123" t="s">
        <v>9596</v>
      </c>
      <c r="B4123" t="s">
        <v>11072</v>
      </c>
      <c r="F4123" t="s">
        <v>10611</v>
      </c>
      <c r="G4123" t="s">
        <v>894</v>
      </c>
    </row>
    <row r="4124" spans="1:7" x14ac:dyDescent="0.25">
      <c r="A4124" t="s">
        <v>4921</v>
      </c>
      <c r="B4124" t="s">
        <v>11073</v>
      </c>
      <c r="C4124" t="s">
        <v>60</v>
      </c>
      <c r="F4124" t="s">
        <v>10614</v>
      </c>
      <c r="G4124" t="s">
        <v>894</v>
      </c>
    </row>
    <row r="4125" spans="1:7" x14ac:dyDescent="0.25">
      <c r="A4125" t="s">
        <v>4921</v>
      </c>
      <c r="B4125" t="s">
        <v>11073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x14ac:dyDescent="0.25">
      <c r="A4126" t="s">
        <v>227</v>
      </c>
      <c r="B4126" t="s">
        <v>11073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x14ac:dyDescent="0.25">
      <c r="A4127" t="s">
        <v>227</v>
      </c>
      <c r="B4127" t="s">
        <v>11073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x14ac:dyDescent="0.25">
      <c r="A4128" t="s">
        <v>227</v>
      </c>
      <c r="B4128" t="s">
        <v>11073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x14ac:dyDescent="0.25">
      <c r="A4129" t="s">
        <v>227</v>
      </c>
      <c r="B4129" t="s">
        <v>11073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x14ac:dyDescent="0.25">
      <c r="A4130" t="s">
        <v>227</v>
      </c>
      <c r="B4130" t="s">
        <v>11073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x14ac:dyDescent="0.25">
      <c r="A4131" t="s">
        <v>227</v>
      </c>
      <c r="B4131" t="s">
        <v>11073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x14ac:dyDescent="0.25">
      <c r="A4132" t="s">
        <v>227</v>
      </c>
      <c r="B4132" t="s">
        <v>11073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x14ac:dyDescent="0.25">
      <c r="A4133" t="s">
        <v>227</v>
      </c>
      <c r="B4133" t="s">
        <v>11073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x14ac:dyDescent="0.25">
      <c r="A4134" t="s">
        <v>227</v>
      </c>
      <c r="B4134" t="s">
        <v>11073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x14ac:dyDescent="0.25">
      <c r="A4135" t="s">
        <v>227</v>
      </c>
      <c r="B4135" t="s">
        <v>11073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x14ac:dyDescent="0.25">
      <c r="A4136" t="s">
        <v>227</v>
      </c>
      <c r="B4136" t="s">
        <v>11073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x14ac:dyDescent="0.25">
      <c r="A4137" t="s">
        <v>227</v>
      </c>
      <c r="B4137" t="s">
        <v>11073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x14ac:dyDescent="0.25">
      <c r="A4138" t="s">
        <v>227</v>
      </c>
      <c r="B4138" t="s">
        <v>11073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x14ac:dyDescent="0.25">
      <c r="A4139" t="s">
        <v>227</v>
      </c>
      <c r="B4139" t="s">
        <v>11073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x14ac:dyDescent="0.25">
      <c r="A4140" t="s">
        <v>227</v>
      </c>
      <c r="B4140" t="s">
        <v>11073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x14ac:dyDescent="0.25">
      <c r="A4141" t="s">
        <v>227</v>
      </c>
      <c r="B4141" t="s">
        <v>11073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x14ac:dyDescent="0.25">
      <c r="A4142" t="s">
        <v>227</v>
      </c>
      <c r="B4142" t="s">
        <v>11073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x14ac:dyDescent="0.25">
      <c r="A4143" t="s">
        <v>227</v>
      </c>
      <c r="B4143" t="s">
        <v>11073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x14ac:dyDescent="0.25">
      <c r="A4144" t="s">
        <v>227</v>
      </c>
      <c r="B4144" t="s">
        <v>11073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x14ac:dyDescent="0.25">
      <c r="A4145" t="s">
        <v>227</v>
      </c>
      <c r="B4145" t="s">
        <v>11073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x14ac:dyDescent="0.25">
      <c r="A4146" t="s">
        <v>227</v>
      </c>
      <c r="B4146" t="s">
        <v>11073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x14ac:dyDescent="0.25">
      <c r="A4147" t="s">
        <v>4921</v>
      </c>
      <c r="B4147" t="s">
        <v>11073</v>
      </c>
      <c r="C4147" t="s">
        <v>51</v>
      </c>
      <c r="F4147" t="s">
        <v>10683</v>
      </c>
      <c r="G4147" t="s">
        <v>894</v>
      </c>
    </row>
    <row r="4148" spans="1:7" x14ac:dyDescent="0.25">
      <c r="A4148" t="s">
        <v>587</v>
      </c>
      <c r="B4148" t="s">
        <v>11073</v>
      </c>
      <c r="C4148" t="s">
        <v>51</v>
      </c>
      <c r="F4148" t="s">
        <v>10686</v>
      </c>
      <c r="G4148" t="s">
        <v>894</v>
      </c>
    </row>
    <row r="4149" spans="1:7" x14ac:dyDescent="0.25">
      <c r="A4149" t="s">
        <v>4</v>
      </c>
      <c r="B4149" t="s">
        <v>8</v>
      </c>
      <c r="F4149" t="s">
        <v>10692</v>
      </c>
      <c r="G4149" t="s">
        <v>894</v>
      </c>
    </row>
    <row r="4150" spans="1:7" x14ac:dyDescent="0.25">
      <c r="A4150" t="s">
        <v>4</v>
      </c>
      <c r="B4150" t="s">
        <v>11077</v>
      </c>
      <c r="F4150" t="s">
        <v>10695</v>
      </c>
      <c r="G4150" t="s">
        <v>895</v>
      </c>
    </row>
    <row r="4151" spans="1:7" x14ac:dyDescent="0.25">
      <c r="A4151" t="s">
        <v>587</v>
      </c>
      <c r="B4151" t="s">
        <v>11077</v>
      </c>
      <c r="F4151" t="s">
        <v>10698</v>
      </c>
      <c r="G4151" t="s">
        <v>895</v>
      </c>
    </row>
    <row r="4152" spans="1:7" x14ac:dyDescent="0.25">
      <c r="A4152" t="s">
        <v>4</v>
      </c>
      <c r="B4152" t="s">
        <v>11078</v>
      </c>
      <c r="F4152" t="s">
        <v>10701</v>
      </c>
      <c r="G4152" t="s">
        <v>895</v>
      </c>
    </row>
    <row r="4153" spans="1:7" x14ac:dyDescent="0.25">
      <c r="A4153" t="s">
        <v>4</v>
      </c>
      <c r="B4153" t="s">
        <v>11078</v>
      </c>
      <c r="F4153" t="s">
        <v>10704</v>
      </c>
      <c r="G4153" t="s">
        <v>895</v>
      </c>
    </row>
    <row r="4154" spans="1:7" x14ac:dyDescent="0.25">
      <c r="A4154" t="s">
        <v>4</v>
      </c>
      <c r="B4154" t="s">
        <v>8</v>
      </c>
      <c r="F4154" t="s">
        <v>10707</v>
      </c>
      <c r="G4154" t="s">
        <v>895</v>
      </c>
    </row>
    <row r="4155" spans="1:7" x14ac:dyDescent="0.25">
      <c r="A4155" t="s">
        <v>1539</v>
      </c>
      <c r="F4155" t="s">
        <v>10710</v>
      </c>
      <c r="G4155" t="s">
        <v>896</v>
      </c>
    </row>
    <row r="4156" spans="1:7" x14ac:dyDescent="0.25">
      <c r="A4156" t="s">
        <v>1539</v>
      </c>
      <c r="F4156" t="s">
        <v>10713</v>
      </c>
      <c r="G4156" t="s">
        <v>896</v>
      </c>
    </row>
    <row r="4157" spans="1:7" x14ac:dyDescent="0.25">
      <c r="A4157" t="s">
        <v>1539</v>
      </c>
      <c r="F4157" t="s">
        <v>10716</v>
      </c>
      <c r="G4157" t="s">
        <v>896</v>
      </c>
    </row>
    <row r="4158" spans="1:7" x14ac:dyDescent="0.25">
      <c r="A4158" t="s">
        <v>7</v>
      </c>
      <c r="F4158" t="s">
        <v>10719</v>
      </c>
      <c r="G4158" t="s">
        <v>896</v>
      </c>
    </row>
    <row r="4159" spans="1:7" x14ac:dyDescent="0.25">
      <c r="A4159" t="s">
        <v>7</v>
      </c>
      <c r="F4159" t="s">
        <v>10722</v>
      </c>
      <c r="G4159" t="s">
        <v>896</v>
      </c>
    </row>
    <row r="4160" spans="1:7" x14ac:dyDescent="0.25">
      <c r="A4160" t="s">
        <v>4</v>
      </c>
      <c r="B4160" t="s">
        <v>8</v>
      </c>
      <c r="F4160" t="s">
        <v>10725</v>
      </c>
      <c r="G4160" t="s">
        <v>896</v>
      </c>
    </row>
    <row r="4161" spans="1:7" x14ac:dyDescent="0.25">
      <c r="A4161" t="s">
        <v>226</v>
      </c>
      <c r="B4161" t="s">
        <v>11072</v>
      </c>
      <c r="C4161" t="s">
        <v>165</v>
      </c>
      <c r="D4161">
        <v>2</v>
      </c>
      <c r="F4161" t="s">
        <v>10764</v>
      </c>
      <c r="G4161" t="s">
        <v>897</v>
      </c>
    </row>
    <row r="4162" spans="1:7" x14ac:dyDescent="0.25">
      <c r="A4162" t="s">
        <v>4</v>
      </c>
      <c r="B4162" t="s">
        <v>8</v>
      </c>
      <c r="F4162" t="s">
        <v>10767</v>
      </c>
      <c r="G4162" t="s">
        <v>897</v>
      </c>
    </row>
    <row r="4163" spans="1:7" x14ac:dyDescent="0.25">
      <c r="A4163" t="s">
        <v>4</v>
      </c>
      <c r="B4163" t="s">
        <v>8</v>
      </c>
      <c r="F4163" t="s">
        <v>10770</v>
      </c>
      <c r="G4163" t="s">
        <v>897</v>
      </c>
    </row>
    <row r="4164" spans="1:7" x14ac:dyDescent="0.25">
      <c r="A4164" t="s">
        <v>137</v>
      </c>
      <c r="B4164" t="s">
        <v>11071</v>
      </c>
      <c r="F4164" t="s">
        <v>10773</v>
      </c>
      <c r="G4164" t="s">
        <v>897</v>
      </c>
    </row>
    <row r="4165" spans="1:7" x14ac:dyDescent="0.25">
      <c r="A4165" t="s">
        <v>4</v>
      </c>
      <c r="B4165" t="s">
        <v>11079</v>
      </c>
      <c r="F4165" t="s">
        <v>10776</v>
      </c>
      <c r="G4165" t="s">
        <v>897</v>
      </c>
    </row>
    <row r="4166" spans="1:7" x14ac:dyDescent="0.25">
      <c r="A4166" t="s">
        <v>4</v>
      </c>
      <c r="B4166" t="s">
        <v>8</v>
      </c>
      <c r="F4166" t="s">
        <v>10779</v>
      </c>
      <c r="G4166" t="s">
        <v>897</v>
      </c>
    </row>
    <row r="4167" spans="1:7" x14ac:dyDescent="0.25">
      <c r="A4167" t="s">
        <v>7</v>
      </c>
      <c r="F4167" t="s">
        <v>10782</v>
      </c>
      <c r="G4167" t="s">
        <v>897</v>
      </c>
    </row>
    <row r="4168" spans="1:7" x14ac:dyDescent="0.25">
      <c r="A4168" t="s">
        <v>4</v>
      </c>
      <c r="B4168" t="s">
        <v>8</v>
      </c>
      <c r="F4168" t="s">
        <v>10785</v>
      </c>
      <c r="G4168" t="s">
        <v>897</v>
      </c>
    </row>
    <row r="4169" spans="1:7" x14ac:dyDescent="0.25">
      <c r="A4169" t="s">
        <v>1627</v>
      </c>
      <c r="B4169" t="s">
        <v>687</v>
      </c>
      <c r="F4169" t="s">
        <v>10728</v>
      </c>
      <c r="G4169" t="s">
        <v>12648</v>
      </c>
    </row>
    <row r="4170" spans="1:7" x14ac:dyDescent="0.25">
      <c r="A4170" t="s">
        <v>3386</v>
      </c>
      <c r="B4170" t="s">
        <v>86</v>
      </c>
      <c r="C4170" t="s">
        <v>11080</v>
      </c>
      <c r="F4170" t="s">
        <v>10730</v>
      </c>
      <c r="G4170" t="s">
        <v>12648</v>
      </c>
    </row>
    <row r="4171" spans="1:7" x14ac:dyDescent="0.25">
      <c r="A4171" t="s">
        <v>4</v>
      </c>
      <c r="B4171" t="s">
        <v>9</v>
      </c>
      <c r="F4171" t="s">
        <v>10732</v>
      </c>
      <c r="G4171" t="s">
        <v>12648</v>
      </c>
    </row>
    <row r="4172" spans="1:7" x14ac:dyDescent="0.25">
      <c r="A4172" t="s">
        <v>4</v>
      </c>
      <c r="B4172" t="s">
        <v>11081</v>
      </c>
      <c r="F4172" t="s">
        <v>10734</v>
      </c>
      <c r="G4172" t="s">
        <v>12648</v>
      </c>
    </row>
    <row r="4173" spans="1:7" x14ac:dyDescent="0.25">
      <c r="A4173" t="s">
        <v>4</v>
      </c>
      <c r="B4173" t="s">
        <v>6157</v>
      </c>
      <c r="F4173" t="s">
        <v>10736</v>
      </c>
      <c r="G4173" t="s">
        <v>12648</v>
      </c>
    </row>
    <row r="4174" spans="1:7" x14ac:dyDescent="0.25">
      <c r="A4174" t="s">
        <v>4</v>
      </c>
      <c r="B4174" t="s">
        <v>6157</v>
      </c>
      <c r="F4174" t="s">
        <v>10738</v>
      </c>
      <c r="G4174" t="s">
        <v>12648</v>
      </c>
    </row>
    <row r="4175" spans="1:7" x14ac:dyDescent="0.25">
      <c r="A4175" t="s">
        <v>4</v>
      </c>
      <c r="B4175" t="s">
        <v>6157</v>
      </c>
      <c r="F4175" t="s">
        <v>10740</v>
      </c>
      <c r="G4175" t="s">
        <v>12648</v>
      </c>
    </row>
    <row r="4176" spans="1:7" x14ac:dyDescent="0.25">
      <c r="A4176" t="s">
        <v>4</v>
      </c>
      <c r="B4176" t="s">
        <v>6157</v>
      </c>
      <c r="F4176" t="s">
        <v>10742</v>
      </c>
      <c r="G4176" t="s">
        <v>12648</v>
      </c>
    </row>
    <row r="4177" spans="1:7" x14ac:dyDescent="0.25">
      <c r="A4177" t="s">
        <v>4</v>
      </c>
      <c r="B4177" t="s">
        <v>468</v>
      </c>
      <c r="F4177" t="s">
        <v>10744</v>
      </c>
      <c r="G4177" t="s">
        <v>12648</v>
      </c>
    </row>
    <row r="4178" spans="1:7" x14ac:dyDescent="0.25">
      <c r="A4178" t="s">
        <v>4</v>
      </c>
      <c r="B4178" t="s">
        <v>9</v>
      </c>
      <c r="F4178" t="s">
        <v>10748</v>
      </c>
      <c r="G4178" t="s">
        <v>12649</v>
      </c>
    </row>
    <row r="4179" spans="1:7" x14ac:dyDescent="0.25">
      <c r="A4179" t="s">
        <v>4</v>
      </c>
      <c r="B4179" t="s">
        <v>9</v>
      </c>
      <c r="F4179" t="s">
        <v>10750</v>
      </c>
      <c r="G4179" t="s">
        <v>12649</v>
      </c>
    </row>
    <row r="4180" spans="1:7" x14ac:dyDescent="0.25">
      <c r="A4180" t="s">
        <v>4</v>
      </c>
      <c r="B4180" t="s">
        <v>9</v>
      </c>
      <c r="F4180" t="s">
        <v>10752</v>
      </c>
      <c r="G4180" t="s">
        <v>12649</v>
      </c>
    </row>
    <row r="4181" spans="1:7" x14ac:dyDescent="0.25">
      <c r="A4181" t="s">
        <v>1627</v>
      </c>
      <c r="B4181" t="s">
        <v>1058</v>
      </c>
      <c r="F4181" t="s">
        <v>10754</v>
      </c>
      <c r="G4181" t="s">
        <v>12649</v>
      </c>
    </row>
    <row r="4182" spans="1:7" x14ac:dyDescent="0.25">
      <c r="A4182" t="s">
        <v>1627</v>
      </c>
      <c r="B4182" t="s">
        <v>1058</v>
      </c>
      <c r="F4182" t="s">
        <v>10756</v>
      </c>
      <c r="G4182" t="s">
        <v>12649</v>
      </c>
    </row>
    <row r="4183" spans="1:7" x14ac:dyDescent="0.25">
      <c r="A4183" t="s">
        <v>1627</v>
      </c>
      <c r="B4183" t="s">
        <v>1058</v>
      </c>
      <c r="F4183" t="s">
        <v>10758</v>
      </c>
      <c r="G4183" t="s">
        <v>12649</v>
      </c>
    </row>
    <row r="4184" spans="1:7" x14ac:dyDescent="0.25">
      <c r="A4184" t="s">
        <v>1627</v>
      </c>
      <c r="B4184" t="s">
        <v>1058</v>
      </c>
      <c r="F4184" t="s">
        <v>10760</v>
      </c>
      <c r="G4184" t="s">
        <v>12649</v>
      </c>
    </row>
    <row r="4185" spans="1:7" x14ac:dyDescent="0.25">
      <c r="A4185" t="s">
        <v>4</v>
      </c>
      <c r="B4185" t="s">
        <v>9</v>
      </c>
      <c r="F4185" t="s">
        <v>10762</v>
      </c>
      <c r="G4185" t="s">
        <v>12649</v>
      </c>
    </row>
    <row r="4186" spans="1:7" x14ac:dyDescent="0.25">
      <c r="A4186" t="s">
        <v>9137</v>
      </c>
      <c r="B4186" t="s">
        <v>86</v>
      </c>
      <c r="F4186" t="s">
        <v>10801</v>
      </c>
      <c r="G4186" t="s">
        <v>12650</v>
      </c>
    </row>
    <row r="4187" spans="1:7" x14ac:dyDescent="0.25">
      <c r="A4187" t="s">
        <v>4</v>
      </c>
      <c r="B4187" t="s">
        <v>8</v>
      </c>
      <c r="F4187" t="s">
        <v>10803</v>
      </c>
      <c r="G4187" t="s">
        <v>12650</v>
      </c>
    </row>
    <row r="4188" spans="1:7" x14ac:dyDescent="0.25">
      <c r="A4188" t="s">
        <v>4</v>
      </c>
      <c r="B4188" t="s">
        <v>8</v>
      </c>
      <c r="F4188" t="s">
        <v>10805</v>
      </c>
      <c r="G4188" t="s">
        <v>12650</v>
      </c>
    </row>
    <row r="4189" spans="1:7" x14ac:dyDescent="0.25">
      <c r="A4189" t="s">
        <v>1273</v>
      </c>
      <c r="B4189" t="s">
        <v>11075</v>
      </c>
      <c r="F4189" t="s">
        <v>10807</v>
      </c>
      <c r="G4189" t="s">
        <v>12650</v>
      </c>
    </row>
    <row r="4190" spans="1:7" x14ac:dyDescent="0.25">
      <c r="A4190" t="s">
        <v>226</v>
      </c>
      <c r="B4190" t="s">
        <v>11075</v>
      </c>
      <c r="C4190" t="s">
        <v>58</v>
      </c>
      <c r="D4190">
        <v>1</v>
      </c>
      <c r="F4190" t="s">
        <v>10809</v>
      </c>
      <c r="G4190" t="s">
        <v>12650</v>
      </c>
    </row>
    <row r="4191" spans="1:7" x14ac:dyDescent="0.25">
      <c r="A4191" t="s">
        <v>226</v>
      </c>
      <c r="B4191" t="s">
        <v>11075</v>
      </c>
      <c r="C4191" t="s">
        <v>58</v>
      </c>
      <c r="D4191">
        <v>2</v>
      </c>
      <c r="F4191" t="s">
        <v>10812</v>
      </c>
      <c r="G4191" t="s">
        <v>12650</v>
      </c>
    </row>
    <row r="4192" spans="1:7" x14ac:dyDescent="0.25">
      <c r="A4192" t="s">
        <v>587</v>
      </c>
      <c r="B4192" t="s">
        <v>11075</v>
      </c>
      <c r="F4192" t="s">
        <v>10815</v>
      </c>
      <c r="G4192" t="s">
        <v>12650</v>
      </c>
    </row>
    <row r="4193" spans="1:7" x14ac:dyDescent="0.25">
      <c r="A4193" t="s">
        <v>7354</v>
      </c>
      <c r="B4193" t="s">
        <v>468</v>
      </c>
      <c r="F4193" t="s">
        <v>10817</v>
      </c>
      <c r="G4193" t="s">
        <v>12650</v>
      </c>
    </row>
    <row r="4194" spans="1:7" x14ac:dyDescent="0.25">
      <c r="A4194" t="s">
        <v>7354</v>
      </c>
      <c r="B4194" t="s">
        <v>468</v>
      </c>
      <c r="F4194" t="s">
        <v>10819</v>
      </c>
      <c r="G4194" t="s">
        <v>12650</v>
      </c>
    </row>
    <row r="4195" spans="1:7" x14ac:dyDescent="0.25">
      <c r="A4195" t="s">
        <v>7354</v>
      </c>
      <c r="B4195" t="s">
        <v>468</v>
      </c>
      <c r="F4195" t="s">
        <v>10821</v>
      </c>
      <c r="G4195" t="s">
        <v>12650</v>
      </c>
    </row>
    <row r="4196" spans="1:7" x14ac:dyDescent="0.25">
      <c r="A4196" t="s">
        <v>4</v>
      </c>
      <c r="B4196" t="s">
        <v>8</v>
      </c>
      <c r="F4196" t="s">
        <v>10823</v>
      </c>
      <c r="G4196" t="s">
        <v>12650</v>
      </c>
    </row>
    <row r="4197" spans="1:7" x14ac:dyDescent="0.25">
      <c r="A4197" t="s">
        <v>11082</v>
      </c>
      <c r="B4197" t="s">
        <v>86</v>
      </c>
      <c r="F4197" t="s">
        <v>10788</v>
      </c>
      <c r="G4197" t="s">
        <v>12651</v>
      </c>
    </row>
    <row r="4198" spans="1:7" x14ac:dyDescent="0.25">
      <c r="A4198" t="s">
        <v>11082</v>
      </c>
      <c r="B4198" t="s">
        <v>86</v>
      </c>
      <c r="F4198" t="s">
        <v>10790</v>
      </c>
      <c r="G4198" t="s">
        <v>12651</v>
      </c>
    </row>
    <row r="4199" spans="1:7" x14ac:dyDescent="0.25">
      <c r="A4199" t="s">
        <v>4</v>
      </c>
      <c r="B4199" t="s">
        <v>8</v>
      </c>
      <c r="F4199" t="s">
        <v>10792</v>
      </c>
      <c r="G4199" t="s">
        <v>12651</v>
      </c>
    </row>
    <row r="4200" spans="1:7" x14ac:dyDescent="0.25">
      <c r="A4200" t="s">
        <v>11078</v>
      </c>
      <c r="B4200" t="s">
        <v>86</v>
      </c>
      <c r="F4200" t="s">
        <v>10794</v>
      </c>
      <c r="G4200" t="s">
        <v>12651</v>
      </c>
    </row>
    <row r="4201" spans="1:7" x14ac:dyDescent="0.25">
      <c r="A4201" t="s">
        <v>11078</v>
      </c>
      <c r="B4201" t="s">
        <v>86</v>
      </c>
      <c r="F4201" t="s">
        <v>10796</v>
      </c>
      <c r="G4201" t="s">
        <v>12651</v>
      </c>
    </row>
    <row r="4202" spans="1:7" x14ac:dyDescent="0.25">
      <c r="A4202" t="s">
        <v>11078</v>
      </c>
      <c r="B4202" t="s">
        <v>86</v>
      </c>
      <c r="F4202" t="s">
        <v>10798</v>
      </c>
      <c r="G4202" t="s">
        <v>12651</v>
      </c>
    </row>
    <row r="4203" spans="1:7" x14ac:dyDescent="0.25">
      <c r="A4203" t="s">
        <v>4</v>
      </c>
      <c r="B4203" t="s">
        <v>8</v>
      </c>
      <c r="F4203" t="s">
        <v>10800</v>
      </c>
      <c r="G4203" t="s">
        <v>12651</v>
      </c>
    </row>
    <row r="4204" spans="1:7" x14ac:dyDescent="0.25">
      <c r="A4204" t="s">
        <v>12</v>
      </c>
      <c r="F4204" t="s">
        <v>10825</v>
      </c>
      <c r="G4204" t="s">
        <v>1537</v>
      </c>
    </row>
    <row r="4205" spans="1:7" x14ac:dyDescent="0.25">
      <c r="A4205" t="s">
        <v>12</v>
      </c>
      <c r="F4205" t="s">
        <v>10828</v>
      </c>
      <c r="G4205" t="s">
        <v>1537</v>
      </c>
    </row>
    <row r="4206" spans="1:7" x14ac:dyDescent="0.25">
      <c r="A4206" t="s">
        <v>4</v>
      </c>
      <c r="B4206" t="s">
        <v>8</v>
      </c>
      <c r="F4206" t="s">
        <v>10831</v>
      </c>
      <c r="G4206" t="s">
        <v>1537</v>
      </c>
    </row>
    <row r="4207" spans="1:7" x14ac:dyDescent="0.25">
      <c r="A4207" t="s">
        <v>4</v>
      </c>
      <c r="B4207" t="s">
        <v>8</v>
      </c>
      <c r="F4207" t="s">
        <v>10834</v>
      </c>
      <c r="G4207" t="s">
        <v>1537</v>
      </c>
    </row>
    <row r="4208" spans="1:7" x14ac:dyDescent="0.25">
      <c r="A4208" t="s">
        <v>7</v>
      </c>
      <c r="F4208" t="s">
        <v>10837</v>
      </c>
      <c r="G4208" t="s">
        <v>1537</v>
      </c>
    </row>
    <row r="4209" spans="1:7" x14ac:dyDescent="0.25">
      <c r="A4209" t="s">
        <v>4</v>
      </c>
      <c r="B4209" t="s">
        <v>8</v>
      </c>
      <c r="F4209" t="s">
        <v>10840</v>
      </c>
      <c r="G4209" t="s">
        <v>1537</v>
      </c>
    </row>
    <row r="4210" spans="1:7" x14ac:dyDescent="0.25">
      <c r="A4210" t="s">
        <v>1607</v>
      </c>
      <c r="B4210" t="s">
        <v>8</v>
      </c>
      <c r="F4210" t="s">
        <v>10858</v>
      </c>
      <c r="G4210" t="s">
        <v>1600</v>
      </c>
    </row>
    <row r="4211" spans="1:7" x14ac:dyDescent="0.25">
      <c r="A4211" t="s">
        <v>11078</v>
      </c>
      <c r="B4211" t="s">
        <v>86</v>
      </c>
      <c r="F4211" t="s">
        <v>10861</v>
      </c>
      <c r="G4211" t="s">
        <v>1600</v>
      </c>
    </row>
    <row r="4212" spans="1:7" x14ac:dyDescent="0.25">
      <c r="A4212" t="s">
        <v>11078</v>
      </c>
      <c r="B4212" t="s">
        <v>86</v>
      </c>
      <c r="F4212" t="s">
        <v>10864</v>
      </c>
      <c r="G4212" t="s">
        <v>1600</v>
      </c>
    </row>
    <row r="4213" spans="1:7" x14ac:dyDescent="0.25">
      <c r="A4213" t="s">
        <v>4</v>
      </c>
      <c r="B4213" t="s">
        <v>8</v>
      </c>
      <c r="F4213" t="s">
        <v>10867</v>
      </c>
      <c r="G4213" t="s">
        <v>1600</v>
      </c>
    </row>
    <row r="4214" spans="1:7" x14ac:dyDescent="0.25">
      <c r="A4214" t="s">
        <v>4</v>
      </c>
      <c r="B4214" t="s">
        <v>11084</v>
      </c>
      <c r="F4214" t="s">
        <v>10870</v>
      </c>
      <c r="G4214" t="s">
        <v>11083</v>
      </c>
    </row>
    <row r="4215" spans="1:7" x14ac:dyDescent="0.25">
      <c r="A4215" t="s">
        <v>1607</v>
      </c>
      <c r="B4215" t="s">
        <v>11084</v>
      </c>
      <c r="F4215" t="s">
        <v>10573</v>
      </c>
      <c r="G4215" t="s">
        <v>11083</v>
      </c>
    </row>
    <row r="4216" spans="1:7" x14ac:dyDescent="0.25">
      <c r="A4216" t="s">
        <v>4</v>
      </c>
      <c r="B4216" t="s">
        <v>11071</v>
      </c>
      <c r="F4216" t="s">
        <v>10576</v>
      </c>
      <c r="G4216" t="s">
        <v>11083</v>
      </c>
    </row>
    <row r="4217" spans="1:7" x14ac:dyDescent="0.25">
      <c r="A4217" t="s">
        <v>1607</v>
      </c>
      <c r="B4217" t="s">
        <v>11084</v>
      </c>
      <c r="F4217" t="s">
        <v>10579</v>
      </c>
      <c r="G4217" t="s">
        <v>11083</v>
      </c>
    </row>
    <row r="4218" spans="1:7" x14ac:dyDescent="0.25">
      <c r="A4218" t="s">
        <v>4</v>
      </c>
      <c r="B4218" t="s">
        <v>8</v>
      </c>
      <c r="E4218" t="s">
        <v>2352</v>
      </c>
      <c r="F4218" t="s">
        <v>10843</v>
      </c>
      <c r="G4218" t="s">
        <v>10022</v>
      </c>
    </row>
    <row r="4219" spans="1:7" x14ac:dyDescent="0.25">
      <c r="A4219" t="s">
        <v>4</v>
      </c>
      <c r="B4219" t="s">
        <v>8</v>
      </c>
      <c r="E4219" t="s">
        <v>2352</v>
      </c>
      <c r="F4219" t="s">
        <v>10846</v>
      </c>
      <c r="G4219" t="s">
        <v>10022</v>
      </c>
    </row>
    <row r="4220" spans="1:7" x14ac:dyDescent="0.25">
      <c r="A4220" t="s">
        <v>4</v>
      </c>
      <c r="B4220" t="s">
        <v>8</v>
      </c>
      <c r="E4220" t="s">
        <v>2352</v>
      </c>
      <c r="F4220" t="s">
        <v>10849</v>
      </c>
      <c r="G4220" t="s">
        <v>10022</v>
      </c>
    </row>
    <row r="4221" spans="1:7" x14ac:dyDescent="0.25">
      <c r="A4221" t="s">
        <v>4</v>
      </c>
      <c r="B4221" t="s">
        <v>8</v>
      </c>
      <c r="E4221" t="s">
        <v>2352</v>
      </c>
      <c r="F4221" t="s">
        <v>10852</v>
      </c>
      <c r="G4221" t="s">
        <v>10022</v>
      </c>
    </row>
    <row r="4222" spans="1:7" x14ac:dyDescent="0.25">
      <c r="A4222" t="s">
        <v>4</v>
      </c>
      <c r="B4222" t="s">
        <v>8</v>
      </c>
      <c r="E4222" t="s">
        <v>2352</v>
      </c>
      <c r="F4222" t="s">
        <v>10855</v>
      </c>
      <c r="G4222" t="s">
        <v>10022</v>
      </c>
    </row>
    <row r="4223" spans="1:7" x14ac:dyDescent="0.25">
      <c r="A4223" t="s">
        <v>4</v>
      </c>
      <c r="B4223" t="s">
        <v>11086</v>
      </c>
      <c r="F4223" t="s">
        <v>10873</v>
      </c>
      <c r="G4223" t="s">
        <v>11085</v>
      </c>
    </row>
    <row r="4224" spans="1:7" x14ac:dyDescent="0.25">
      <c r="A4224" t="s">
        <v>1607</v>
      </c>
      <c r="B4224" t="s">
        <v>11086</v>
      </c>
      <c r="E4224" t="s">
        <v>11087</v>
      </c>
      <c r="F4224" t="s">
        <v>10876</v>
      </c>
      <c r="G4224" t="s">
        <v>11085</v>
      </c>
    </row>
    <row r="4225" spans="1:7" x14ac:dyDescent="0.25">
      <c r="A4225" t="s">
        <v>1607</v>
      </c>
      <c r="B4225" t="s">
        <v>11086</v>
      </c>
      <c r="E4225" t="s">
        <v>11087</v>
      </c>
      <c r="F4225" t="s">
        <v>10879</v>
      </c>
      <c r="G4225" t="s">
        <v>11085</v>
      </c>
    </row>
    <row r="4226" spans="1:7" x14ac:dyDescent="0.25">
      <c r="A4226" t="s">
        <v>1607</v>
      </c>
      <c r="B4226" t="s">
        <v>11086</v>
      </c>
      <c r="F4226" t="s">
        <v>10882</v>
      </c>
      <c r="G4226" t="s">
        <v>11085</v>
      </c>
    </row>
    <row r="4227" spans="1:7" x14ac:dyDescent="0.25">
      <c r="A4227" t="s">
        <v>4</v>
      </c>
      <c r="B4227" t="s">
        <v>468</v>
      </c>
      <c r="F4227" t="s">
        <v>10885</v>
      </c>
      <c r="G4227" t="s">
        <v>11085</v>
      </c>
    </row>
    <row r="4228" spans="1:7" x14ac:dyDescent="0.25">
      <c r="A4228" t="s">
        <v>11089</v>
      </c>
      <c r="B4228" t="s">
        <v>11071</v>
      </c>
      <c r="F4228" t="s">
        <v>10888</v>
      </c>
      <c r="G4228" t="s">
        <v>11088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11088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11088</v>
      </c>
    </row>
    <row r="4231" spans="1:7" x14ac:dyDescent="0.25">
      <c r="A4231" t="s">
        <v>4</v>
      </c>
      <c r="B4231" t="s">
        <v>8</v>
      </c>
      <c r="F4231" t="s">
        <v>10896</v>
      </c>
      <c r="G4231" t="s">
        <v>11088</v>
      </c>
    </row>
    <row r="4232" spans="1:7" x14ac:dyDescent="0.25">
      <c r="A4232" t="s">
        <v>11078</v>
      </c>
      <c r="B4232" t="s">
        <v>86</v>
      </c>
      <c r="F4232" t="s">
        <v>10899</v>
      </c>
      <c r="G4232" t="s">
        <v>11088</v>
      </c>
    </row>
    <row r="4233" spans="1:7" x14ac:dyDescent="0.25">
      <c r="A4233" t="s">
        <v>11089</v>
      </c>
      <c r="B4233" t="s">
        <v>11071</v>
      </c>
      <c r="F4233" t="s">
        <v>10902</v>
      </c>
      <c r="G4233" t="s">
        <v>11088</v>
      </c>
    </row>
    <row r="4234" spans="1:7" x14ac:dyDescent="0.25">
      <c r="A4234" t="s">
        <v>11090</v>
      </c>
      <c r="B4234" t="s">
        <v>11071</v>
      </c>
      <c r="F4234" t="s">
        <v>10905</v>
      </c>
      <c r="G4234" t="s">
        <v>11088</v>
      </c>
    </row>
  </sheetData>
  <phoneticPr fontId="2" type="noConversion"/>
  <conditionalFormatting sqref="C2:C11 C14 C16:C18 C23:C24">
    <cfRule type="notContainsText" dxfId="706" priority="616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05" priority="615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04" priority="614" operator="notContains" text="порожний">
      <formula>ISERROR(SEARCH("порожний",C12))</formula>
    </cfRule>
  </conditionalFormatting>
  <conditionalFormatting sqref="B12:B14">
    <cfRule type="containsText" dxfId="703" priority="613" operator="containsText" text="Выезд с территории">
      <formula>NOT(ISERROR(SEARCH("Выезд с территории",B12)))</formula>
    </cfRule>
  </conditionalFormatting>
  <conditionalFormatting sqref="C15">
    <cfRule type="notContainsText" dxfId="702" priority="612" operator="notContains" text="порожний">
      <formula>ISERROR(SEARCH("порожний",C15))</formula>
    </cfRule>
  </conditionalFormatting>
  <conditionalFormatting sqref="C19:C22">
    <cfRule type="notContainsText" dxfId="701" priority="611" operator="notContains" text="порожний">
      <formula>ISERROR(SEARCH("порожний",C19))</formula>
    </cfRule>
  </conditionalFormatting>
  <conditionalFormatting sqref="C25">
    <cfRule type="notContainsText" dxfId="700" priority="610" operator="notContains" text="порожний">
      <formula>ISERROR(SEARCH("порожний",C25))</formula>
    </cfRule>
  </conditionalFormatting>
  <conditionalFormatting sqref="C26:C27">
    <cfRule type="notContainsText" dxfId="699" priority="609" operator="notContains" text="порожний">
      <formula>ISERROR(SEARCH("порожний",C26))</formula>
    </cfRule>
  </conditionalFormatting>
  <conditionalFormatting sqref="C29">
    <cfRule type="notContainsText" dxfId="698" priority="608" operator="notContains" text="порожний">
      <formula>ISERROR(SEARCH("порожний",C29))</formula>
    </cfRule>
  </conditionalFormatting>
  <conditionalFormatting sqref="C39">
    <cfRule type="notContainsText" dxfId="697" priority="603" operator="notContains" text="порожний">
      <formula>ISERROR(SEARCH("порожний",C39))</formula>
    </cfRule>
  </conditionalFormatting>
  <conditionalFormatting sqref="C32">
    <cfRule type="notContainsText" dxfId="696" priority="607" operator="notContains" text="порожний">
      <formula>ISERROR(SEARCH("порожний",C32))</formula>
    </cfRule>
  </conditionalFormatting>
  <conditionalFormatting sqref="C34">
    <cfRule type="notContainsText" dxfId="695" priority="606" operator="notContains" text="порожний">
      <formula>ISERROR(SEARCH("порожний",C34))</formula>
    </cfRule>
  </conditionalFormatting>
  <conditionalFormatting sqref="C36">
    <cfRule type="notContainsText" dxfId="694" priority="605" operator="notContains" text="порожний">
      <formula>ISERROR(SEARCH("порожний",C36))</formula>
    </cfRule>
  </conditionalFormatting>
  <conditionalFormatting sqref="C38">
    <cfRule type="notContainsText" dxfId="693" priority="604" operator="notContains" text="порожний">
      <formula>ISERROR(SEARCH("порожний",C38))</formula>
    </cfRule>
  </conditionalFormatting>
  <conditionalFormatting sqref="E147">
    <cfRule type="containsText" dxfId="692" priority="602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691" priority="601" operator="notContains" text="порожний">
      <formula>ISERROR(SEARCH("порожний",C581))</formula>
    </cfRule>
  </conditionalFormatting>
  <conditionalFormatting sqref="C586">
    <cfRule type="notContainsText" dxfId="690" priority="600" operator="notContains" text="порожний">
      <formula>ISERROR(SEARCH("порожний",C586))</formula>
    </cfRule>
  </conditionalFormatting>
  <conditionalFormatting sqref="B609">
    <cfRule type="containsText" dxfId="689" priority="599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688" priority="597" operator="containsText" text="Газель базы">
      <formula>NOT(ISERROR(SEARCH("Газель базы",B609)))</formula>
    </cfRule>
    <cfRule type="containsText" dxfId="687" priority="598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686" priority="596" operator="containsText" text="Трактор базы">
      <formula>NOT(ISERROR(SEARCH("Трактор базы",B609)))</formula>
    </cfRule>
  </conditionalFormatting>
  <conditionalFormatting sqref="B614">
    <cfRule type="containsText" dxfId="685" priority="592" operator="containsText" text="Трактор базы">
      <formula>NOT(ISERROR(SEARCH("Трактор базы",B614)))</formula>
    </cfRule>
  </conditionalFormatting>
  <conditionalFormatting sqref="B614">
    <cfRule type="containsText" dxfId="684" priority="595" operator="containsText" text="Выезд с территории">
      <formula>NOT(ISERROR(SEARCH("Выезд с территории",B614)))</formula>
    </cfRule>
  </conditionalFormatting>
  <conditionalFormatting sqref="B614">
    <cfRule type="containsText" dxfId="683" priority="593" operator="containsText" text="Газель базы">
      <formula>NOT(ISERROR(SEARCH("Газель базы",B614)))</formula>
    </cfRule>
    <cfRule type="containsText" dxfId="682" priority="594" operator="containsText" text="Погрузчик базы">
      <formula>NOT(ISERROR(SEARCH("Погрузчик базы",B614)))</formula>
    </cfRule>
  </conditionalFormatting>
  <conditionalFormatting sqref="C649">
    <cfRule type="notContainsText" dxfId="681" priority="591" operator="notContains" text="порожний">
      <formula>ISERROR(SEARCH("порожний",C649))</formula>
    </cfRule>
  </conditionalFormatting>
  <conditionalFormatting sqref="C655">
    <cfRule type="notContainsText" dxfId="680" priority="588" operator="notContains" text="порожний">
      <formula>ISERROR(SEARCH("порожний",C655))</formula>
    </cfRule>
  </conditionalFormatting>
  <conditionalFormatting sqref="C650">
    <cfRule type="notContainsText" dxfId="679" priority="590" operator="notContains" text="порожний">
      <formula>ISERROR(SEARCH("порожний",C650))</formula>
    </cfRule>
  </conditionalFormatting>
  <conditionalFormatting sqref="C654">
    <cfRule type="notContainsText" dxfId="678" priority="589" operator="notContains" text="порожний">
      <formula>ISERROR(SEARCH("порожний",C654))</formula>
    </cfRule>
  </conditionalFormatting>
  <conditionalFormatting sqref="A663:A666 A668:A670 A695 A697:A701 A825 A3437">
    <cfRule type="containsText" dxfId="677" priority="585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676" priority="587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675" priority="586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674" priority="582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673" priority="584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672" priority="583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671" priority="572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670" priority="581" operator="containsText" text="Выезд с территории">
      <formula>NOT(ISERROR(SEARCH("Выезд с территории",A681)))</formula>
    </cfRule>
  </conditionalFormatting>
  <conditionalFormatting sqref="A681">
    <cfRule type="containsText" dxfId="669" priority="580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668" priority="579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667" priority="575" operator="containsText" text="Трактор базы">
      <formula>NOT(ISERROR(SEARCH("Трактор базы",B682)))</formula>
    </cfRule>
  </conditionalFormatting>
  <conditionalFormatting sqref="B682">
    <cfRule type="containsText" dxfId="666" priority="578" operator="containsText" text="Выезд с территории">
      <formula>NOT(ISERROR(SEARCH("Выезд с территории",B682)))</formula>
    </cfRule>
  </conditionalFormatting>
  <conditionalFormatting sqref="B682">
    <cfRule type="containsText" dxfId="665" priority="576" operator="containsText" text="Газель базы">
      <formula>NOT(ISERROR(SEARCH("Газель базы",B682)))</formula>
    </cfRule>
    <cfRule type="containsText" dxfId="664" priority="577" operator="containsText" text="Погрузчик базы">
      <formula>NOT(ISERROR(SEARCH("Погрузчик базы",B682)))</formula>
    </cfRule>
  </conditionalFormatting>
  <conditionalFormatting sqref="A684:A687">
    <cfRule type="containsText" dxfId="663" priority="574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662" priority="573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661" priority="563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60" priority="565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59" priority="564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58" priority="560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57" priority="562" operator="containsText" text="Выезд с территории">
      <formula>NOT(ISERROR(SEARCH("Выезд с территории",A824)))</formula>
    </cfRule>
  </conditionalFormatting>
  <conditionalFormatting sqref="A824">
    <cfRule type="containsText" dxfId="656" priority="561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55" priority="556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54" priority="554" operator="containsText" text="Газель базы">
      <formula>NOT(ISERROR(SEARCH("Газель базы",B846)))</formula>
    </cfRule>
    <cfRule type="containsText" dxfId="653" priority="555" operator="containsText" text="Погрузчик базы">
      <formula>NOT(ISERROR(SEARCH("Погрузчик базы",B846)))</formula>
    </cfRule>
  </conditionalFormatting>
  <conditionalFormatting sqref="B846:B850">
    <cfRule type="containsText" dxfId="652" priority="553" operator="containsText" text="Трактор базы">
      <formula>NOT(ISERROR(SEARCH("Трактор базы",B846)))</formula>
    </cfRule>
  </conditionalFormatting>
  <conditionalFormatting sqref="A916:A917">
    <cfRule type="containsText" dxfId="651" priority="547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50" priority="552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49" priority="550" operator="containsText" text="Газель базы">
      <formula>NOT(ISERROR(SEARCH("Газель базы",B916)))</formula>
    </cfRule>
    <cfRule type="containsText" dxfId="648" priority="551" operator="containsText" text="Погрузчик базы">
      <formula>NOT(ISERROR(SEARCH("Погрузчик базы",B916)))</formula>
    </cfRule>
  </conditionalFormatting>
  <conditionalFormatting sqref="B916:B917">
    <cfRule type="containsText" dxfId="647" priority="549" operator="containsText" text="Трактор базы">
      <formula>NOT(ISERROR(SEARCH("Трактор базы",B916)))</formula>
    </cfRule>
  </conditionalFormatting>
  <conditionalFormatting sqref="A916:A917">
    <cfRule type="containsText" dxfId="646" priority="548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45" priority="546" operator="containsText" text="Выезд с территории">
      <formula>NOT(ISERROR(SEARCH("Выезд с территории",E916)))</formula>
    </cfRule>
  </conditionalFormatting>
  <conditionalFormatting sqref="A932">
    <cfRule type="containsText" dxfId="644" priority="523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43" priority="545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42" priority="543" operator="containsText" text="Газель базы">
      <formula>NOT(ISERROR(SEARCH("Газель базы",B918)))</formula>
    </cfRule>
    <cfRule type="containsText" dxfId="641" priority="544" operator="containsText" text="Погрузчик базы">
      <formula>NOT(ISERROR(SEARCH("Погрузчик базы",B918)))</formula>
    </cfRule>
  </conditionalFormatting>
  <conditionalFormatting sqref="B918:B924">
    <cfRule type="containsText" dxfId="640" priority="542" operator="containsText" text="Трактор базы">
      <formula>NOT(ISERROR(SEARCH("Трактор базы",B918)))</formula>
    </cfRule>
  </conditionalFormatting>
  <conditionalFormatting sqref="A918">
    <cfRule type="containsText" dxfId="639" priority="541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38" priority="540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37" priority="534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36" priority="539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35" priority="537" operator="containsText" text="Газель базы">
      <formula>NOT(ISERROR(SEARCH("Газель базы",B926)))</formula>
    </cfRule>
    <cfRule type="containsText" dxfId="634" priority="538" operator="containsText" text="Погрузчик базы">
      <formula>NOT(ISERROR(SEARCH("Погрузчик базы",B926)))</formula>
    </cfRule>
  </conditionalFormatting>
  <conditionalFormatting sqref="B926:B928">
    <cfRule type="containsText" dxfId="633" priority="536" operator="containsText" text="Трактор базы">
      <formula>NOT(ISERROR(SEARCH("Трактор базы",B926)))</formula>
    </cfRule>
  </conditionalFormatting>
  <conditionalFormatting sqref="A926:A928">
    <cfRule type="containsText" dxfId="632" priority="535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31" priority="533" operator="containsText" text="Выезд с территории">
      <formula>NOT(ISERROR(SEARCH("Выезд с территории",E926)))</formula>
    </cfRule>
  </conditionalFormatting>
  <conditionalFormatting sqref="A930">
    <cfRule type="containsText" dxfId="630" priority="527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29" priority="532" operator="containsText" text="Выезд с территории">
      <formula>NOT(ISERROR(SEARCH("Выезд с территории",A930)))</formula>
    </cfRule>
  </conditionalFormatting>
  <conditionalFormatting sqref="B930">
    <cfRule type="containsText" dxfId="628" priority="530" operator="containsText" text="Газель базы">
      <formula>NOT(ISERROR(SEARCH("Газель базы",B930)))</formula>
    </cfRule>
    <cfRule type="containsText" dxfId="627" priority="531" operator="containsText" text="Погрузчик базы">
      <formula>NOT(ISERROR(SEARCH("Погрузчик базы",B930)))</formula>
    </cfRule>
  </conditionalFormatting>
  <conditionalFormatting sqref="B930">
    <cfRule type="containsText" dxfId="626" priority="529" operator="containsText" text="Трактор базы">
      <formula>NOT(ISERROR(SEARCH("Трактор базы",B930)))</formula>
    </cfRule>
  </conditionalFormatting>
  <conditionalFormatting sqref="A930">
    <cfRule type="containsText" dxfId="625" priority="528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24" priority="526" operator="containsText" text="Выезд с территории">
      <formula>NOT(ISERROR(SEARCH("Выезд с территории",E930)))</formula>
    </cfRule>
  </conditionalFormatting>
  <conditionalFormatting sqref="A932">
    <cfRule type="containsText" dxfId="623" priority="525" operator="containsText" text="Выезд с территории">
      <formula>NOT(ISERROR(SEARCH("Выезд с территории",A932)))</formula>
    </cfRule>
  </conditionalFormatting>
  <conditionalFormatting sqref="A932">
    <cfRule type="containsText" dxfId="622" priority="524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21" priority="520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20" priority="522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19" priority="521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18" priority="519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17" priority="518" operator="notContains" text="порожний">
      <formula>ISERROR(SEARCH("порожний",C954))</formula>
    </cfRule>
  </conditionalFormatting>
  <conditionalFormatting sqref="B954:B956">
    <cfRule type="containsText" dxfId="616" priority="516" operator="containsText" text="Газель базы">
      <formula>NOT(ISERROR(SEARCH("Газель базы",B954)))</formula>
    </cfRule>
    <cfRule type="containsText" dxfId="615" priority="517" operator="containsText" text="Погрузчик базы">
      <formula>NOT(ISERROR(SEARCH("Погрузчик базы",B954)))</formula>
    </cfRule>
  </conditionalFormatting>
  <conditionalFormatting sqref="B954:B956">
    <cfRule type="containsText" dxfId="614" priority="515" operator="containsText" text="Трактор базы">
      <formula>NOT(ISERROR(SEARCH("Трактор базы",B954)))</formula>
    </cfRule>
  </conditionalFormatting>
  <conditionalFormatting sqref="A954:A956">
    <cfRule type="containsText" dxfId="613" priority="514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12" priority="513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11" priority="511" operator="notContains" text="порожний">
      <formula>ISERROR(SEARCH("порожний",C995))</formula>
    </cfRule>
  </conditionalFormatting>
  <conditionalFormatting sqref="C987">
    <cfRule type="notContainsText" dxfId="610" priority="512" operator="notContains" text="порожний">
      <formula>ISERROR(SEARCH("порожний",C987))</formula>
    </cfRule>
  </conditionalFormatting>
  <conditionalFormatting sqref="B999">
    <cfRule type="containsText" dxfId="609" priority="510" operator="containsText" text="Выезд с территории">
      <formula>NOT(ISERROR(SEARCH("Выезд с территории",B999)))</formula>
    </cfRule>
  </conditionalFormatting>
  <conditionalFormatting sqref="B999">
    <cfRule type="containsText" dxfId="608" priority="508" operator="containsText" text="Газель базы">
      <formula>NOT(ISERROR(SEARCH("Газель базы",B999)))</formula>
    </cfRule>
    <cfRule type="containsText" dxfId="607" priority="509" operator="containsText" text="Погрузчик базы">
      <formula>NOT(ISERROR(SEARCH("Погрузчик базы",B999)))</formula>
    </cfRule>
  </conditionalFormatting>
  <conditionalFormatting sqref="B999">
    <cfRule type="containsText" dxfId="606" priority="507" operator="containsText" text="Трактор базы">
      <formula>NOT(ISERROR(SEARCH("Трактор базы",B999)))</formula>
    </cfRule>
  </conditionalFormatting>
  <conditionalFormatting sqref="B1019:B1022">
    <cfRule type="containsText" dxfId="605" priority="503" operator="containsText" text="Трактор базы">
      <formula>NOT(ISERROR(SEARCH("Трактор базы",B1019)))</formula>
    </cfRule>
  </conditionalFormatting>
  <conditionalFormatting sqref="B1019:B1022">
    <cfRule type="containsText" dxfId="604" priority="506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03" priority="504" operator="containsText" text="Газель базы">
      <formula>NOT(ISERROR(SEARCH("Газель базы",B1019)))</formula>
    </cfRule>
    <cfRule type="containsText" dxfId="602" priority="505" operator="containsText" text="Погрузчик базы">
      <formula>NOT(ISERROR(SEARCH("Погрузчик базы",B1019)))</formula>
    </cfRule>
  </conditionalFormatting>
  <conditionalFormatting sqref="C966">
    <cfRule type="notContainsText" dxfId="601" priority="502" operator="notContains" text="порожний">
      <formula>ISERROR(SEARCH("порожний",C966))</formula>
    </cfRule>
  </conditionalFormatting>
  <conditionalFormatting sqref="A1029">
    <cfRule type="containsText" dxfId="600" priority="499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599" priority="501" operator="containsText" text="Выезд с территории">
      <formula>NOT(ISERROR(SEARCH("Выезд с территории",A1029)))</formula>
    </cfRule>
  </conditionalFormatting>
  <conditionalFormatting sqref="A1029">
    <cfRule type="containsText" dxfId="598" priority="500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597" priority="498" operator="containsText" text="Выезд с территории">
      <formula>NOT(ISERROR(SEARCH("Выезд с территории",B1030)))</formula>
    </cfRule>
  </conditionalFormatting>
  <conditionalFormatting sqref="B1030">
    <cfRule type="containsText" dxfId="596" priority="496" operator="containsText" text="Газель базы">
      <formula>NOT(ISERROR(SEARCH("Газель базы",B1030)))</formula>
    </cfRule>
    <cfRule type="containsText" dxfId="595" priority="497" operator="containsText" text="Погрузчик базы">
      <formula>NOT(ISERROR(SEARCH("Погрузчик базы",B1030)))</formula>
    </cfRule>
  </conditionalFormatting>
  <conditionalFormatting sqref="B1030">
    <cfRule type="containsText" dxfId="594" priority="495" operator="containsText" text="Трактор базы">
      <formula>NOT(ISERROR(SEARCH("Трактор базы",B1030)))</formula>
    </cfRule>
  </conditionalFormatting>
  <conditionalFormatting sqref="A1035">
    <cfRule type="containsText" dxfId="593" priority="489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592" priority="492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591" priority="494" operator="containsText" text="Выезд с территории">
      <formula>NOT(ISERROR(SEARCH("Выезд с территории",A1033)))</formula>
    </cfRule>
  </conditionalFormatting>
  <conditionalFormatting sqref="A1033">
    <cfRule type="containsText" dxfId="590" priority="493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589" priority="491" operator="containsText" text="Выезд с территории">
      <formula>NOT(ISERROR(SEARCH("Выезд с территории",A1035)))</formula>
    </cfRule>
  </conditionalFormatting>
  <conditionalFormatting sqref="A1035">
    <cfRule type="containsText" dxfId="588" priority="490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587" priority="488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586" priority="486" operator="containsText" text="Газель базы">
      <formula>NOT(ISERROR(SEARCH("Газель базы",B1138)))</formula>
    </cfRule>
    <cfRule type="containsText" dxfId="585" priority="487" operator="containsText" text="Погрузчик базы">
      <formula>NOT(ISERROR(SEARCH("Погрузчик базы",B1138)))</formula>
    </cfRule>
  </conditionalFormatting>
  <conditionalFormatting sqref="B1138:B1161">
    <cfRule type="containsText" dxfId="584" priority="485" operator="containsText" text="Трактор базы">
      <formula>NOT(ISERROR(SEARCH("Трактор базы",B1138)))</formula>
    </cfRule>
  </conditionalFormatting>
  <conditionalFormatting sqref="B1258:B1262">
    <cfRule type="containsText" dxfId="583" priority="469" operator="containsText" text="Трактор базы">
      <formula>NOT(ISERROR(SEARCH("Трактор базы",B1258)))</formula>
    </cfRule>
  </conditionalFormatting>
  <conditionalFormatting sqref="B1244:B1252">
    <cfRule type="containsText" dxfId="582" priority="484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581" priority="482" operator="containsText" text="Газель базы">
      <formula>NOT(ISERROR(SEARCH("Газель базы",B1244)))</formula>
    </cfRule>
    <cfRule type="containsText" dxfId="580" priority="483" operator="containsText" text="Погрузчик базы">
      <formula>NOT(ISERROR(SEARCH("Погрузчик базы",B1244)))</formula>
    </cfRule>
  </conditionalFormatting>
  <conditionalFormatting sqref="B1244:B1252">
    <cfRule type="containsText" dxfId="579" priority="481" operator="containsText" text="Трактор базы">
      <formula>NOT(ISERROR(SEARCH("Трактор базы",B1244)))</formula>
    </cfRule>
  </conditionalFormatting>
  <conditionalFormatting sqref="B1253:B1256">
    <cfRule type="containsText" dxfId="578" priority="480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577" priority="478" operator="containsText" text="Газель базы">
      <formula>NOT(ISERROR(SEARCH("Газель базы",B1253)))</formula>
    </cfRule>
    <cfRule type="containsText" dxfId="576" priority="479" operator="containsText" text="Погрузчик базы">
      <formula>NOT(ISERROR(SEARCH("Погрузчик базы",B1253)))</formula>
    </cfRule>
  </conditionalFormatting>
  <conditionalFormatting sqref="B1253:B1256">
    <cfRule type="containsText" dxfId="575" priority="477" operator="containsText" text="Трактор базы">
      <formula>NOT(ISERROR(SEARCH("Трактор базы",B1253)))</formula>
    </cfRule>
  </conditionalFormatting>
  <conditionalFormatting sqref="B1257">
    <cfRule type="containsText" dxfId="574" priority="476" operator="containsText" text="Выезд с территории">
      <formula>NOT(ISERROR(SEARCH("Выезд с территории",B1257)))</formula>
    </cfRule>
  </conditionalFormatting>
  <conditionalFormatting sqref="B1257">
    <cfRule type="containsText" dxfId="573" priority="474" operator="containsText" text="Газель базы">
      <formula>NOT(ISERROR(SEARCH("Газель базы",B1257)))</formula>
    </cfRule>
    <cfRule type="containsText" dxfId="572" priority="475" operator="containsText" text="Погрузчик базы">
      <formula>NOT(ISERROR(SEARCH("Погрузчик базы",B1257)))</formula>
    </cfRule>
  </conditionalFormatting>
  <conditionalFormatting sqref="B1257">
    <cfRule type="containsText" dxfId="571" priority="473" operator="containsText" text="Трактор базы">
      <formula>NOT(ISERROR(SEARCH("Трактор базы",B1257)))</formula>
    </cfRule>
  </conditionalFormatting>
  <conditionalFormatting sqref="B1258:B1262">
    <cfRule type="containsText" dxfId="570" priority="472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569" priority="470" operator="containsText" text="Газель базы">
      <formula>NOT(ISERROR(SEARCH("Газель базы",B1258)))</formula>
    </cfRule>
    <cfRule type="containsText" dxfId="568" priority="471" operator="containsText" text="Погрузчик базы">
      <formula>NOT(ISERROR(SEARCH("Погрузчик базы",B1258)))</formula>
    </cfRule>
  </conditionalFormatting>
  <conditionalFormatting sqref="B1281:B1287">
    <cfRule type="containsText" dxfId="567" priority="468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566" priority="466" operator="containsText" text="Газель базы">
      <formula>NOT(ISERROR(SEARCH("Газель базы",B1281)))</formula>
    </cfRule>
    <cfRule type="containsText" dxfId="565" priority="467" operator="containsText" text="Погрузчик базы">
      <formula>NOT(ISERROR(SEARCH("Погрузчик базы",B1281)))</formula>
    </cfRule>
  </conditionalFormatting>
  <conditionalFormatting sqref="B1281:B1287">
    <cfRule type="containsText" dxfId="564" priority="465" operator="containsText" text="Трактор базы">
      <formula>NOT(ISERROR(SEARCH("Трактор базы",B1281)))</formula>
    </cfRule>
  </conditionalFormatting>
  <conditionalFormatting sqref="B1296">
    <cfRule type="containsText" dxfId="563" priority="461" operator="containsText" text="Трактор базы">
      <formula>NOT(ISERROR(SEARCH("Трактор базы",B1296)))</formula>
    </cfRule>
  </conditionalFormatting>
  <conditionalFormatting sqref="B1296">
    <cfRule type="containsText" dxfId="562" priority="464" operator="containsText" text="Выезд с территории">
      <formula>NOT(ISERROR(SEARCH("Выезд с территории",B1296)))</formula>
    </cfRule>
  </conditionalFormatting>
  <conditionalFormatting sqref="B1296">
    <cfRule type="containsText" dxfId="561" priority="462" operator="containsText" text="Газель базы">
      <formula>NOT(ISERROR(SEARCH("Газель базы",B1296)))</formula>
    </cfRule>
    <cfRule type="containsText" dxfId="560" priority="463" operator="containsText" text="Погрузчик базы">
      <formula>NOT(ISERROR(SEARCH("Погрузчик базы",B1296)))</formula>
    </cfRule>
  </conditionalFormatting>
  <conditionalFormatting sqref="C1320:C1321">
    <cfRule type="notContainsText" dxfId="559" priority="459" operator="notContains" text="порожний">
      <formula>ISERROR(SEARCH("порожний",C1320))</formula>
    </cfRule>
  </conditionalFormatting>
  <conditionalFormatting sqref="A1323">
    <cfRule type="containsText" dxfId="558" priority="453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57" priority="456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56" priority="458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55" priority="457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54" priority="455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53" priority="454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52" priority="452" operator="notContains" text="порожний">
      <formula>ISERROR(SEARCH("порожний",C1336))</formula>
    </cfRule>
  </conditionalFormatting>
  <conditionalFormatting sqref="C1346">
    <cfRule type="notContainsText" dxfId="551" priority="451" operator="notContains" text="порожний">
      <formula>ISERROR(SEARCH("порожний",C1346))</formula>
    </cfRule>
  </conditionalFormatting>
  <conditionalFormatting sqref="A1391">
    <cfRule type="containsText" dxfId="550" priority="445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49" priority="447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48" priority="446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47" priority="442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46" priority="444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45" priority="443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44" priority="441" operator="notContains" text="порожний">
      <formula>ISERROR(SEARCH("порожний",C1606))</formula>
    </cfRule>
  </conditionalFormatting>
  <conditionalFormatting sqref="B1633:B1636">
    <cfRule type="containsText" dxfId="543" priority="440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42" priority="438" operator="containsText" text="Газель базы">
      <formula>NOT(ISERROR(SEARCH("Газель базы",B1633)))</formula>
    </cfRule>
    <cfRule type="containsText" dxfId="541" priority="439" operator="containsText" text="Погрузчик базы">
      <formula>NOT(ISERROR(SEARCH("Погрузчик базы",B1633)))</formula>
    </cfRule>
  </conditionalFormatting>
  <conditionalFormatting sqref="B1633:B1636">
    <cfRule type="containsText" dxfId="540" priority="437" operator="containsText" text="Трактор базы">
      <formula>NOT(ISERROR(SEARCH("Трактор базы",B1633)))</formula>
    </cfRule>
  </conditionalFormatting>
  <conditionalFormatting sqref="B1637:B1642">
    <cfRule type="containsText" dxfId="539" priority="436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38" priority="434" operator="containsText" text="Газель базы">
      <formula>NOT(ISERROR(SEARCH("Газель базы",B1637)))</formula>
    </cfRule>
    <cfRule type="containsText" dxfId="537" priority="435" operator="containsText" text="Погрузчик базы">
      <formula>NOT(ISERROR(SEARCH("Погрузчик базы",B1637)))</formula>
    </cfRule>
  </conditionalFormatting>
  <conditionalFormatting sqref="B1637:B1642">
    <cfRule type="containsText" dxfId="536" priority="433" operator="containsText" text="Трактор базы">
      <formula>NOT(ISERROR(SEARCH("Трактор базы",B1637)))</formula>
    </cfRule>
  </conditionalFormatting>
  <conditionalFormatting sqref="B1671:B1672">
    <cfRule type="containsText" dxfId="535" priority="429" operator="containsText" text="Трактор базы">
      <formula>NOT(ISERROR(SEARCH("Трактор базы",B1671)))</formula>
    </cfRule>
  </conditionalFormatting>
  <conditionalFormatting sqref="B1671:B1672">
    <cfRule type="containsText" dxfId="534" priority="432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33" priority="430" operator="containsText" text="Газель базы">
      <formula>NOT(ISERROR(SEARCH("Газель базы",B1671)))</formula>
    </cfRule>
    <cfRule type="containsText" dxfId="532" priority="431" operator="containsText" text="Погрузчик базы">
      <formula>NOT(ISERROR(SEARCH("Погрузчик базы",B1671)))</formula>
    </cfRule>
  </conditionalFormatting>
  <conditionalFormatting sqref="B1675">
    <cfRule type="containsText" dxfId="531" priority="425" operator="containsText" text="Трактор базы">
      <formula>NOT(ISERROR(SEARCH("Трактор базы",B1675)))</formula>
    </cfRule>
  </conditionalFormatting>
  <conditionalFormatting sqref="B1675">
    <cfRule type="containsText" dxfId="530" priority="428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29" priority="426" operator="containsText" text="Газель базы">
      <formula>NOT(ISERROR(SEARCH("Газель базы",B1675)))</formula>
    </cfRule>
    <cfRule type="containsText" dxfId="528" priority="427" operator="containsText" text="Погрузчик базы">
      <formula>NOT(ISERROR(SEARCH("Погрузчик базы",B1675)))</formula>
    </cfRule>
  </conditionalFormatting>
  <conditionalFormatting sqref="A1678">
    <cfRule type="containsText" dxfId="527" priority="422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26" priority="424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25" priority="423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24" priority="421" operator="notContains" text="порожний">
      <formula>ISERROR(SEARCH("порожний",C1723))</formula>
    </cfRule>
  </conditionalFormatting>
  <conditionalFormatting sqref="C1725:C1726">
    <cfRule type="notContainsText" dxfId="523" priority="420" operator="notContains" text="порожний">
      <formula>ISERROR(SEARCH("порожний",C1725))</formula>
    </cfRule>
  </conditionalFormatting>
  <conditionalFormatting sqref="C1727">
    <cfRule type="notContainsText" dxfId="522" priority="419" operator="notContains" text="порожний">
      <formula>ISERROR(SEARCH("порожний",C1727))</formula>
    </cfRule>
  </conditionalFormatting>
  <conditionalFormatting sqref="C1728">
    <cfRule type="notContainsText" dxfId="521" priority="418" operator="notContains" text="порожний">
      <formula>ISERROR(SEARCH("порожний",C1728))</formula>
    </cfRule>
  </conditionalFormatting>
  <conditionalFormatting sqref="B1732:B1733">
    <cfRule type="containsText" dxfId="520" priority="417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19" priority="415" operator="containsText" text="Газель базы">
      <formula>NOT(ISERROR(SEARCH("Газель базы",B1732)))</formula>
    </cfRule>
    <cfRule type="containsText" dxfId="518" priority="416" operator="containsText" text="Погрузчик базы">
      <formula>NOT(ISERROR(SEARCH("Погрузчик базы",B1732)))</formula>
    </cfRule>
  </conditionalFormatting>
  <conditionalFormatting sqref="B1732:B1733">
    <cfRule type="containsText" dxfId="517" priority="414" operator="containsText" text="Трактор базы">
      <formula>NOT(ISERROR(SEARCH("Трактор базы",B1732)))</formula>
    </cfRule>
  </conditionalFormatting>
  <conditionalFormatting sqref="B1734:B1735">
    <cfRule type="containsText" dxfId="516" priority="413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15" priority="411" operator="containsText" text="Газель базы">
      <formula>NOT(ISERROR(SEARCH("Газель базы",B1734)))</formula>
    </cfRule>
    <cfRule type="containsText" dxfId="514" priority="412" operator="containsText" text="Погрузчик базы">
      <formula>NOT(ISERROR(SEARCH("Погрузчик базы",B1734)))</formula>
    </cfRule>
  </conditionalFormatting>
  <conditionalFormatting sqref="B1734:B1735">
    <cfRule type="containsText" dxfId="513" priority="410" operator="containsText" text="Трактор базы">
      <formula>NOT(ISERROR(SEARCH("Трактор базы",B1734)))</formula>
    </cfRule>
  </conditionalFormatting>
  <conditionalFormatting sqref="B1762:B1764">
    <cfRule type="containsText" dxfId="512" priority="396" operator="containsText" text="Трактор базы">
      <formula>NOT(ISERROR(SEARCH("Трактор базы",B1762)))</formula>
    </cfRule>
  </conditionalFormatting>
  <conditionalFormatting sqref="B1740:B1741">
    <cfRule type="containsText" dxfId="511" priority="409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10" priority="407" operator="containsText" text="Газель базы">
      <formula>NOT(ISERROR(SEARCH("Газель базы",B1740)))</formula>
    </cfRule>
    <cfRule type="containsText" dxfId="509" priority="408" operator="containsText" text="Погрузчик базы">
      <formula>NOT(ISERROR(SEARCH("Погрузчик базы",B1740)))</formula>
    </cfRule>
  </conditionalFormatting>
  <conditionalFormatting sqref="B1740:B1741">
    <cfRule type="containsText" dxfId="508" priority="406" operator="containsText" text="Трактор базы">
      <formula>NOT(ISERROR(SEARCH("Трактор базы",B1740)))</formula>
    </cfRule>
  </conditionalFormatting>
  <conditionalFormatting sqref="A1755">
    <cfRule type="containsText" dxfId="507" priority="403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06" priority="405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05" priority="404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04" priority="400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03" priority="402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02" priority="401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01" priority="387" operator="containsText" text="Трактор базы">
      <formula>NOT(ISERROR(SEARCH("Трактор базы",B1773)))</formula>
    </cfRule>
  </conditionalFormatting>
  <conditionalFormatting sqref="B1762:B1764">
    <cfRule type="containsText" dxfId="500" priority="399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499" priority="397" operator="containsText" text="Газель базы">
      <formula>NOT(ISERROR(SEARCH("Газель базы",B1762)))</formula>
    </cfRule>
    <cfRule type="containsText" dxfId="498" priority="398" operator="containsText" text="Погрузчик базы">
      <formula>NOT(ISERROR(SEARCH("Погрузчик базы",B1762)))</formula>
    </cfRule>
  </conditionalFormatting>
  <conditionalFormatting sqref="B1776:B1777">
    <cfRule type="containsText" dxfId="497" priority="378" operator="containsText" text="Трактор базы">
      <formula>NOT(ISERROR(SEARCH("Трактор базы",B1776)))</formula>
    </cfRule>
  </conditionalFormatting>
  <conditionalFormatting sqref="B1770:B1771">
    <cfRule type="containsText" dxfId="496" priority="395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495" priority="393" operator="containsText" text="Газель базы">
      <formula>NOT(ISERROR(SEARCH("Газель базы",B1770)))</formula>
    </cfRule>
    <cfRule type="containsText" dxfId="494" priority="394" operator="containsText" text="Погрузчик базы">
      <formula>NOT(ISERROR(SEARCH("Погрузчик базы",B1770)))</formula>
    </cfRule>
  </conditionalFormatting>
  <conditionalFormatting sqref="B1770:B1771">
    <cfRule type="containsText" dxfId="493" priority="392" operator="containsText" text="Трактор базы">
      <formula>NOT(ISERROR(SEARCH("Трактор базы",B1770)))</formula>
    </cfRule>
  </conditionalFormatting>
  <conditionalFormatting sqref="B1773">
    <cfRule type="containsText" dxfId="492" priority="391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491" priority="390" operator="notContains" text="порожний">
      <formula>ISERROR(SEARCH("порожний",C1773))</formula>
    </cfRule>
  </conditionalFormatting>
  <conditionalFormatting sqref="B1773">
    <cfRule type="containsText" dxfId="490" priority="388" operator="containsText" text="Газель базы">
      <formula>NOT(ISERROR(SEARCH("Газель базы",B1773)))</formula>
    </cfRule>
    <cfRule type="containsText" dxfId="489" priority="389" operator="containsText" text="Погрузчик базы">
      <formula>NOT(ISERROR(SEARCH("Погрузчик базы",B1773)))</formula>
    </cfRule>
  </conditionalFormatting>
  <conditionalFormatting sqref="B1775">
    <cfRule type="containsText" dxfId="488" priority="382" operator="containsText" text="Трактор базы">
      <formula>NOT(ISERROR(SEARCH("Трактор базы",B1775)))</formula>
    </cfRule>
  </conditionalFormatting>
  <conditionalFormatting sqref="B1775">
    <cfRule type="containsText" dxfId="487" priority="386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486" priority="385" operator="notContains" text="порожний">
      <formula>ISERROR(SEARCH("порожний",C1775))</formula>
    </cfRule>
  </conditionalFormatting>
  <conditionalFormatting sqref="B1775">
    <cfRule type="containsText" dxfId="485" priority="383" operator="containsText" text="Газель базы">
      <formula>NOT(ISERROR(SEARCH("Газель базы",B1775)))</formula>
    </cfRule>
    <cfRule type="containsText" dxfId="484" priority="384" operator="containsText" text="Погрузчик базы">
      <formula>NOT(ISERROR(SEARCH("Погрузчик базы",B1775)))</formula>
    </cfRule>
  </conditionalFormatting>
  <conditionalFormatting sqref="B1776:B1777">
    <cfRule type="containsText" dxfId="483" priority="381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482" priority="379" operator="containsText" text="Газель базы">
      <formula>NOT(ISERROR(SEARCH("Газель базы",B1776)))</formula>
    </cfRule>
    <cfRule type="containsText" dxfId="481" priority="380" operator="containsText" text="Погрузчик базы">
      <formula>NOT(ISERROR(SEARCH("Погрузчик базы",B1776)))</formula>
    </cfRule>
  </conditionalFormatting>
  <conditionalFormatting sqref="B1891">
    <cfRule type="containsText" dxfId="480" priority="370" operator="containsText" text="Трактор базы">
      <formula>NOT(ISERROR(SEARCH("Трактор базы",B1891)))</formula>
    </cfRule>
  </conditionalFormatting>
  <conditionalFormatting sqref="B1889">
    <cfRule type="containsText" dxfId="479" priority="377" operator="containsText" text="Выезд с территории">
      <formula>NOT(ISERROR(SEARCH("Выезд с территории",B1889)))</formula>
    </cfRule>
  </conditionalFormatting>
  <conditionalFormatting sqref="B1889">
    <cfRule type="containsText" dxfId="478" priority="375" operator="containsText" text="Газель базы">
      <formula>NOT(ISERROR(SEARCH("Газель базы",B1889)))</formula>
    </cfRule>
    <cfRule type="containsText" dxfId="477" priority="376" operator="containsText" text="Погрузчик базы">
      <formula>NOT(ISERROR(SEARCH("Погрузчик базы",B1889)))</formula>
    </cfRule>
  </conditionalFormatting>
  <conditionalFormatting sqref="B1889">
    <cfRule type="containsText" dxfId="476" priority="374" operator="containsText" text="Трактор базы">
      <formula>NOT(ISERROR(SEARCH("Трактор базы",B1889)))</formula>
    </cfRule>
  </conditionalFormatting>
  <conditionalFormatting sqref="B1891">
    <cfRule type="containsText" dxfId="475" priority="373" operator="containsText" text="Выезд с территории">
      <formula>NOT(ISERROR(SEARCH("Выезд с территории",B1891)))</formula>
    </cfRule>
  </conditionalFormatting>
  <conditionalFormatting sqref="B1891">
    <cfRule type="containsText" dxfId="474" priority="371" operator="containsText" text="Газель базы">
      <formula>NOT(ISERROR(SEARCH("Газель базы",B1891)))</formula>
    </cfRule>
    <cfRule type="containsText" dxfId="473" priority="372" operator="containsText" text="Погрузчик базы">
      <formula>NOT(ISERROR(SEARCH("Погрузчик базы",B1891)))</formula>
    </cfRule>
  </conditionalFormatting>
  <conditionalFormatting sqref="B1920">
    <cfRule type="containsText" dxfId="472" priority="358" operator="containsText" text="Трактор базы">
      <formula>NOT(ISERROR(SEARCH("Трактор базы",B1920)))</formula>
    </cfRule>
  </conditionalFormatting>
  <conditionalFormatting sqref="B1904:B1914">
    <cfRule type="containsText" dxfId="471" priority="369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470" priority="367" operator="containsText" text="Газель базы">
      <formula>NOT(ISERROR(SEARCH("Газель базы",B1904)))</formula>
    </cfRule>
    <cfRule type="containsText" dxfId="469" priority="368" operator="containsText" text="Погрузчик базы">
      <formula>NOT(ISERROR(SEARCH("Погрузчик базы",B1904)))</formula>
    </cfRule>
  </conditionalFormatting>
  <conditionalFormatting sqref="B1904:B1914">
    <cfRule type="containsText" dxfId="468" priority="366" operator="containsText" text="Трактор базы">
      <formula>NOT(ISERROR(SEARCH("Трактор базы",B1904)))</formula>
    </cfRule>
  </conditionalFormatting>
  <conditionalFormatting sqref="B1915:B1919">
    <cfRule type="containsText" dxfId="467" priority="365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466" priority="363" operator="containsText" text="Газель базы">
      <formula>NOT(ISERROR(SEARCH("Газель базы",B1915)))</formula>
    </cfRule>
    <cfRule type="containsText" dxfId="465" priority="364" operator="containsText" text="Погрузчик базы">
      <formula>NOT(ISERROR(SEARCH("Погрузчик базы",B1915)))</formula>
    </cfRule>
  </conditionalFormatting>
  <conditionalFormatting sqref="B1915:B1919">
    <cfRule type="containsText" dxfId="464" priority="362" operator="containsText" text="Трактор базы">
      <formula>NOT(ISERROR(SEARCH("Трактор базы",B1915)))</formula>
    </cfRule>
  </conditionalFormatting>
  <conditionalFormatting sqref="B1920">
    <cfRule type="containsText" dxfId="463" priority="361" operator="containsText" text="Выезд с территории">
      <formula>NOT(ISERROR(SEARCH("Выезд с территории",B1920)))</formula>
    </cfRule>
  </conditionalFormatting>
  <conditionalFormatting sqref="B1920">
    <cfRule type="containsText" dxfId="462" priority="359" operator="containsText" text="Газель базы">
      <formula>NOT(ISERROR(SEARCH("Газель базы",B1920)))</formula>
    </cfRule>
    <cfRule type="containsText" dxfId="461" priority="360" operator="containsText" text="Погрузчик базы">
      <formula>NOT(ISERROR(SEARCH("Погрузчик базы",B1920)))</formula>
    </cfRule>
  </conditionalFormatting>
  <conditionalFormatting sqref="B1939">
    <cfRule type="containsText" dxfId="460" priority="354" operator="containsText" text="Трактор базы">
      <formula>NOT(ISERROR(SEARCH("Трактор базы",B1939)))</formula>
    </cfRule>
  </conditionalFormatting>
  <conditionalFormatting sqref="B1939">
    <cfRule type="containsText" dxfId="459" priority="357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58" priority="355" operator="containsText" text="Газель базы">
      <formula>NOT(ISERROR(SEARCH("Газель базы",B1939)))</formula>
    </cfRule>
    <cfRule type="containsText" dxfId="457" priority="356" operator="containsText" text="Погрузчик базы">
      <formula>NOT(ISERROR(SEARCH("Погрузчик базы",B1939)))</formula>
    </cfRule>
  </conditionalFormatting>
  <conditionalFormatting sqref="A1943">
    <cfRule type="containsText" dxfId="456" priority="351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55" priority="353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54" priority="352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53" priority="335" operator="containsText" text="Трактор базы">
      <formula>NOT(ISERROR(SEARCH("Трактор базы",B1977)))</formula>
    </cfRule>
  </conditionalFormatting>
  <conditionalFormatting sqref="B1974">
    <cfRule type="containsText" dxfId="452" priority="350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51" priority="348" operator="containsText" text="Газель базы">
      <formula>NOT(ISERROR(SEARCH("Газель базы",B1974)))</formula>
    </cfRule>
    <cfRule type="containsText" dxfId="450" priority="349" operator="containsText" text="Погрузчик базы">
      <formula>NOT(ISERROR(SEARCH("Погрузчик базы",B1974)))</formula>
    </cfRule>
  </conditionalFormatting>
  <conditionalFormatting sqref="B1974">
    <cfRule type="containsText" dxfId="449" priority="347" operator="containsText" text="Трактор базы">
      <formula>NOT(ISERROR(SEARCH("Трактор базы",B1974)))</formula>
    </cfRule>
  </conditionalFormatting>
  <conditionalFormatting sqref="B1975">
    <cfRule type="containsText" dxfId="448" priority="346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47" priority="344" operator="containsText" text="Газель базы">
      <formula>NOT(ISERROR(SEARCH("Газель базы",B1975)))</formula>
    </cfRule>
    <cfRule type="containsText" dxfId="446" priority="345" operator="containsText" text="Погрузчик базы">
      <formula>NOT(ISERROR(SEARCH("Погрузчик базы",B1975)))</formula>
    </cfRule>
  </conditionalFormatting>
  <conditionalFormatting sqref="B1975">
    <cfRule type="containsText" dxfId="445" priority="343" operator="containsText" text="Трактор базы">
      <formula>NOT(ISERROR(SEARCH("Трактор базы",B1975)))</formula>
    </cfRule>
  </conditionalFormatting>
  <conditionalFormatting sqref="B1976">
    <cfRule type="containsText" dxfId="444" priority="342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43" priority="340" operator="containsText" text="Газель базы">
      <formula>NOT(ISERROR(SEARCH("Газель базы",B1976)))</formula>
    </cfRule>
    <cfRule type="containsText" dxfId="442" priority="341" operator="containsText" text="Погрузчик базы">
      <formula>NOT(ISERROR(SEARCH("Погрузчик базы",B1976)))</formula>
    </cfRule>
  </conditionalFormatting>
  <conditionalFormatting sqref="B1976">
    <cfRule type="containsText" dxfId="441" priority="339" operator="containsText" text="Трактор базы">
      <formula>NOT(ISERROR(SEARCH("Трактор базы",B1976)))</formula>
    </cfRule>
  </conditionalFormatting>
  <conditionalFormatting sqref="B1977">
    <cfRule type="containsText" dxfId="440" priority="338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39" priority="336" operator="containsText" text="Газель базы">
      <formula>NOT(ISERROR(SEARCH("Газель базы",B1977)))</formula>
    </cfRule>
    <cfRule type="containsText" dxfId="438" priority="337" operator="containsText" text="Погрузчик базы">
      <formula>NOT(ISERROR(SEARCH("Погрузчик базы",B1977)))</formula>
    </cfRule>
  </conditionalFormatting>
  <conditionalFormatting sqref="C1965">
    <cfRule type="notContainsText" dxfId="437" priority="334" operator="notContains" text="порожний">
      <formula>ISERROR(SEARCH("порожний",C1965))</formula>
    </cfRule>
  </conditionalFormatting>
  <conditionalFormatting sqref="B2042">
    <cfRule type="containsText" dxfId="436" priority="330" operator="containsText" text="Трактор базы">
      <formula>NOT(ISERROR(SEARCH("Трактор базы",B2042)))</formula>
    </cfRule>
  </conditionalFormatting>
  <conditionalFormatting sqref="B2042">
    <cfRule type="containsText" dxfId="435" priority="333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34" priority="331" operator="containsText" text="Газель базы">
      <formula>NOT(ISERROR(SEARCH("Газель базы",B2042)))</formula>
    </cfRule>
    <cfRule type="containsText" dxfId="433" priority="332" operator="containsText" text="Погрузчик базы">
      <formula>NOT(ISERROR(SEARCH("Погрузчик базы",B2042)))</formula>
    </cfRule>
  </conditionalFormatting>
  <conditionalFormatting sqref="C2050">
    <cfRule type="notContainsText" dxfId="432" priority="329" operator="notContains" text="порожний">
      <formula>ISERROR(SEARCH("порожний",C2050))</formula>
    </cfRule>
  </conditionalFormatting>
  <conditionalFormatting sqref="B2054">
    <cfRule type="containsText" dxfId="431" priority="328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30" priority="326" operator="containsText" text="Газель базы">
      <formula>NOT(ISERROR(SEARCH("Газель базы",B2054)))</formula>
    </cfRule>
    <cfRule type="containsText" dxfId="429" priority="327" operator="containsText" text="Погрузчик базы">
      <formula>NOT(ISERROR(SEARCH("Погрузчик базы",B2054)))</formula>
    </cfRule>
  </conditionalFormatting>
  <conditionalFormatting sqref="B2054">
    <cfRule type="containsText" dxfId="428" priority="325" operator="containsText" text="Трактор базы">
      <formula>NOT(ISERROR(SEARCH("Трактор базы",B2054)))</formula>
    </cfRule>
  </conditionalFormatting>
  <conditionalFormatting sqref="B2055">
    <cfRule type="containsText" dxfId="427" priority="321" operator="containsText" text="Трактор базы">
      <formula>NOT(ISERROR(SEARCH("Трактор базы",B2055)))</formula>
    </cfRule>
  </conditionalFormatting>
  <conditionalFormatting sqref="B2055">
    <cfRule type="containsText" dxfId="426" priority="324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25" priority="322" operator="containsText" text="Газель базы">
      <formula>NOT(ISERROR(SEARCH("Газель базы",B2055)))</formula>
    </cfRule>
    <cfRule type="containsText" dxfId="424" priority="323" operator="containsText" text="Погрузчик базы">
      <formula>NOT(ISERROR(SEARCH("Погрузчик базы",B2055)))</formula>
    </cfRule>
  </conditionalFormatting>
  <conditionalFormatting sqref="A2087:A2089">
    <cfRule type="containsText" dxfId="423" priority="314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22" priority="320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21" priority="319" operator="notContains" text="порожний">
      <formula>ISERROR(SEARCH("порожний",C2087))</formula>
    </cfRule>
  </conditionalFormatting>
  <conditionalFormatting sqref="B2087:B2089">
    <cfRule type="containsText" dxfId="420" priority="317" operator="containsText" text="Газель базы">
      <formula>NOT(ISERROR(SEARCH("Газель базы",B2087)))</formula>
    </cfRule>
    <cfRule type="containsText" dxfId="419" priority="318" operator="containsText" text="Погрузчик базы">
      <formula>NOT(ISERROR(SEARCH("Погрузчик базы",B2087)))</formula>
    </cfRule>
  </conditionalFormatting>
  <conditionalFormatting sqref="B2087:B2089">
    <cfRule type="containsText" dxfId="418" priority="316" operator="containsText" text="Трактор базы">
      <formula>NOT(ISERROR(SEARCH("Трактор базы",B2087)))</formula>
    </cfRule>
  </conditionalFormatting>
  <conditionalFormatting sqref="A2087:A2089">
    <cfRule type="containsText" dxfId="417" priority="315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16" priority="313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15" priority="311" operator="containsText" text="Газель базы">
      <formula>NOT(ISERROR(SEARCH("Газель базы",B2101)))</formula>
    </cfRule>
    <cfRule type="containsText" dxfId="414" priority="312" operator="containsText" text="Погрузчик базы">
      <formula>NOT(ISERROR(SEARCH("Погрузчик базы",B2101)))</formula>
    </cfRule>
  </conditionalFormatting>
  <conditionalFormatting sqref="B2101">
    <cfRule type="containsText" dxfId="413" priority="310" operator="containsText" text="Трактор базы">
      <formula>NOT(ISERROR(SEARCH("Трактор базы",B2101)))</formula>
    </cfRule>
  </conditionalFormatting>
  <conditionalFormatting sqref="B2102">
    <cfRule type="containsText" dxfId="412" priority="309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11" priority="307" operator="containsText" text="Газель базы">
      <formula>NOT(ISERROR(SEARCH("Газель базы",B2102)))</formula>
    </cfRule>
    <cfRule type="containsText" dxfId="410" priority="308" operator="containsText" text="Погрузчик базы">
      <formula>NOT(ISERROR(SEARCH("Погрузчик базы",B2102)))</formula>
    </cfRule>
  </conditionalFormatting>
  <conditionalFormatting sqref="B2102">
    <cfRule type="containsText" dxfId="409" priority="306" operator="containsText" text="Трактор базы">
      <formula>NOT(ISERROR(SEARCH("Трактор базы",B2102)))</formula>
    </cfRule>
  </conditionalFormatting>
  <conditionalFormatting sqref="B2103">
    <cfRule type="containsText" dxfId="408" priority="302" operator="containsText" text="Трактор базы">
      <formula>NOT(ISERROR(SEARCH("Трактор базы",B2103)))</formula>
    </cfRule>
  </conditionalFormatting>
  <conditionalFormatting sqref="B2103">
    <cfRule type="containsText" dxfId="407" priority="305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06" priority="303" operator="containsText" text="Газель базы">
      <formula>NOT(ISERROR(SEARCH("Газель базы",B2103)))</formula>
    </cfRule>
    <cfRule type="containsText" dxfId="405" priority="304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04" priority="299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03" priority="301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02" priority="300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01" priority="298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00" priority="296" operator="containsText" text="Газель базы">
      <formula>NOT(ISERROR(SEARCH("Газель базы",B2276)))</formula>
    </cfRule>
    <cfRule type="containsText" dxfId="399" priority="297" operator="containsText" text="Погрузчик базы">
      <formula>NOT(ISERROR(SEARCH("Погрузчик базы",B2276)))</formula>
    </cfRule>
  </conditionalFormatting>
  <conditionalFormatting sqref="B2276">
    <cfRule type="containsText" dxfId="398" priority="295" operator="containsText" text="Трактор базы">
      <formula>NOT(ISERROR(SEARCH("Трактор базы",B2276)))</formula>
    </cfRule>
  </conditionalFormatting>
  <conditionalFormatting sqref="B2277">
    <cfRule type="containsText" dxfId="397" priority="291" operator="containsText" text="Трактор базы">
      <formula>NOT(ISERROR(SEARCH("Трактор базы",B2277)))</formula>
    </cfRule>
  </conditionalFormatting>
  <conditionalFormatting sqref="B2277">
    <cfRule type="containsText" dxfId="396" priority="294" operator="containsText" text="Выезд с территории">
      <formula>NOT(ISERROR(SEARCH("Выезд с территории",B2277)))</formula>
    </cfRule>
  </conditionalFormatting>
  <conditionalFormatting sqref="B2277">
    <cfRule type="containsText" dxfId="395" priority="292" operator="containsText" text="Газель базы">
      <formula>NOT(ISERROR(SEARCH("Газель базы",B2277)))</formula>
    </cfRule>
    <cfRule type="containsText" dxfId="394" priority="293" operator="containsText" text="Погрузчик базы">
      <formula>NOT(ISERROR(SEARCH("Погрузчик базы",B2277)))</formula>
    </cfRule>
  </conditionalFormatting>
  <conditionalFormatting sqref="A2279">
    <cfRule type="containsText" dxfId="393" priority="288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392" priority="290" operator="containsText" text="Выезд с территории">
      <formula>NOT(ISERROR(SEARCH("Выезд с территории",A2279)))</formula>
    </cfRule>
  </conditionalFormatting>
  <conditionalFormatting sqref="A2279">
    <cfRule type="containsText" dxfId="391" priority="289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390" priority="285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389" priority="287" operator="containsText" text="Выезд с территории">
      <formula>NOT(ISERROR(SEARCH("Выезд с территории",A2347)))</formula>
    </cfRule>
  </conditionalFormatting>
  <conditionalFormatting sqref="A2347">
    <cfRule type="containsText" dxfId="388" priority="286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387" priority="266" operator="containsText" text="Трактор базы">
      <formula>NOT(ISERROR(SEARCH("Трактор базы",B2382)))</formula>
    </cfRule>
  </conditionalFormatting>
  <conditionalFormatting sqref="B2348:B2349">
    <cfRule type="containsText" dxfId="386" priority="284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385" priority="282" operator="containsText" text="Газель базы">
      <formula>NOT(ISERROR(SEARCH("Газель базы",B2348)))</formula>
    </cfRule>
    <cfRule type="containsText" dxfId="384" priority="283" operator="containsText" text="Погрузчик базы">
      <formula>NOT(ISERROR(SEARCH("Погрузчик базы",B2348)))</formula>
    </cfRule>
  </conditionalFormatting>
  <conditionalFormatting sqref="B2348:B2349">
    <cfRule type="containsText" dxfId="383" priority="281" operator="containsText" text="Трактор базы">
      <formula>NOT(ISERROR(SEARCH("Трактор базы",B2348)))</formula>
    </cfRule>
  </conditionalFormatting>
  <conditionalFormatting sqref="A2350">
    <cfRule type="containsText" dxfId="382" priority="278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381" priority="280" operator="containsText" text="Выезд с территории">
      <formula>NOT(ISERROR(SEARCH("Выезд с территории",A2350)))</formula>
    </cfRule>
  </conditionalFormatting>
  <conditionalFormatting sqref="A2350">
    <cfRule type="containsText" dxfId="380" priority="279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379" priority="277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378" priority="275" operator="containsText" text="Газель базы">
      <formula>NOT(ISERROR(SEARCH("Газель базы",B2352)))</formula>
    </cfRule>
    <cfRule type="containsText" dxfId="377" priority="276" operator="containsText" text="Погрузчик базы">
      <formula>NOT(ISERROR(SEARCH("Погрузчик базы",B2352)))</formula>
    </cfRule>
  </conditionalFormatting>
  <conditionalFormatting sqref="B2352:B2354">
    <cfRule type="containsText" dxfId="376" priority="274" operator="containsText" text="Трактор базы">
      <formula>NOT(ISERROR(SEARCH("Трактор базы",B2352)))</formula>
    </cfRule>
  </conditionalFormatting>
  <conditionalFormatting sqref="B2358">
    <cfRule type="containsText" dxfId="375" priority="273" operator="containsText" text="Выезд с территории">
      <formula>NOT(ISERROR(SEARCH("Выезд с территории",B2358)))</formula>
    </cfRule>
  </conditionalFormatting>
  <conditionalFormatting sqref="B2358">
    <cfRule type="containsText" dxfId="374" priority="271" operator="containsText" text="Газель базы">
      <formula>NOT(ISERROR(SEARCH("Газель базы",B2358)))</formula>
    </cfRule>
    <cfRule type="containsText" dxfId="373" priority="272" operator="containsText" text="Погрузчик базы">
      <formula>NOT(ISERROR(SEARCH("Погрузчик базы",B2358)))</formula>
    </cfRule>
  </conditionalFormatting>
  <conditionalFormatting sqref="B2358">
    <cfRule type="containsText" dxfId="372" priority="270" operator="containsText" text="Трактор базы">
      <formula>NOT(ISERROR(SEARCH("Трактор базы",B2358)))</formula>
    </cfRule>
  </conditionalFormatting>
  <conditionalFormatting sqref="B2382">
    <cfRule type="containsText" dxfId="371" priority="269" operator="containsText" text="Выезд с территории">
      <formula>NOT(ISERROR(SEARCH("Выезд с территории",B2382)))</formula>
    </cfRule>
  </conditionalFormatting>
  <conditionalFormatting sqref="B2382">
    <cfRule type="containsText" dxfId="370" priority="267" operator="containsText" text="Газель базы">
      <formula>NOT(ISERROR(SEARCH("Газель базы",B2382)))</formula>
    </cfRule>
    <cfRule type="containsText" dxfId="369" priority="268" operator="containsText" text="Погрузчик базы">
      <formula>NOT(ISERROR(SEARCH("Погрузчик базы",B2382)))</formula>
    </cfRule>
  </conditionalFormatting>
  <conditionalFormatting sqref="B2423:B2424">
    <cfRule type="containsText" dxfId="368" priority="265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367" priority="263" operator="containsText" text="Газель базы">
      <formula>NOT(ISERROR(SEARCH("Газель базы",B2423)))</formula>
    </cfRule>
    <cfRule type="containsText" dxfId="366" priority="264" operator="containsText" text="Погрузчик базы">
      <formula>NOT(ISERROR(SEARCH("Погрузчик базы",B2423)))</formula>
    </cfRule>
  </conditionalFormatting>
  <conditionalFormatting sqref="B2423:B2424">
    <cfRule type="containsText" dxfId="365" priority="262" operator="containsText" text="Трактор базы">
      <formula>NOT(ISERROR(SEARCH("Трактор базы",B2423)))</formula>
    </cfRule>
  </conditionalFormatting>
  <conditionalFormatting sqref="B2431">
    <cfRule type="containsText" dxfId="364" priority="261" operator="containsText" text="Выезд с территории">
      <formula>NOT(ISERROR(SEARCH("Выезд с территории",B2431)))</formula>
    </cfRule>
  </conditionalFormatting>
  <conditionalFormatting sqref="B2431">
    <cfRule type="containsText" dxfId="363" priority="259" operator="containsText" text="Газель базы">
      <formula>NOT(ISERROR(SEARCH("Газель базы",B2431)))</formula>
    </cfRule>
    <cfRule type="containsText" dxfId="362" priority="260" operator="containsText" text="Погрузчик базы">
      <formula>NOT(ISERROR(SEARCH("Погрузчик базы",B2431)))</formula>
    </cfRule>
  </conditionalFormatting>
  <conditionalFormatting sqref="B2431">
    <cfRule type="containsText" dxfId="361" priority="258" operator="containsText" text="Трактор базы">
      <formula>NOT(ISERROR(SEARCH("Трактор базы",B2431)))</formula>
    </cfRule>
  </conditionalFormatting>
  <conditionalFormatting sqref="B2478">
    <cfRule type="containsText" dxfId="360" priority="246" operator="containsText" text="Трактор базы">
      <formula>NOT(ISERROR(SEARCH("Трактор базы",B2478)))</formula>
    </cfRule>
  </conditionalFormatting>
  <conditionalFormatting sqref="B2462:B2463">
    <cfRule type="containsText" dxfId="359" priority="257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58" priority="255" operator="containsText" text="Газель базы">
      <formula>NOT(ISERROR(SEARCH("Газель базы",B2462)))</formula>
    </cfRule>
    <cfRule type="containsText" dxfId="357" priority="256" operator="containsText" text="Погрузчик базы">
      <formula>NOT(ISERROR(SEARCH("Погрузчик базы",B2462)))</formula>
    </cfRule>
  </conditionalFormatting>
  <conditionalFormatting sqref="B2462:B2463">
    <cfRule type="containsText" dxfId="356" priority="254" operator="containsText" text="Трактор базы">
      <formula>NOT(ISERROR(SEARCH("Трактор базы",B2462)))</formula>
    </cfRule>
  </conditionalFormatting>
  <conditionalFormatting sqref="B2467">
    <cfRule type="containsText" dxfId="355" priority="253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54" priority="251" operator="containsText" text="Газель базы">
      <formula>NOT(ISERROR(SEARCH("Газель базы",B2467)))</formula>
    </cfRule>
    <cfRule type="containsText" dxfId="353" priority="252" operator="containsText" text="Погрузчик базы">
      <formula>NOT(ISERROR(SEARCH("Погрузчик базы",B2467)))</formula>
    </cfRule>
  </conditionalFormatting>
  <conditionalFormatting sqref="B2467">
    <cfRule type="containsText" dxfId="352" priority="250" operator="containsText" text="Трактор базы">
      <formula>NOT(ISERROR(SEARCH("Трактор базы",B2467)))</formula>
    </cfRule>
  </conditionalFormatting>
  <conditionalFormatting sqref="B2478">
    <cfRule type="containsText" dxfId="351" priority="249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50" priority="247" operator="containsText" text="Газель базы">
      <formula>NOT(ISERROR(SEARCH("Газель базы",B2478)))</formula>
    </cfRule>
    <cfRule type="containsText" dxfId="349" priority="248" operator="containsText" text="Погрузчик базы">
      <formula>NOT(ISERROR(SEARCH("Погрузчик базы",B2478)))</formula>
    </cfRule>
  </conditionalFormatting>
  <conditionalFormatting sqref="B2499">
    <cfRule type="containsText" dxfId="348" priority="234" operator="containsText" text="Трактор базы">
      <formula>NOT(ISERROR(SEARCH("Трактор базы",B2499)))</formula>
    </cfRule>
  </conditionalFormatting>
  <conditionalFormatting sqref="B2497">
    <cfRule type="containsText" dxfId="347" priority="245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46" priority="243" operator="containsText" text="Газель базы">
      <formula>NOT(ISERROR(SEARCH("Газель базы",B2497)))</formula>
    </cfRule>
    <cfRule type="containsText" dxfId="345" priority="244" operator="containsText" text="Погрузчик базы">
      <formula>NOT(ISERROR(SEARCH("Погрузчик базы",B2497)))</formula>
    </cfRule>
  </conditionalFormatting>
  <conditionalFormatting sqref="B2497">
    <cfRule type="containsText" dxfId="344" priority="242" operator="containsText" text="Трактор базы">
      <formula>NOT(ISERROR(SEARCH("Трактор базы",B2497)))</formula>
    </cfRule>
  </conditionalFormatting>
  <conditionalFormatting sqref="B2498">
    <cfRule type="containsText" dxfId="343" priority="241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42" priority="239" operator="containsText" text="Газель базы">
      <formula>NOT(ISERROR(SEARCH("Газель базы",B2498)))</formula>
    </cfRule>
    <cfRule type="containsText" dxfId="341" priority="240" operator="containsText" text="Погрузчик базы">
      <formula>NOT(ISERROR(SEARCH("Погрузчик базы",B2498)))</formula>
    </cfRule>
  </conditionalFormatting>
  <conditionalFormatting sqref="B2498">
    <cfRule type="containsText" dxfId="340" priority="238" operator="containsText" text="Трактор базы">
      <formula>NOT(ISERROR(SEARCH("Трактор базы",B2498)))</formula>
    </cfRule>
  </conditionalFormatting>
  <conditionalFormatting sqref="B2499">
    <cfRule type="containsText" dxfId="339" priority="237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38" priority="235" operator="containsText" text="Газель базы">
      <formula>NOT(ISERROR(SEARCH("Газель базы",B2499)))</formula>
    </cfRule>
    <cfRule type="containsText" dxfId="337" priority="236" operator="containsText" text="Погрузчик базы">
      <formula>NOT(ISERROR(SEARCH("Погрузчик базы",B2499)))</formula>
    </cfRule>
  </conditionalFormatting>
  <conditionalFormatting sqref="B2512:B2513">
    <cfRule type="containsText" dxfId="336" priority="208" operator="containsText" text="Трактор базы">
      <formula>NOT(ISERROR(SEARCH("Трактор базы",B2512)))</formula>
    </cfRule>
  </conditionalFormatting>
  <conditionalFormatting sqref="B2500">
    <cfRule type="containsText" dxfId="335" priority="233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34" priority="231" operator="containsText" text="Газель базы">
      <formula>NOT(ISERROR(SEARCH("Газель базы",B2500)))</formula>
    </cfRule>
    <cfRule type="containsText" dxfId="333" priority="232" operator="containsText" text="Погрузчик базы">
      <formula>NOT(ISERROR(SEARCH("Погрузчик базы",B2500)))</formula>
    </cfRule>
  </conditionalFormatting>
  <conditionalFormatting sqref="B2500">
    <cfRule type="containsText" dxfId="332" priority="230" operator="containsText" text="Трактор базы">
      <formula>NOT(ISERROR(SEARCH("Трактор базы",B2500)))</formula>
    </cfRule>
  </conditionalFormatting>
  <conditionalFormatting sqref="B2501">
    <cfRule type="containsText" dxfId="331" priority="229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30" priority="227" operator="containsText" text="Газель базы">
      <formula>NOT(ISERROR(SEARCH("Газель базы",B2501)))</formula>
    </cfRule>
    <cfRule type="containsText" dxfId="329" priority="228" operator="containsText" text="Погрузчик базы">
      <formula>NOT(ISERROR(SEARCH("Погрузчик базы",B2501)))</formula>
    </cfRule>
  </conditionalFormatting>
  <conditionalFormatting sqref="B2501">
    <cfRule type="containsText" dxfId="328" priority="226" operator="containsText" text="Трактор базы">
      <formula>NOT(ISERROR(SEARCH("Трактор базы",B2501)))</formula>
    </cfRule>
  </conditionalFormatting>
  <conditionalFormatting sqref="B2502">
    <cfRule type="containsText" dxfId="327" priority="222" operator="containsText" text="Трактор базы">
      <formula>NOT(ISERROR(SEARCH("Трактор базы",B2502)))</formula>
    </cfRule>
  </conditionalFormatting>
  <conditionalFormatting sqref="B2502">
    <cfRule type="containsText" dxfId="326" priority="225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25" priority="223" operator="containsText" text="Газель базы">
      <formula>NOT(ISERROR(SEARCH("Газель базы",B2502)))</formula>
    </cfRule>
    <cfRule type="containsText" dxfId="324" priority="224" operator="containsText" text="Погрузчик базы">
      <formula>NOT(ISERROR(SEARCH("Погрузчик базы",B2502)))</formula>
    </cfRule>
  </conditionalFormatting>
  <conditionalFormatting sqref="A2503:A2504">
    <cfRule type="containsText" dxfId="323" priority="219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22" priority="221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21" priority="220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20" priority="216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19" priority="218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18" priority="217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17" priority="215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16" priority="213" operator="containsText" text="Газель базы">
      <formula>NOT(ISERROR(SEARCH("Газель базы",B2509)))</formula>
    </cfRule>
    <cfRule type="containsText" dxfId="315" priority="214" operator="containsText" text="Погрузчик базы">
      <formula>NOT(ISERROR(SEARCH("Погрузчик базы",B2509)))</formula>
    </cfRule>
  </conditionalFormatting>
  <conditionalFormatting sqref="B2509">
    <cfRule type="containsText" dxfId="314" priority="212" operator="containsText" text="Трактор базы">
      <formula>NOT(ISERROR(SEARCH("Трактор базы",B2509)))</formula>
    </cfRule>
  </conditionalFormatting>
  <conditionalFormatting sqref="B2512:B2513">
    <cfRule type="containsText" dxfId="313" priority="211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12" priority="209" operator="containsText" text="Газель базы">
      <formula>NOT(ISERROR(SEARCH("Газель базы",B2512)))</formula>
    </cfRule>
    <cfRule type="containsText" dxfId="311" priority="210" operator="containsText" text="Погрузчик базы">
      <formula>NOT(ISERROR(SEARCH("Погрузчик базы",B2512)))</formula>
    </cfRule>
  </conditionalFormatting>
  <conditionalFormatting sqref="E2586">
    <cfRule type="containsText" dxfId="310" priority="207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09" priority="204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08" priority="206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07" priority="205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06" priority="203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05" priority="201" operator="containsText" text="Газель базы">
      <formula>NOT(ISERROR(SEARCH("Газель базы",B2810)))</formula>
    </cfRule>
    <cfRule type="containsText" dxfId="304" priority="202" operator="containsText" text="Погрузчик базы">
      <formula>NOT(ISERROR(SEARCH("Погрузчик базы",B2810)))</formula>
    </cfRule>
  </conditionalFormatting>
  <conditionalFormatting sqref="B2810:B2811">
    <cfRule type="containsText" dxfId="303" priority="200" operator="containsText" text="Трактор базы">
      <formula>NOT(ISERROR(SEARCH("Трактор базы",B2810)))</formula>
    </cfRule>
  </conditionalFormatting>
  <conditionalFormatting sqref="B2923:B2927">
    <cfRule type="containsText" dxfId="302" priority="196" operator="containsText" text="Трактор базы">
      <formula>NOT(ISERROR(SEARCH("Трактор базы",B2923)))</formula>
    </cfRule>
  </conditionalFormatting>
  <conditionalFormatting sqref="B2923:B2927">
    <cfRule type="containsText" dxfId="301" priority="199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00" priority="197" operator="containsText" text="Газель базы">
      <formula>NOT(ISERROR(SEARCH("Газель базы",B2923)))</formula>
    </cfRule>
    <cfRule type="containsText" dxfId="299" priority="198" operator="containsText" text="Погрузчик базы">
      <formula>NOT(ISERROR(SEARCH("Погрузчик базы",B2923)))</formula>
    </cfRule>
  </conditionalFormatting>
  <conditionalFormatting sqref="A2991">
    <cfRule type="containsText" dxfId="298" priority="195" operator="containsText" text="Выезд с территории">
      <formula>NOT(ISERROR(SEARCH("Выезд с территории",A2991)))</formula>
    </cfRule>
  </conditionalFormatting>
  <conditionalFormatting sqref="A2991">
    <cfRule type="containsText" dxfId="297" priority="194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296" priority="193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295" priority="192" operator="containsText" text="Выезд с территории">
      <formula>NOT(ISERROR(SEARCH("Выезд с территории",B2993)))</formula>
    </cfRule>
  </conditionalFormatting>
  <conditionalFormatting sqref="B2993">
    <cfRule type="containsText" dxfId="294" priority="190" operator="containsText" text="Газель базы">
      <formula>NOT(ISERROR(SEARCH("Газель базы",B2993)))</formula>
    </cfRule>
    <cfRule type="containsText" dxfId="293" priority="191" operator="containsText" text="Погрузчик базы">
      <formula>NOT(ISERROR(SEARCH("Погрузчик базы",B2993)))</formula>
    </cfRule>
  </conditionalFormatting>
  <conditionalFormatting sqref="B2993">
    <cfRule type="containsText" dxfId="292" priority="189" operator="containsText" text="Трактор базы">
      <formula>NOT(ISERROR(SEARCH("Трактор базы",B2993)))</formula>
    </cfRule>
  </conditionalFormatting>
  <conditionalFormatting sqref="B2995">
    <cfRule type="containsText" dxfId="291" priority="185" operator="containsText" text="Трактор базы">
      <formula>NOT(ISERROR(SEARCH("Трактор базы",B2995)))</formula>
    </cfRule>
  </conditionalFormatting>
  <conditionalFormatting sqref="B2995">
    <cfRule type="containsText" dxfId="290" priority="188" operator="containsText" text="Выезд с территории">
      <formula>NOT(ISERROR(SEARCH("Выезд с территории",B2995)))</formula>
    </cfRule>
  </conditionalFormatting>
  <conditionalFormatting sqref="B2995">
    <cfRule type="containsText" dxfId="289" priority="186" operator="containsText" text="Газель базы">
      <formula>NOT(ISERROR(SEARCH("Газель базы",B2995)))</formula>
    </cfRule>
    <cfRule type="containsText" dxfId="288" priority="187" operator="containsText" text="Погрузчик базы">
      <formula>NOT(ISERROR(SEARCH("Погрузчик базы",B2995)))</formula>
    </cfRule>
  </conditionalFormatting>
  <conditionalFormatting sqref="A3008">
    <cfRule type="containsText" dxfId="287" priority="182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286" priority="184" operator="containsText" text="Выезд с территории">
      <formula>NOT(ISERROR(SEARCH("Выезд с территории",A3008)))</formula>
    </cfRule>
  </conditionalFormatting>
  <conditionalFormatting sqref="A3008">
    <cfRule type="containsText" dxfId="285" priority="183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284" priority="179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283" priority="181" operator="containsText" text="Выезд с территории">
      <formula>NOT(ISERROR(SEARCH("Выезд с территории",A3045)))</formula>
    </cfRule>
  </conditionalFormatting>
  <conditionalFormatting sqref="A3045">
    <cfRule type="containsText" dxfId="282" priority="180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281" priority="176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280" priority="178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279" priority="177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278" priority="172" operator="containsText" text="Трактор базы">
      <formula>NOT(ISERROR(SEARCH("Трактор базы",B3150)))</formula>
    </cfRule>
  </conditionalFormatting>
  <conditionalFormatting sqref="B3203">
    <cfRule type="containsText" dxfId="277" priority="164" operator="containsText" text="Трактор базы">
      <formula>NOT(ISERROR(SEARCH("Трактор базы",B3203)))</formula>
    </cfRule>
  </conditionalFormatting>
  <conditionalFormatting sqref="B3150:B3151">
    <cfRule type="containsText" dxfId="276" priority="175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275" priority="173" operator="containsText" text="Газель базы">
      <formula>NOT(ISERROR(SEARCH("Газель базы",B3150)))</formula>
    </cfRule>
    <cfRule type="containsText" dxfId="274" priority="174" operator="containsText" text="Погрузчик базы">
      <formula>NOT(ISERROR(SEARCH("Погрузчик базы",B3150)))</formula>
    </cfRule>
  </conditionalFormatting>
  <conditionalFormatting sqref="B3201">
    <cfRule type="containsText" dxfId="273" priority="168" operator="containsText" text="Трактор базы">
      <formula>NOT(ISERROR(SEARCH("Трактор базы",B3201)))</formula>
    </cfRule>
  </conditionalFormatting>
  <conditionalFormatting sqref="B3201">
    <cfRule type="containsText" dxfId="272" priority="171" operator="containsText" text="Выезд с территории">
      <formula>NOT(ISERROR(SEARCH("Выезд с территории",B3201)))</formula>
    </cfRule>
  </conditionalFormatting>
  <conditionalFormatting sqref="B3201">
    <cfRule type="containsText" dxfId="271" priority="169" operator="containsText" text="Газель базы">
      <formula>NOT(ISERROR(SEARCH("Газель базы",B3201)))</formula>
    </cfRule>
    <cfRule type="containsText" dxfId="270" priority="170" operator="containsText" text="Погрузчик базы">
      <formula>NOT(ISERROR(SEARCH("Погрузчик базы",B3201)))</formula>
    </cfRule>
  </conditionalFormatting>
  <conditionalFormatting sqref="B3203">
    <cfRule type="containsText" dxfId="269" priority="167" operator="containsText" text="Выезд с территории">
      <formula>NOT(ISERROR(SEARCH("Выезд с территории",B3203)))</formula>
    </cfRule>
  </conditionalFormatting>
  <conditionalFormatting sqref="B3203">
    <cfRule type="containsText" dxfId="268" priority="165" operator="containsText" text="Газель базы">
      <formula>NOT(ISERROR(SEARCH("Газель базы",B3203)))</formula>
    </cfRule>
    <cfRule type="containsText" dxfId="267" priority="166" operator="containsText" text="Погрузчик базы">
      <formula>NOT(ISERROR(SEARCH("Погрузчик базы",B3203)))</formula>
    </cfRule>
  </conditionalFormatting>
  <conditionalFormatting sqref="B3227:B3229">
    <cfRule type="containsText" dxfId="266" priority="163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265" priority="161" operator="containsText" text="Газель базы">
      <formula>NOT(ISERROR(SEARCH("Газель базы",B3227)))</formula>
    </cfRule>
    <cfRule type="containsText" dxfId="264" priority="162" operator="containsText" text="Погрузчик базы">
      <formula>NOT(ISERROR(SEARCH("Погрузчик базы",B3227)))</formula>
    </cfRule>
  </conditionalFormatting>
  <conditionalFormatting sqref="B3227:B3229">
    <cfRule type="containsText" dxfId="263" priority="160" operator="containsText" text="Трактор базы">
      <formula>NOT(ISERROR(SEARCH("Трактор базы",B3227)))</formula>
    </cfRule>
  </conditionalFormatting>
  <conditionalFormatting sqref="B3259:B3261">
    <cfRule type="containsText" dxfId="262" priority="159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261" priority="157" operator="containsText" text="Газель базы">
      <formula>NOT(ISERROR(SEARCH("Газель базы",B3259)))</formula>
    </cfRule>
    <cfRule type="containsText" dxfId="260" priority="158" operator="containsText" text="Погрузчик базы">
      <formula>NOT(ISERROR(SEARCH("Погрузчик базы",B3259)))</formula>
    </cfRule>
  </conditionalFormatting>
  <conditionalFormatting sqref="B3259:B3261">
    <cfRule type="containsText" dxfId="259" priority="156" operator="containsText" text="Трактор базы">
      <formula>NOT(ISERROR(SEARCH("Трактор базы",B3259)))</formula>
    </cfRule>
  </conditionalFormatting>
  <conditionalFormatting sqref="A3335:A3336 A3373:A3374">
    <cfRule type="containsText" dxfId="258" priority="150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57" priority="152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56" priority="151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55" priority="147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54" priority="149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53" priority="148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52" priority="146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51" priority="144" operator="containsText" text="Газель базы">
      <formula>NOT(ISERROR(SEARCH("Газель базы",B3364)))</formula>
    </cfRule>
    <cfRule type="containsText" dxfId="250" priority="145" operator="containsText" text="Погрузчик базы">
      <formula>NOT(ISERROR(SEARCH("Погрузчик базы",B3364)))</formula>
    </cfRule>
  </conditionalFormatting>
  <conditionalFormatting sqref="B3364:B3365">
    <cfRule type="containsText" dxfId="249" priority="143" operator="containsText" text="Трактор базы">
      <formula>NOT(ISERROR(SEARCH("Трактор базы",B3364)))</formula>
    </cfRule>
  </conditionalFormatting>
  <conditionalFormatting sqref="A3364">
    <cfRule type="containsText" dxfId="248" priority="142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47" priority="141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46" priority="140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45" priority="138" operator="containsText" text="Газель базы">
      <formula>NOT(ISERROR(SEARCH("Газель базы",B3366)))</formula>
    </cfRule>
    <cfRule type="containsText" dxfId="244" priority="139" operator="containsText" text="Погрузчик базы">
      <formula>NOT(ISERROR(SEARCH("Погрузчик базы",B3366)))</formula>
    </cfRule>
  </conditionalFormatting>
  <conditionalFormatting sqref="B3366">
    <cfRule type="containsText" dxfId="243" priority="137" operator="containsText" text="Трактор базы">
      <formula>NOT(ISERROR(SEARCH("Трактор базы",B3366)))</formula>
    </cfRule>
  </conditionalFormatting>
  <conditionalFormatting sqref="A3366">
    <cfRule type="containsText" dxfId="242" priority="136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41" priority="135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40" priority="134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39" priority="132" operator="containsText" text="Газель базы">
      <formula>NOT(ISERROR(SEARCH("Газель базы",B3367)))</formula>
    </cfRule>
    <cfRule type="containsText" dxfId="238" priority="133" operator="containsText" text="Погрузчик базы">
      <formula>NOT(ISERROR(SEARCH("Погрузчик базы",B3367)))</formula>
    </cfRule>
  </conditionalFormatting>
  <conditionalFormatting sqref="B3367">
    <cfRule type="containsText" dxfId="237" priority="131" operator="containsText" text="Трактор базы">
      <formula>NOT(ISERROR(SEARCH("Трактор базы",B3367)))</formula>
    </cfRule>
  </conditionalFormatting>
  <conditionalFormatting sqref="A3430:B3430">
    <cfRule type="containsText" dxfId="236" priority="130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35" priority="128" operator="containsText" text="Газель базы">
      <formula>NOT(ISERROR(SEARCH("Газель базы",B3430)))</formula>
    </cfRule>
    <cfRule type="containsText" dxfId="234" priority="129" operator="containsText" text="Погрузчик базы">
      <formula>NOT(ISERROR(SEARCH("Погрузчик базы",B3430)))</formula>
    </cfRule>
  </conditionalFormatting>
  <conditionalFormatting sqref="B3430">
    <cfRule type="containsText" dxfId="233" priority="127" operator="containsText" text="Трактор базы">
      <formula>NOT(ISERROR(SEARCH("Трактор базы",B3430)))</formula>
    </cfRule>
  </conditionalFormatting>
  <conditionalFormatting sqref="A3430">
    <cfRule type="containsText" dxfId="232" priority="126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31" priority="125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30" priority="116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29" priority="118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28" priority="117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27" priority="115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26" priority="113" operator="containsText" text="Газель базы">
      <formula>NOT(ISERROR(SEARCH("Газель базы",B3480)))</formula>
    </cfRule>
    <cfRule type="containsText" dxfId="225" priority="114" operator="containsText" text="Погрузчик базы">
      <formula>NOT(ISERROR(SEARCH("Погрузчик базы",B3480)))</formula>
    </cfRule>
  </conditionalFormatting>
  <conditionalFormatting sqref="B3480">
    <cfRule type="containsText" dxfId="224" priority="112" operator="containsText" text="Трактор базы">
      <formula>NOT(ISERROR(SEARCH("Трактор базы",B3480)))</formula>
    </cfRule>
  </conditionalFormatting>
  <conditionalFormatting sqref="A3480">
    <cfRule type="containsText" dxfId="223" priority="110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22" priority="111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21" priority="107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20" priority="109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19" priority="108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18" priority="104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17" priority="106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16" priority="105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15" priority="96" operator="containsText" text="Трактор базы">
      <formula>NOT(ISERROR(SEARCH("Трактор базы",B3601)))</formula>
    </cfRule>
  </conditionalFormatting>
  <conditionalFormatting sqref="B3601:B3612">
    <cfRule type="containsText" dxfId="214" priority="99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13" priority="97" operator="containsText" text="Газель базы">
      <formula>NOT(ISERROR(SEARCH("Газель базы",B3601)))</formula>
    </cfRule>
    <cfRule type="containsText" dxfId="212" priority="98" operator="containsText" text="Погрузчик базы">
      <formula>NOT(ISERROR(SEARCH("Погрузчик базы",B3601)))</formula>
    </cfRule>
  </conditionalFormatting>
  <conditionalFormatting sqref="A3696">
    <cfRule type="containsText" dxfId="211" priority="93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10" priority="95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09" priority="94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08" priority="90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07" priority="87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06" priority="92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05" priority="91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04" priority="89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03" priority="88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02" priority="86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01" priority="84" operator="containsText" text="Газель базы">
      <formula>NOT(ISERROR(SEARCH("Газель базы",B3750)))</formula>
    </cfRule>
    <cfRule type="containsText" dxfId="200" priority="85" operator="containsText" text="Погрузчик базы">
      <formula>NOT(ISERROR(SEARCH("Погрузчик базы",B3750)))</formula>
    </cfRule>
  </conditionalFormatting>
  <conditionalFormatting sqref="B3750:B3751">
    <cfRule type="containsText" dxfId="199" priority="83" operator="containsText" text="Трактор базы">
      <formula>NOT(ISERROR(SEARCH("Трактор базы",B3750)))</formula>
    </cfRule>
  </conditionalFormatting>
  <conditionalFormatting sqref="B3761:B3762">
    <cfRule type="containsText" dxfId="198" priority="82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197" priority="80" operator="containsText" text="Газель базы">
      <formula>NOT(ISERROR(SEARCH("Газель базы",B3761)))</formula>
    </cfRule>
    <cfRule type="containsText" dxfId="196" priority="81" operator="containsText" text="Погрузчик базы">
      <formula>NOT(ISERROR(SEARCH("Погрузчик базы",B3761)))</formula>
    </cfRule>
  </conditionalFormatting>
  <conditionalFormatting sqref="B3761:B3762">
    <cfRule type="containsText" dxfId="195" priority="79" operator="containsText" text="Трактор базы">
      <formula>NOT(ISERROR(SEARCH("Трактор базы",B3761)))</formula>
    </cfRule>
  </conditionalFormatting>
  <conditionalFormatting sqref="A3778">
    <cfRule type="containsText" dxfId="194" priority="78" operator="containsText" text="Выезд с территории">
      <formula>NOT(ISERROR(SEARCH("Выезд с территории",A3778)))</formula>
    </cfRule>
  </conditionalFormatting>
  <conditionalFormatting sqref="A3778">
    <cfRule type="containsText" dxfId="193" priority="77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192" priority="76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191" priority="72" operator="containsText" text="Камера не работала">
      <formula>NOT(ISERROR(SEARCH("Камера не работала",A3790)))</formula>
    </cfRule>
  </conditionalFormatting>
  <conditionalFormatting sqref="A3790">
    <cfRule type="containsText" dxfId="190" priority="75" operator="containsText" text="Выезд с территории">
      <formula>NOT(ISERROR(SEARCH("Выезд с территории",A3790)))</formula>
    </cfRule>
  </conditionalFormatting>
  <conditionalFormatting sqref="A3790">
    <cfRule type="containsText" dxfId="189" priority="74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188" priority="73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187" priority="71" operator="containsText" text="Выезд с территории">
      <formula>NOT(ISERROR(SEARCH("Выезд с территории",B3797)))</formula>
    </cfRule>
  </conditionalFormatting>
  <conditionalFormatting sqref="B3797">
    <cfRule type="containsText" dxfId="186" priority="69" operator="containsText" text="Газель базы">
      <formula>NOT(ISERROR(SEARCH("Газель базы",B3797)))</formula>
    </cfRule>
    <cfRule type="containsText" dxfId="185" priority="70" operator="containsText" text="Погрузчик базы">
      <formula>NOT(ISERROR(SEARCH("Погрузчик базы",B3797)))</formula>
    </cfRule>
  </conditionalFormatting>
  <conditionalFormatting sqref="B3797">
    <cfRule type="containsText" dxfId="184" priority="68" operator="containsText" text="Трактор базы">
      <formula>NOT(ISERROR(SEARCH("Трактор базы",B3797)))</formula>
    </cfRule>
  </conditionalFormatting>
  <conditionalFormatting sqref="B3799:B3800">
    <cfRule type="containsText" dxfId="183" priority="67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182" priority="65" operator="containsText" text="Газель базы">
      <formula>NOT(ISERROR(SEARCH("Газель базы",B3799)))</formula>
    </cfRule>
    <cfRule type="containsText" dxfId="181" priority="66" operator="containsText" text="Погрузчик базы">
      <formula>NOT(ISERROR(SEARCH("Погрузчик базы",B3799)))</formula>
    </cfRule>
  </conditionalFormatting>
  <conditionalFormatting sqref="B3799:B3800">
    <cfRule type="containsText" dxfId="180" priority="64" operator="containsText" text="Трактор базы">
      <formula>NOT(ISERROR(SEARCH("Трактор базы",B3799)))</formula>
    </cfRule>
  </conditionalFormatting>
  <conditionalFormatting sqref="B3881">
    <cfRule type="containsText" dxfId="179" priority="63" operator="containsText" text="Выезд с территории">
      <formula>NOT(ISERROR(SEARCH("Выезд с территории",B3881)))</formula>
    </cfRule>
  </conditionalFormatting>
  <conditionalFormatting sqref="B3881">
    <cfRule type="containsText" dxfId="178" priority="61" operator="containsText" text="Газель базы">
      <formula>NOT(ISERROR(SEARCH("Газель базы",B3881)))</formula>
    </cfRule>
    <cfRule type="containsText" dxfId="177" priority="62" operator="containsText" text="Погрузчик базы">
      <formula>NOT(ISERROR(SEARCH("Погрузчик базы",B3881)))</formula>
    </cfRule>
  </conditionalFormatting>
  <conditionalFormatting sqref="B3881">
    <cfRule type="containsText" dxfId="176" priority="60" operator="containsText" text="Трактор базы">
      <formula>NOT(ISERROR(SEARCH("Трактор базы",B3881)))</formula>
    </cfRule>
  </conditionalFormatting>
  <conditionalFormatting sqref="B3884">
    <cfRule type="containsText" dxfId="175" priority="56" operator="containsText" text="Трактор базы">
      <formula>NOT(ISERROR(SEARCH("Трактор базы",B3884)))</formula>
    </cfRule>
  </conditionalFormatting>
  <conditionalFormatting sqref="B3884">
    <cfRule type="containsText" dxfId="174" priority="59" operator="containsText" text="Выезд с территории">
      <formula>NOT(ISERROR(SEARCH("Выезд с территории",B3884)))</formula>
    </cfRule>
  </conditionalFormatting>
  <conditionalFormatting sqref="B3884">
    <cfRule type="containsText" dxfId="173" priority="57" operator="containsText" text="Газель базы">
      <formula>NOT(ISERROR(SEARCH("Газель базы",B3884)))</formula>
    </cfRule>
    <cfRule type="containsText" dxfId="172" priority="58" operator="containsText" text="Погрузчик базы">
      <formula>NOT(ISERROR(SEARCH("Погрузчик базы",B3884)))</formula>
    </cfRule>
  </conditionalFormatting>
  <conditionalFormatting sqref="B3913">
    <cfRule type="containsText" dxfId="171" priority="52" operator="containsText" text="Трактор базы">
      <formula>NOT(ISERROR(SEARCH("Трактор базы",B3913)))</formula>
    </cfRule>
  </conditionalFormatting>
  <conditionalFormatting sqref="B3913">
    <cfRule type="containsText" dxfId="170" priority="55" operator="containsText" text="Выезд с территории">
      <formula>NOT(ISERROR(SEARCH("Выезд с территории",B3913)))</formula>
    </cfRule>
  </conditionalFormatting>
  <conditionalFormatting sqref="B3913">
    <cfRule type="containsText" dxfId="169" priority="53" operator="containsText" text="Газель базы">
      <formula>NOT(ISERROR(SEARCH("Газель базы",B3913)))</formula>
    </cfRule>
    <cfRule type="containsText" dxfId="168" priority="54" operator="containsText" text="Погрузчик базы">
      <formula>NOT(ISERROR(SEARCH("Погрузчик базы",B3913)))</formula>
    </cfRule>
  </conditionalFormatting>
  <conditionalFormatting sqref="A3935">
    <cfRule type="containsText" dxfId="167" priority="46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166" priority="51" operator="containsText" text="Выезд с территории">
      <formula>NOT(ISERROR(SEARCH("Выезд с территории",A3935)))</formula>
    </cfRule>
  </conditionalFormatting>
  <conditionalFormatting sqref="B3935">
    <cfRule type="containsText" dxfId="165" priority="49" operator="containsText" text="Газель базы">
      <formula>NOT(ISERROR(SEARCH("Газель базы",B3935)))</formula>
    </cfRule>
    <cfRule type="containsText" dxfId="164" priority="50" operator="containsText" text="Погрузчик базы">
      <formula>NOT(ISERROR(SEARCH("Погрузчик базы",B3935)))</formula>
    </cfRule>
  </conditionalFormatting>
  <conditionalFormatting sqref="B3935">
    <cfRule type="containsText" dxfId="163" priority="48" operator="containsText" text="Трактор базы">
      <formula>NOT(ISERROR(SEARCH("Трактор базы",B3935)))</formula>
    </cfRule>
  </conditionalFormatting>
  <conditionalFormatting sqref="A3935">
    <cfRule type="containsText" dxfId="162" priority="47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161" priority="42" operator="containsText" text="Трактор базы">
      <formula>NOT(ISERROR(SEARCH("Трактор базы",B3937)))</formula>
    </cfRule>
  </conditionalFormatting>
  <conditionalFormatting sqref="B3937">
    <cfRule type="containsText" dxfId="160" priority="45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59" priority="43" operator="containsText" text="Газель базы">
      <formula>NOT(ISERROR(SEARCH("Газель базы",B3937)))</formula>
    </cfRule>
    <cfRule type="containsText" dxfId="158" priority="44" operator="containsText" text="Погрузчик базы">
      <formula>NOT(ISERROR(SEARCH("Погрузчик базы",B3937)))</formula>
    </cfRule>
  </conditionalFormatting>
  <conditionalFormatting sqref="B3946">
    <cfRule type="containsText" dxfId="157" priority="33" operator="containsText" text="Трактор базы">
      <formula>NOT(ISERROR(SEARCH("Трактор базы",B3946)))</formula>
    </cfRule>
  </conditionalFormatting>
  <conditionalFormatting sqref="B3945">
    <cfRule type="containsText" dxfId="156" priority="41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55" priority="39" operator="containsText" text="Газель базы">
      <formula>NOT(ISERROR(SEARCH("Газель базы",B3945)))</formula>
    </cfRule>
    <cfRule type="containsText" dxfId="154" priority="40" operator="containsText" text="Погрузчик базы">
      <formula>NOT(ISERROR(SEARCH("Погрузчик базы",B3945)))</formula>
    </cfRule>
  </conditionalFormatting>
  <conditionalFormatting sqref="B3945">
    <cfRule type="containsText" dxfId="153" priority="38" operator="containsText" text="Трактор базы">
      <formula>NOT(ISERROR(SEARCH("Трактор базы",B3945)))</formula>
    </cfRule>
  </conditionalFormatting>
  <conditionalFormatting sqref="D3946:E3946 B3946">
    <cfRule type="containsText" dxfId="152" priority="37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51" priority="36" operator="notContains" text="порожний">
      <formula>ISERROR(SEARCH("порожний",C3946))</formula>
    </cfRule>
  </conditionalFormatting>
  <conditionalFormatting sqref="B3946">
    <cfRule type="containsText" dxfId="150" priority="34" operator="containsText" text="Газель базы">
      <formula>NOT(ISERROR(SEARCH("Газель базы",B3946)))</formula>
    </cfRule>
    <cfRule type="containsText" dxfId="149" priority="35" operator="containsText" text="Погрузчик базы">
      <formula>NOT(ISERROR(SEARCH("Погрузчик базы",B3946)))</formula>
    </cfRule>
  </conditionalFormatting>
  <conditionalFormatting sqref="B3966:B3967">
    <cfRule type="containsText" dxfId="148" priority="29" operator="containsText" text="Трактор базы">
      <formula>NOT(ISERROR(SEARCH("Трактор базы",B3966)))</formula>
    </cfRule>
  </conditionalFormatting>
  <conditionalFormatting sqref="B3966:B3967">
    <cfRule type="containsText" dxfId="147" priority="32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46" priority="30" operator="containsText" text="Газель базы">
      <formula>NOT(ISERROR(SEARCH("Газель базы",B3966)))</formula>
    </cfRule>
    <cfRule type="containsText" dxfId="145" priority="31" operator="containsText" text="Погрузчик базы">
      <formula>NOT(ISERROR(SEARCH("Погрузчик базы",B3966)))</formula>
    </cfRule>
  </conditionalFormatting>
  <conditionalFormatting sqref="B3976">
    <cfRule type="containsText" dxfId="144" priority="28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43" priority="26" operator="containsText" text="Газель базы">
      <formula>NOT(ISERROR(SEARCH("Газель базы",B3976)))</formula>
    </cfRule>
    <cfRule type="containsText" dxfId="142" priority="27" operator="containsText" text="Погрузчик базы">
      <formula>NOT(ISERROR(SEARCH("Погрузчик базы",B3976)))</formula>
    </cfRule>
  </conditionalFormatting>
  <conditionalFormatting sqref="B3976">
    <cfRule type="containsText" dxfId="141" priority="25" operator="containsText" text="Трактор базы">
      <formula>NOT(ISERROR(SEARCH("Трактор базы",B3976)))</formula>
    </cfRule>
  </conditionalFormatting>
  <conditionalFormatting sqref="B3984">
    <cfRule type="containsText" dxfId="140" priority="24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39" priority="22" operator="containsText" text="Газель базы">
      <formula>NOT(ISERROR(SEARCH("Газель базы",B3984)))</formula>
    </cfRule>
    <cfRule type="containsText" dxfId="138" priority="23" operator="containsText" text="Погрузчик базы">
      <formula>NOT(ISERROR(SEARCH("Погрузчик базы",B3984)))</formula>
    </cfRule>
  </conditionalFormatting>
  <conditionalFormatting sqref="B3984">
    <cfRule type="containsText" dxfId="137" priority="21" operator="containsText" text="Трактор базы">
      <formula>NOT(ISERROR(SEARCH("Трактор базы",B3984)))</formula>
    </cfRule>
  </conditionalFormatting>
  <conditionalFormatting sqref="B4007:B4008">
    <cfRule type="containsText" dxfId="136" priority="17" operator="containsText" text="Трактор базы">
      <formula>NOT(ISERROR(SEARCH("Трактор базы",B4007)))</formula>
    </cfRule>
  </conditionalFormatting>
  <conditionalFormatting sqref="B4007:B4008">
    <cfRule type="containsText" dxfId="135" priority="20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34" priority="18" operator="containsText" text="Газель базы">
      <formula>NOT(ISERROR(SEARCH("Газель базы",B4007)))</formula>
    </cfRule>
    <cfRule type="containsText" dxfId="133" priority="19" operator="containsText" text="Погрузчик базы">
      <formula>NOT(ISERROR(SEARCH("Погрузчик базы",B4007)))</formula>
    </cfRule>
  </conditionalFormatting>
  <conditionalFormatting sqref="B4096">
    <cfRule type="containsText" dxfId="132" priority="5" operator="containsText" text="Трактор базы">
      <formula>NOT(ISERROR(SEARCH("Трактор базы",B4096)))</formula>
    </cfRule>
  </conditionalFormatting>
  <conditionalFormatting sqref="B4080:B4082">
    <cfRule type="containsText" dxfId="131" priority="16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30" priority="14" operator="containsText" text="Газель базы">
      <formula>NOT(ISERROR(SEARCH("Газель базы",B4080)))</formula>
    </cfRule>
    <cfRule type="containsText" dxfId="129" priority="15" operator="containsText" text="Погрузчик базы">
      <formula>NOT(ISERROR(SEARCH("Погрузчик базы",B4080)))</formula>
    </cfRule>
  </conditionalFormatting>
  <conditionalFormatting sqref="B4080:B4082">
    <cfRule type="containsText" dxfId="128" priority="13" operator="containsText" text="Трактор базы">
      <formula>NOT(ISERROR(SEARCH("Трактор базы",B4080)))</formula>
    </cfRule>
  </conditionalFormatting>
  <conditionalFormatting sqref="B4088:B4094">
    <cfRule type="containsText" dxfId="127" priority="12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26" priority="10" operator="containsText" text="Газель базы">
      <formula>NOT(ISERROR(SEARCH("Газель базы",B4088)))</formula>
    </cfRule>
    <cfRule type="containsText" dxfId="125" priority="11" operator="containsText" text="Погрузчик базы">
      <formula>NOT(ISERROR(SEARCH("Погрузчик базы",B4088)))</formula>
    </cfRule>
  </conditionalFormatting>
  <conditionalFormatting sqref="B4088:B4094">
    <cfRule type="containsText" dxfId="124" priority="9" operator="containsText" text="Трактор базы">
      <formula>NOT(ISERROR(SEARCH("Трактор базы",B4088)))</formula>
    </cfRule>
  </conditionalFormatting>
  <conditionalFormatting sqref="B4096">
    <cfRule type="containsText" dxfId="123" priority="8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22" priority="6" operator="containsText" text="Газель базы">
      <formula>NOT(ISERROR(SEARCH("Газель базы",B4096)))</formula>
    </cfRule>
    <cfRule type="containsText" dxfId="121" priority="7" operator="containsText" text="Погрузчик базы">
      <formula>NOT(ISERROR(SEARCH("Погрузчик базы",B4096)))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39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</sheetData>
  <conditionalFormatting sqref="D40:D50 E40:E53 D2:E39 G2:H39">
    <cfRule type="containsText" dxfId="120" priority="14" operator="containsText" text="Выезд с территории">
      <formula>NOT(ISERROR(SEARCH("Выезд с территории",D2)))</formula>
    </cfRule>
  </conditionalFormatting>
  <conditionalFormatting sqref="F2:F39">
    <cfRule type="notContainsText" dxfId="119" priority="13" operator="notContains" text="порожний">
      <formula>ISERROR(SEARCH("порожний",F2))</formula>
    </cfRule>
  </conditionalFormatting>
  <conditionalFormatting sqref="E2:E53">
    <cfRule type="containsText" dxfId="118" priority="11" operator="containsText" text="Газель базы">
      <formula>NOT(ISERROR(SEARCH("Газель базы",E2)))</formula>
    </cfRule>
    <cfRule type="containsText" dxfId="117" priority="12" operator="containsText" text="Погрузчик базы">
      <formula>NOT(ISERROR(SEARCH("Погрузчик базы",E2)))</formula>
    </cfRule>
  </conditionalFormatting>
  <conditionalFormatting sqref="E2:E53">
    <cfRule type="containsText" dxfId="116" priority="10" operator="containsText" text="Трактор базы">
      <formula>NOT(ISERROR(SEARCH("Трактор базы",E2)))</formula>
    </cfRule>
  </conditionalFormatting>
  <conditionalFormatting sqref="A2:C39">
    <cfRule type="expression" dxfId="115" priority="9">
      <formula>$A2="пн"</formula>
    </cfRule>
  </conditionalFormatting>
  <conditionalFormatting sqref="A2:C41">
    <cfRule type="expression" dxfId="114" priority="3">
      <formula>$A2="вс"</formula>
    </cfRule>
    <cfRule type="expression" dxfId="113" priority="4">
      <formula>$A2="сб"</formula>
    </cfRule>
    <cfRule type="expression" dxfId="112" priority="5">
      <formula>$A2="пт"</formula>
    </cfRule>
    <cfRule type="expression" dxfId="111" priority="6">
      <formula>$A2="чт"</formula>
    </cfRule>
    <cfRule type="expression" dxfId="110" priority="7">
      <formula>$A2="ср"</formula>
    </cfRule>
    <cfRule type="expression" dxfId="109" priority="8">
      <formula>$A2="вт"</formula>
    </cfRule>
  </conditionalFormatting>
  <conditionalFormatting sqref="D2:D50">
    <cfRule type="containsText" dxfId="1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">
    <cfRule type="containsText" dxfId="1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58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0.43606481481481479</v>
      </c>
      <c r="D3" s="1" t="s">
        <v>403</v>
      </c>
      <c r="E3" t="s">
        <v>67</v>
      </c>
      <c r="F3" t="s">
        <v>406</v>
      </c>
      <c r="H3" t="s">
        <v>407</v>
      </c>
      <c r="I3" t="s">
        <v>346</v>
      </c>
      <c r="J3" t="s">
        <v>271</v>
      </c>
      <c r="K3" t="s">
        <v>347</v>
      </c>
      <c r="L3" t="s">
        <v>348</v>
      </c>
      <c r="M3" s="2" t="str">
        <f>HYPERLINK(Таблица3[[#This Row],[RelativePath]])</f>
        <v>5 Крыльцо общага\K07156189_22_20251111T102756Z.jpg</v>
      </c>
    </row>
    <row r="4" spans="1:13" x14ac:dyDescent="0.25">
      <c r="A4" t="s">
        <v>14</v>
      </c>
      <c r="B4" s="3">
        <v>45972</v>
      </c>
      <c r="C4" s="5">
        <v>0.46743055555555557</v>
      </c>
      <c r="D4" s="1" t="s">
        <v>403</v>
      </c>
      <c r="E4" t="s">
        <v>63</v>
      </c>
      <c r="F4" t="s">
        <v>58</v>
      </c>
      <c r="H4" t="s">
        <v>1287</v>
      </c>
      <c r="I4" t="s">
        <v>1162</v>
      </c>
      <c r="J4" t="s">
        <v>1062</v>
      </c>
      <c r="K4" t="s">
        <v>1163</v>
      </c>
      <c r="L4" t="s">
        <v>1164</v>
      </c>
      <c r="M4" s="2" t="str">
        <f>HYPERLINK(Таблица3[[#This Row],[RelativePath]])</f>
        <v>10 Сушилка навес\E33149364_3_20251111T111306Z.jpg</v>
      </c>
    </row>
    <row r="5" spans="1:13" x14ac:dyDescent="0.25">
      <c r="A5" t="s">
        <v>14</v>
      </c>
      <c r="B5" s="3">
        <v>45972</v>
      </c>
      <c r="C5" s="5">
        <v>0.47805555555555557</v>
      </c>
      <c r="D5" s="1" t="s">
        <v>1283</v>
      </c>
      <c r="E5" t="s">
        <v>63</v>
      </c>
      <c r="F5" t="s">
        <v>58</v>
      </c>
      <c r="H5" t="s">
        <v>1287</v>
      </c>
      <c r="I5" t="s">
        <v>1165</v>
      </c>
      <c r="J5" t="s">
        <v>1062</v>
      </c>
      <c r="K5" t="s">
        <v>1166</v>
      </c>
      <c r="L5" t="s">
        <v>1167</v>
      </c>
      <c r="M5" s="2" t="str">
        <f>HYPERLINK(Таблица3[[#This Row],[RelativePath]])</f>
        <v>10 Сушилка навес\E33149364_3_20251111T112824Z.jpg</v>
      </c>
    </row>
    <row r="6" spans="1:13" x14ac:dyDescent="0.25">
      <c r="A6" t="s">
        <v>14</v>
      </c>
      <c r="B6" s="3">
        <v>45972</v>
      </c>
      <c r="C6" s="5">
        <v>0.42944444444444446</v>
      </c>
      <c r="D6" s="1" t="s">
        <v>403</v>
      </c>
      <c r="E6" t="s">
        <v>67</v>
      </c>
      <c r="F6" t="s">
        <v>405</v>
      </c>
      <c r="I6" t="s">
        <v>337</v>
      </c>
      <c r="J6" t="s">
        <v>271</v>
      </c>
      <c r="K6" t="s">
        <v>338</v>
      </c>
      <c r="L6" t="s">
        <v>339</v>
      </c>
      <c r="M6" s="2" t="str">
        <f>HYPERLINK(Таблица3[[#This Row],[RelativePath]])</f>
        <v>5 Крыльцо общага\K07156189_22_20251111T101824Z.jpg</v>
      </c>
    </row>
    <row r="7" spans="1:13" x14ac:dyDescent="0.25">
      <c r="A7" t="s">
        <v>14</v>
      </c>
      <c r="B7" s="3">
        <v>45972</v>
      </c>
      <c r="C7" s="5">
        <v>0.4316550925925926</v>
      </c>
      <c r="D7" s="1" t="s">
        <v>403</v>
      </c>
      <c r="E7" t="s">
        <v>67</v>
      </c>
      <c r="F7" t="s">
        <v>405</v>
      </c>
      <c r="I7" t="s">
        <v>340</v>
      </c>
      <c r="J7" t="s">
        <v>271</v>
      </c>
      <c r="K7" t="s">
        <v>341</v>
      </c>
      <c r="L7" t="s">
        <v>342</v>
      </c>
      <c r="M7" s="2" t="str">
        <f>HYPERLINK(Таблица3[[#This Row],[RelativePath]])</f>
        <v>5 Крыльцо общага\K07156189_22_20251111T102135Z.jpg</v>
      </c>
    </row>
    <row r="8" spans="1:13" x14ac:dyDescent="0.25">
      <c r="A8" t="s">
        <v>14</v>
      </c>
      <c r="B8" s="3">
        <v>45972</v>
      </c>
      <c r="C8" s="5">
        <v>0.43408564814814815</v>
      </c>
      <c r="D8" s="1" t="s">
        <v>403</v>
      </c>
      <c r="E8" t="s">
        <v>67</v>
      </c>
      <c r="F8" t="s">
        <v>405</v>
      </c>
      <c r="I8" t="s">
        <v>343</v>
      </c>
      <c r="J8" t="s">
        <v>271</v>
      </c>
      <c r="K8" t="s">
        <v>344</v>
      </c>
      <c r="L8" t="s">
        <v>345</v>
      </c>
      <c r="M8" s="2" t="str">
        <f>HYPERLINK(Таблица3[[#This Row],[RelativePath]])</f>
        <v>5 Крыльцо общага\K07156189_22_20251111T102505Z.jpg</v>
      </c>
    </row>
    <row r="9" spans="1:13" x14ac:dyDescent="0.25">
      <c r="A9" t="s">
        <v>14</v>
      </c>
      <c r="B9" s="3">
        <v>45972</v>
      </c>
      <c r="C9" s="5">
        <v>0.48200231481481481</v>
      </c>
      <c r="D9" s="1" t="s">
        <v>1283</v>
      </c>
      <c r="E9" t="s">
        <v>63</v>
      </c>
      <c r="F9" t="s">
        <v>58</v>
      </c>
      <c r="H9" t="s">
        <v>1287</v>
      </c>
      <c r="I9" t="s">
        <v>1168</v>
      </c>
      <c r="J9" t="s">
        <v>1062</v>
      </c>
      <c r="K9" t="s">
        <v>1169</v>
      </c>
      <c r="L9" t="s">
        <v>1170</v>
      </c>
      <c r="M9" s="2" t="str">
        <f>HYPERLINK(Таблица3[[#This Row],[RelativePath]])</f>
        <v>10 Сушилка навес\E33149364_3_20251111T113405Z.jpg</v>
      </c>
    </row>
    <row r="10" spans="1:13" x14ac:dyDescent="0.25">
      <c r="A10" t="s">
        <v>14</v>
      </c>
      <c r="B10" s="3">
        <v>45972</v>
      </c>
      <c r="C10" s="5">
        <v>0.51658564814814811</v>
      </c>
      <c r="D10" s="1" t="s">
        <v>1283</v>
      </c>
      <c r="E10" t="s">
        <v>55</v>
      </c>
      <c r="F10" t="s">
        <v>1286</v>
      </c>
      <c r="H10" t="s">
        <v>1287</v>
      </c>
      <c r="I10" t="s">
        <v>1184</v>
      </c>
      <c r="J10" t="s">
        <v>1062</v>
      </c>
      <c r="K10" t="s">
        <v>1185</v>
      </c>
      <c r="L10" t="s">
        <v>1186</v>
      </c>
      <c r="M10" s="2" t="str">
        <f>HYPERLINK(Таблица3[[#This Row],[RelativePath]])</f>
        <v>10 Сушилка навес\E33149364_3_20251111T122353Z.jpg</v>
      </c>
    </row>
    <row r="11" spans="1:13" x14ac:dyDescent="0.25">
      <c r="A11" t="s">
        <v>14</v>
      </c>
      <c r="B11" s="3">
        <v>45972</v>
      </c>
      <c r="C11" s="5">
        <v>0.52825231481481483</v>
      </c>
      <c r="D11" s="1" t="s">
        <v>1283</v>
      </c>
      <c r="E11" t="s">
        <v>55</v>
      </c>
      <c r="F11" t="s">
        <v>1288</v>
      </c>
      <c r="I11" t="s">
        <v>1187</v>
      </c>
      <c r="J11" t="s">
        <v>1062</v>
      </c>
      <c r="K11" t="s">
        <v>1188</v>
      </c>
      <c r="L11" t="s">
        <v>1189</v>
      </c>
      <c r="M11" s="2" t="str">
        <f>HYPERLINK(Таблица3[[#This Row],[RelativePath]])</f>
        <v>10 Сушилка навес\E33149364_3_20251111T124041Z.jpg</v>
      </c>
    </row>
    <row r="12" spans="1:13" x14ac:dyDescent="0.25">
      <c r="A12" t="s">
        <v>14</v>
      </c>
      <c r="B12" s="3">
        <v>45972</v>
      </c>
      <c r="C12" s="5">
        <v>0.52853009259259254</v>
      </c>
      <c r="D12" s="1" t="s">
        <v>1283</v>
      </c>
      <c r="E12" t="s">
        <v>55</v>
      </c>
      <c r="F12" t="s">
        <v>1289</v>
      </c>
      <c r="I12" t="s">
        <v>1190</v>
      </c>
      <c r="J12" t="s">
        <v>1062</v>
      </c>
      <c r="K12" t="s">
        <v>1191</v>
      </c>
      <c r="L12" t="s">
        <v>1192</v>
      </c>
      <c r="M12" s="2" t="str">
        <f>HYPERLINK(Таблица3[[#This Row],[RelativePath]])</f>
        <v>10 Сушилка навес\E33149364_3_20251111T124105Z.jpg</v>
      </c>
    </row>
    <row r="13" spans="1:13" x14ac:dyDescent="0.25">
      <c r="A13" t="s">
        <v>14</v>
      </c>
      <c r="B13" s="3">
        <v>45972</v>
      </c>
      <c r="C13" s="5">
        <v>0.50693287037037038</v>
      </c>
      <c r="D13" s="1" t="s">
        <v>403</v>
      </c>
      <c r="E13" t="s">
        <v>55</v>
      </c>
      <c r="F13" t="s">
        <v>1284</v>
      </c>
      <c r="H13" t="s">
        <v>1285</v>
      </c>
      <c r="I13" t="s">
        <v>1175</v>
      </c>
      <c r="J13" t="s">
        <v>1062</v>
      </c>
      <c r="K13" t="s">
        <v>1176</v>
      </c>
      <c r="L13" t="s">
        <v>1177</v>
      </c>
      <c r="M13" s="2" t="str">
        <f>HYPERLINK(Таблица3[[#This Row],[RelativePath]])</f>
        <v>10 Сушилка навес\E33149364_3_20251111T120959Z.jpg</v>
      </c>
    </row>
    <row r="14" spans="1:13" x14ac:dyDescent="0.25">
      <c r="A14" t="s">
        <v>14</v>
      </c>
      <c r="B14" s="3">
        <v>45972</v>
      </c>
      <c r="C14" s="5">
        <v>0.50932870370370376</v>
      </c>
      <c r="D14" s="1" t="s">
        <v>1283</v>
      </c>
      <c r="E14" t="s">
        <v>55</v>
      </c>
      <c r="F14" t="s">
        <v>1284</v>
      </c>
      <c r="H14" t="s">
        <v>1285</v>
      </c>
      <c r="I14" t="s">
        <v>1178</v>
      </c>
      <c r="J14" t="s">
        <v>1062</v>
      </c>
      <c r="K14" t="s">
        <v>1179</v>
      </c>
      <c r="L14" t="s">
        <v>1180</v>
      </c>
      <c r="M14" s="2" t="str">
        <f>HYPERLINK(Таблица3[[#This Row],[RelativePath]])</f>
        <v>10 Сушилка навес\E33149364_3_20251111T121326Z.jpg</v>
      </c>
    </row>
    <row r="15" spans="1:13" x14ac:dyDescent="0.25">
      <c r="A15" t="s">
        <v>14</v>
      </c>
      <c r="B15" s="3">
        <v>45972</v>
      </c>
      <c r="C15" s="5">
        <v>0.51362268518518517</v>
      </c>
      <c r="D15" s="1" t="s">
        <v>1283</v>
      </c>
      <c r="E15" t="s">
        <v>55</v>
      </c>
      <c r="F15" t="s">
        <v>1284</v>
      </c>
      <c r="H15" t="s">
        <v>1285</v>
      </c>
      <c r="I15" t="s">
        <v>1181</v>
      </c>
      <c r="J15" t="s">
        <v>1062</v>
      </c>
      <c r="K15" t="s">
        <v>1182</v>
      </c>
      <c r="L15" t="s">
        <v>1183</v>
      </c>
      <c r="M15" s="2" t="str">
        <f>HYPERLINK(Таблица3[[#This Row],[RelativePath]])</f>
        <v>10 Сушилка навес\E33149364_3_20251111T121937Z.jpg</v>
      </c>
    </row>
    <row r="16" spans="1:13" x14ac:dyDescent="0.25">
      <c r="A16" t="s">
        <v>14</v>
      </c>
      <c r="B16" s="3">
        <v>45972</v>
      </c>
      <c r="C16" s="5">
        <v>0.40597222222222223</v>
      </c>
      <c r="D16" s="1" t="s">
        <v>403</v>
      </c>
      <c r="E16" t="s">
        <v>67</v>
      </c>
      <c r="F16" t="s">
        <v>405</v>
      </c>
      <c r="I16" t="s">
        <v>313</v>
      </c>
      <c r="J16" t="s">
        <v>271</v>
      </c>
      <c r="K16" t="s">
        <v>314</v>
      </c>
      <c r="L16" t="s">
        <v>315</v>
      </c>
      <c r="M16" s="2" t="str">
        <f>HYPERLINK(Таблица3[[#This Row],[RelativePath]])</f>
        <v>5 Крыльцо общага\K07156189_22_20251111T094436Z.jpg</v>
      </c>
    </row>
    <row r="17" spans="1:13" x14ac:dyDescent="0.25">
      <c r="A17" t="s">
        <v>14</v>
      </c>
      <c r="B17" s="3">
        <v>45972</v>
      </c>
      <c r="C17" s="5">
        <v>0.40881944444444446</v>
      </c>
      <c r="D17" s="1" t="s">
        <v>403</v>
      </c>
      <c r="E17" t="s">
        <v>67</v>
      </c>
      <c r="F17" t="s">
        <v>405</v>
      </c>
      <c r="I17" t="s">
        <v>316</v>
      </c>
      <c r="J17" t="s">
        <v>271</v>
      </c>
      <c r="K17" t="s">
        <v>317</v>
      </c>
      <c r="L17" t="s">
        <v>318</v>
      </c>
      <c r="M17" s="2" t="str">
        <f>HYPERLINK(Таблица3[[#This Row],[RelativePath]])</f>
        <v>5 Крыльцо общага\K07156189_22_20251111T094842Z.jpg</v>
      </c>
    </row>
    <row r="18" spans="1:13" x14ac:dyDescent="0.25">
      <c r="A18" t="s">
        <v>14</v>
      </c>
      <c r="B18" s="3">
        <v>45972</v>
      </c>
      <c r="C18" s="5">
        <v>0.4105787037037037</v>
      </c>
      <c r="D18" s="1" t="s">
        <v>403</v>
      </c>
      <c r="E18" t="s">
        <v>67</v>
      </c>
      <c r="F18" t="s">
        <v>405</v>
      </c>
      <c r="I18" t="s">
        <v>319</v>
      </c>
      <c r="J18" t="s">
        <v>271</v>
      </c>
      <c r="K18" t="s">
        <v>320</v>
      </c>
      <c r="L18" t="s">
        <v>321</v>
      </c>
      <c r="M18" s="2" t="str">
        <f>HYPERLINK(Таблица3[[#This Row],[RelativePath]])</f>
        <v>5 Крыльцо общага\K07156189_22_20251111T095114Z.jpg</v>
      </c>
    </row>
    <row r="19" spans="1:13" x14ac:dyDescent="0.25">
      <c r="A19" t="s">
        <v>14</v>
      </c>
      <c r="B19" s="3">
        <v>45972</v>
      </c>
      <c r="C19" s="5">
        <v>0.39787037037037037</v>
      </c>
      <c r="D19" s="1" t="s">
        <v>403</v>
      </c>
      <c r="E19" t="s">
        <v>67</v>
      </c>
      <c r="F19" t="s">
        <v>405</v>
      </c>
      <c r="I19" t="s">
        <v>304</v>
      </c>
      <c r="J19" t="s">
        <v>271</v>
      </c>
      <c r="K19" t="s">
        <v>305</v>
      </c>
      <c r="L19" t="s">
        <v>306</v>
      </c>
      <c r="M19" s="2" t="str">
        <f>HYPERLINK(Таблица3[[#This Row],[RelativePath]])</f>
        <v>5 Крыльцо общага\K07156189_22_20251111T093256Z.jpg</v>
      </c>
    </row>
    <row r="20" spans="1:13" x14ac:dyDescent="0.25">
      <c r="A20" t="s">
        <v>14</v>
      </c>
      <c r="B20" s="3">
        <v>45972</v>
      </c>
      <c r="C20" s="5">
        <v>0.40370370370370373</v>
      </c>
      <c r="D20" s="1" t="s">
        <v>403</v>
      </c>
      <c r="E20" t="s">
        <v>67</v>
      </c>
      <c r="F20" t="s">
        <v>405</v>
      </c>
      <c r="I20" t="s">
        <v>307</v>
      </c>
      <c r="J20" t="s">
        <v>271</v>
      </c>
      <c r="K20" t="s">
        <v>308</v>
      </c>
      <c r="L20" t="s">
        <v>309</v>
      </c>
      <c r="M20" s="2" t="str">
        <f>HYPERLINK(Таблица3[[#This Row],[RelativePath]])</f>
        <v>5 Крыльцо общага\K07156189_22_20251111T094120Z.jpg</v>
      </c>
    </row>
    <row r="21" spans="1:13" x14ac:dyDescent="0.25">
      <c r="A21" t="s">
        <v>14</v>
      </c>
      <c r="B21" s="3">
        <v>45972</v>
      </c>
      <c r="C21" s="5">
        <v>0.40377314814814813</v>
      </c>
      <c r="D21" s="1" t="s">
        <v>403</v>
      </c>
      <c r="E21" t="s">
        <v>67</v>
      </c>
      <c r="F21" t="s">
        <v>405</v>
      </c>
      <c r="I21" t="s">
        <v>310</v>
      </c>
      <c r="J21" t="s">
        <v>271</v>
      </c>
      <c r="K21" t="s">
        <v>311</v>
      </c>
      <c r="L21" t="s">
        <v>312</v>
      </c>
      <c r="M21" s="2" t="str">
        <f>HYPERLINK(Таблица3[[#This Row],[RelativePath]])</f>
        <v>5 Крыльцо общага\K07156189_22_20251111T094126Z.jpg</v>
      </c>
    </row>
    <row r="22" spans="1:13" x14ac:dyDescent="0.25">
      <c r="A22" t="s">
        <v>14</v>
      </c>
      <c r="B22" s="3">
        <v>45972</v>
      </c>
      <c r="C22" s="5">
        <v>0.41627314814814814</v>
      </c>
      <c r="D22" s="1" t="s">
        <v>403</v>
      </c>
      <c r="E22" t="s">
        <v>67</v>
      </c>
      <c r="F22" t="s">
        <v>405</v>
      </c>
      <c r="I22" t="s">
        <v>328</v>
      </c>
      <c r="J22" t="s">
        <v>271</v>
      </c>
      <c r="K22" t="s">
        <v>329</v>
      </c>
      <c r="L22" t="s">
        <v>330</v>
      </c>
      <c r="M22" s="2" t="str">
        <f>HYPERLINK(Таблица3[[#This Row],[RelativePath]])</f>
        <v>5 Крыльцо общага\K07156189_22_20251111T095926Z.jpg</v>
      </c>
    </row>
    <row r="23" spans="1:13" x14ac:dyDescent="0.25">
      <c r="A23" t="s">
        <v>14</v>
      </c>
      <c r="B23" s="3">
        <v>45972</v>
      </c>
      <c r="C23" s="5">
        <v>0.4226273148148148</v>
      </c>
      <c r="D23" s="1" t="s">
        <v>403</v>
      </c>
      <c r="E23" t="s">
        <v>67</v>
      </c>
      <c r="F23" t="s">
        <v>405</v>
      </c>
      <c r="I23" t="s">
        <v>331</v>
      </c>
      <c r="J23" t="s">
        <v>271</v>
      </c>
      <c r="K23" t="s">
        <v>332</v>
      </c>
      <c r="L23" t="s">
        <v>333</v>
      </c>
      <c r="M23" s="2" t="str">
        <f>HYPERLINK(Таблица3[[#This Row],[RelativePath]])</f>
        <v>5 Крыльцо общага\K07156189_22_20251111T100835Z.jpg</v>
      </c>
    </row>
    <row r="24" spans="1:13" x14ac:dyDescent="0.25">
      <c r="A24" t="s">
        <v>14</v>
      </c>
      <c r="B24" s="3">
        <v>45972</v>
      </c>
      <c r="C24" s="5">
        <v>0.42736111111111114</v>
      </c>
      <c r="D24" s="1" t="s">
        <v>403</v>
      </c>
      <c r="E24" t="s">
        <v>67</v>
      </c>
      <c r="F24" t="s">
        <v>405</v>
      </c>
      <c r="I24" t="s">
        <v>334</v>
      </c>
      <c r="J24" t="s">
        <v>271</v>
      </c>
      <c r="K24" t="s">
        <v>335</v>
      </c>
      <c r="L24" t="s">
        <v>336</v>
      </c>
      <c r="M24" s="2" t="str">
        <f>HYPERLINK(Таблица3[[#This Row],[RelativePath]])</f>
        <v>5 Крыльцо общага\K07156189_22_20251111T101524Z.jpg</v>
      </c>
    </row>
    <row r="25" spans="1:13" x14ac:dyDescent="0.25">
      <c r="A25" t="s">
        <v>14</v>
      </c>
      <c r="B25" s="3">
        <v>45972</v>
      </c>
      <c r="C25" s="5">
        <v>0.41136574074074073</v>
      </c>
      <c r="D25" s="1" t="s">
        <v>403</v>
      </c>
      <c r="E25" t="s">
        <v>67</v>
      </c>
      <c r="F25" t="s">
        <v>405</v>
      </c>
      <c r="I25" t="s">
        <v>322</v>
      </c>
      <c r="J25" t="s">
        <v>271</v>
      </c>
      <c r="K25" t="s">
        <v>323</v>
      </c>
      <c r="L25" t="s">
        <v>324</v>
      </c>
      <c r="M25" s="2" t="str">
        <f>HYPERLINK(Таблица3[[#This Row],[RelativePath]])</f>
        <v>5 Крыльцо общага\K07156189_22_20251111T095222Z.jpg</v>
      </c>
    </row>
    <row r="26" spans="1:13" x14ac:dyDescent="0.25">
      <c r="A26" t="s">
        <v>14</v>
      </c>
      <c r="B26" s="3">
        <v>45972</v>
      </c>
      <c r="C26" s="5">
        <v>0.41312500000000002</v>
      </c>
      <c r="D26" s="1" t="s">
        <v>403</v>
      </c>
      <c r="E26" t="s">
        <v>67</v>
      </c>
      <c r="F26" t="s">
        <v>405</v>
      </c>
      <c r="I26" t="s">
        <v>325</v>
      </c>
      <c r="J26" t="s">
        <v>271</v>
      </c>
      <c r="K26" t="s">
        <v>326</v>
      </c>
      <c r="L26" t="s">
        <v>327</v>
      </c>
      <c r="M26" s="2" t="str">
        <f>HYPERLINK(Таблица3[[#This Row],[RelativePath]])</f>
        <v>5 Крыльцо общага\K07156189_22_20251111T095454Z.jpg</v>
      </c>
    </row>
    <row r="27" spans="1:13" x14ac:dyDescent="0.25">
      <c r="A27" t="s">
        <v>16</v>
      </c>
      <c r="B27" s="3">
        <v>45974</v>
      </c>
      <c r="C27" s="5">
        <v>0.38524305555555555</v>
      </c>
      <c r="D27" s="1" t="s">
        <v>403</v>
      </c>
      <c r="E27" t="s">
        <v>70</v>
      </c>
      <c r="F27" t="s">
        <v>58</v>
      </c>
      <c r="H27" t="s">
        <v>1287</v>
      </c>
      <c r="I27" t="s">
        <v>1215</v>
      </c>
      <c r="J27" t="s">
        <v>1062</v>
      </c>
      <c r="K27" t="s">
        <v>1216</v>
      </c>
      <c r="L27" t="s">
        <v>1217</v>
      </c>
      <c r="M27" s="2" t="str">
        <f>HYPERLINK(Таблица3[[#This Row],[RelativePath]])</f>
        <v>10 Сушилка навес\E33149364_3_20251113T091445Z.jpg</v>
      </c>
    </row>
    <row r="28" spans="1:13" x14ac:dyDescent="0.25">
      <c r="A28" t="s">
        <v>16</v>
      </c>
      <c r="B28" s="3">
        <v>45974</v>
      </c>
      <c r="C28" s="5">
        <v>0.38702546296296297</v>
      </c>
      <c r="D28" s="1" t="s">
        <v>403</v>
      </c>
      <c r="E28" t="s">
        <v>70</v>
      </c>
      <c r="F28" t="s">
        <v>58</v>
      </c>
      <c r="H28" t="s">
        <v>1287</v>
      </c>
      <c r="I28" t="s">
        <v>1218</v>
      </c>
      <c r="J28" t="s">
        <v>1062</v>
      </c>
      <c r="K28" t="s">
        <v>1219</v>
      </c>
      <c r="L28" t="s">
        <v>1220</v>
      </c>
      <c r="M28" s="2" t="str">
        <f>HYPERLINK(Таблица3[[#This Row],[RelativePath]])</f>
        <v>10 Сушилка навес\E33149364_3_20251113T091719Z.jpg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0.43355324074074075</v>
      </c>
      <c r="D30" s="1" t="s">
        <v>1283</v>
      </c>
      <c r="E30" t="s">
        <v>2336</v>
      </c>
      <c r="F30" t="s">
        <v>58</v>
      </c>
      <c r="H30" t="s">
        <v>2373</v>
      </c>
      <c r="I30" t="s">
        <v>2158</v>
      </c>
      <c r="J30" t="s">
        <v>1062</v>
      </c>
      <c r="K30" t="s">
        <v>2159</v>
      </c>
      <c r="L30" t="s">
        <v>2031</v>
      </c>
      <c r="M30" s="2" t="str">
        <f>HYPERLINK(Таблица3[[#This Row],[RelativePath]])</f>
        <v>10 Сушилка навес\E33149364_3_20251118T102419Z.jpg</v>
      </c>
    </row>
    <row r="31" spans="1:13" x14ac:dyDescent="0.25">
      <c r="A31" t="s">
        <v>14</v>
      </c>
      <c r="B31" s="3">
        <v>45979</v>
      </c>
      <c r="C31" s="5">
        <v>0.43384259259259261</v>
      </c>
      <c r="D31" s="1" t="s">
        <v>1283</v>
      </c>
      <c r="E31" t="s">
        <v>2336</v>
      </c>
      <c r="F31" t="s">
        <v>58</v>
      </c>
      <c r="H31" t="s">
        <v>2373</v>
      </c>
      <c r="I31" t="s">
        <v>2160</v>
      </c>
      <c r="J31" t="s">
        <v>1062</v>
      </c>
      <c r="K31" t="s">
        <v>2161</v>
      </c>
      <c r="L31" t="s">
        <v>2162</v>
      </c>
      <c r="M31" s="2" t="str">
        <f>HYPERLINK(Таблица3[[#This Row],[RelativePath]])</f>
        <v>10 Сушилка навес\E33149364_3_20251118T102444Z.jpg</v>
      </c>
    </row>
    <row r="32" spans="1:13" x14ac:dyDescent="0.25">
      <c r="A32" t="s">
        <v>14</v>
      </c>
      <c r="B32" s="3">
        <v>45979</v>
      </c>
      <c r="C32" s="5">
        <v>0.43287037037037035</v>
      </c>
      <c r="D32" s="1" t="s">
        <v>403</v>
      </c>
      <c r="E32" t="s">
        <v>2336</v>
      </c>
      <c r="F32" t="s">
        <v>58</v>
      </c>
      <c r="H32" t="s">
        <v>2373</v>
      </c>
      <c r="I32" t="s">
        <v>2156</v>
      </c>
      <c r="J32" t="s">
        <v>1062</v>
      </c>
      <c r="K32" t="s">
        <v>2157</v>
      </c>
      <c r="L32" t="s">
        <v>2020</v>
      </c>
      <c r="M32" s="2" t="str">
        <f>HYPERLINK(Таблица3[[#This Row],[RelativePath]])</f>
        <v>10 Сушилка навес\E33149364_3_20251118T102320Z.jpg</v>
      </c>
    </row>
    <row r="33" spans="1:13" x14ac:dyDescent="0.25">
      <c r="A33" t="s">
        <v>14</v>
      </c>
      <c r="B33" s="3">
        <v>45979</v>
      </c>
      <c r="C33" s="5">
        <v>0.38895833333333335</v>
      </c>
      <c r="D33" s="1" t="s">
        <v>1283</v>
      </c>
      <c r="E33" t="s">
        <v>70</v>
      </c>
      <c r="F33" t="s">
        <v>2368</v>
      </c>
      <c r="H33" t="s">
        <v>2372</v>
      </c>
      <c r="I33" t="s">
        <v>2143</v>
      </c>
      <c r="J33" t="s">
        <v>1062</v>
      </c>
      <c r="K33" t="s">
        <v>2144</v>
      </c>
      <c r="L33" t="s">
        <v>2145</v>
      </c>
      <c r="M33" s="2" t="str">
        <f>HYPERLINK(Таблица3[[#This Row],[RelativePath]])</f>
        <v>10 Сушилка навес\E33149364_3_20251118T092006Z.jpg</v>
      </c>
    </row>
    <row r="34" spans="1:13" x14ac:dyDescent="0.25">
      <c r="A34" t="s">
        <v>14</v>
      </c>
      <c r="B34" s="3">
        <v>45979</v>
      </c>
      <c r="C34" s="5">
        <v>0.43306712962962962</v>
      </c>
      <c r="D34" s="1" t="s">
        <v>1283</v>
      </c>
      <c r="E34" t="s">
        <v>2336</v>
      </c>
      <c r="F34" t="s">
        <v>58</v>
      </c>
      <c r="H34" t="s">
        <v>2373</v>
      </c>
      <c r="I34" t="s">
        <v>2021</v>
      </c>
      <c r="J34" t="s">
        <v>1295</v>
      </c>
      <c r="K34" t="s">
        <v>2022</v>
      </c>
      <c r="L34" t="s">
        <v>2023</v>
      </c>
      <c r="M34" s="2" t="str">
        <f>HYPERLINK(Таблица3[[#This Row],[RelativePath]])</f>
        <v>11 С ангара на базу\E33149364_4_20251118T102337Z.jpg</v>
      </c>
    </row>
    <row r="35" spans="1:13" x14ac:dyDescent="0.25">
      <c r="A35" t="s">
        <v>14</v>
      </c>
      <c r="B35" s="3">
        <v>45979</v>
      </c>
      <c r="C35" s="5">
        <v>0.43386574074074075</v>
      </c>
      <c r="D35" s="1" t="s">
        <v>1283</v>
      </c>
      <c r="E35" t="s">
        <v>2336</v>
      </c>
      <c r="F35" t="s">
        <v>58</v>
      </c>
      <c r="H35" t="s">
        <v>2373</v>
      </c>
      <c r="I35" t="s">
        <v>2035</v>
      </c>
      <c r="J35" t="s">
        <v>1295</v>
      </c>
      <c r="K35" t="s">
        <v>2036</v>
      </c>
      <c r="L35" t="s">
        <v>2037</v>
      </c>
      <c r="M35" s="2" t="str">
        <f>HYPERLINK(Таблица3[[#This Row],[RelativePath]])</f>
        <v>11 С ангара на базу\E33149364_4_20251118T102446Z.jpg</v>
      </c>
    </row>
    <row r="36" spans="1:13" x14ac:dyDescent="0.25">
      <c r="A36" t="s">
        <v>14</v>
      </c>
      <c r="B36" s="3">
        <v>45979</v>
      </c>
      <c r="C36" s="5">
        <v>0.43373842592592593</v>
      </c>
      <c r="D36" s="1" t="s">
        <v>1283</v>
      </c>
      <c r="E36" t="s">
        <v>2336</v>
      </c>
      <c r="F36" t="s">
        <v>58</v>
      </c>
      <c r="H36" t="s">
        <v>2373</v>
      </c>
      <c r="I36" t="s">
        <v>2032</v>
      </c>
      <c r="J36" t="s">
        <v>1295</v>
      </c>
      <c r="K36" t="s">
        <v>2033</v>
      </c>
      <c r="L36" t="s">
        <v>2034</v>
      </c>
      <c r="M36" s="2" t="str">
        <f>HYPERLINK(Таблица3[[#This Row],[RelativePath]])</f>
        <v>11 С ангара на базу\E33149364_4_20251118T102435Z.jpg</v>
      </c>
    </row>
    <row r="37" spans="1:13" x14ac:dyDescent="0.25">
      <c r="A37" t="s">
        <v>14</v>
      </c>
      <c r="B37" s="3">
        <v>45979</v>
      </c>
      <c r="C37" s="5">
        <v>0.4332523148148148</v>
      </c>
      <c r="D37" s="1" t="s">
        <v>1283</v>
      </c>
      <c r="E37" t="s">
        <v>2336</v>
      </c>
      <c r="F37" t="s">
        <v>58</v>
      </c>
      <c r="H37" t="s">
        <v>2373</v>
      </c>
      <c r="I37" t="s">
        <v>2024</v>
      </c>
      <c r="J37" t="s">
        <v>1295</v>
      </c>
      <c r="K37" t="s">
        <v>2025</v>
      </c>
      <c r="L37" t="s">
        <v>2026</v>
      </c>
      <c r="M37" s="2" t="str">
        <f>HYPERLINK(Таблица3[[#This Row],[RelativePath]])</f>
        <v>11 С ангара на базу\E33149364_4_20251118T102353Z.jpg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0.38112268518518516</v>
      </c>
      <c r="D39" s="1" t="s">
        <v>1283</v>
      </c>
      <c r="E39" t="s">
        <v>70</v>
      </c>
      <c r="F39" t="s">
        <v>58</v>
      </c>
      <c r="H39" t="s">
        <v>2372</v>
      </c>
      <c r="I39" t="s">
        <v>2128</v>
      </c>
      <c r="J39" t="s">
        <v>1062</v>
      </c>
      <c r="K39" t="s">
        <v>2129</v>
      </c>
      <c r="L39" t="s">
        <v>2130</v>
      </c>
      <c r="M39" s="2" t="str">
        <f>HYPERLINK(Таблица3[[#This Row],[RelativePath]])</f>
        <v>10 Сушилка навес\E33149364_3_20251118T090849Z.jpg</v>
      </c>
    </row>
    <row r="40" spans="1:13" x14ac:dyDescent="0.25">
      <c r="A40" t="s">
        <v>14</v>
      </c>
      <c r="B40" s="3">
        <v>45979</v>
      </c>
      <c r="C40" s="5">
        <v>0.58296296296296302</v>
      </c>
      <c r="D40" s="1" t="s">
        <v>226</v>
      </c>
      <c r="E40" t="s">
        <v>2343</v>
      </c>
      <c r="F40" t="s">
        <v>58</v>
      </c>
      <c r="H40" t="s">
        <v>2344</v>
      </c>
      <c r="I40" t="s">
        <v>1663</v>
      </c>
      <c r="J40" t="s">
        <v>169</v>
      </c>
      <c r="K40" t="s">
        <v>1664</v>
      </c>
      <c r="L40" t="s">
        <v>1665</v>
      </c>
      <c r="M40" s="2" t="str">
        <f>HYPERLINK(Таблица3[[#This Row],[RelativePath]])</f>
        <v>3 Въезд на базу\E33149364_8_20251118T135928Z.jpg</v>
      </c>
    </row>
    <row r="41" spans="1:13" x14ac:dyDescent="0.25">
      <c r="A41" t="s">
        <v>14</v>
      </c>
      <c r="B41" s="3">
        <v>45979</v>
      </c>
      <c r="C41" s="5">
        <v>0.38093749999999998</v>
      </c>
      <c r="D41" s="1" t="s">
        <v>403</v>
      </c>
      <c r="E41" t="s">
        <v>70</v>
      </c>
      <c r="F41" t="s">
        <v>58</v>
      </c>
      <c r="H41" t="s">
        <v>2372</v>
      </c>
      <c r="I41" t="s">
        <v>2122</v>
      </c>
      <c r="J41" t="s">
        <v>1062</v>
      </c>
      <c r="K41" t="s">
        <v>2123</v>
      </c>
      <c r="L41" t="s">
        <v>2124</v>
      </c>
      <c r="M41" s="2" t="str">
        <f>HYPERLINK(Таблица3[[#This Row],[RelativePath]])</f>
        <v>10 Сушилка навес\E33149364_3_20251118T090833Z.jpg</v>
      </c>
    </row>
    <row r="42" spans="1:13" x14ac:dyDescent="0.25">
      <c r="A42" t="s">
        <v>14</v>
      </c>
      <c r="B42" s="3">
        <v>45979</v>
      </c>
      <c r="C42" s="5">
        <v>0.38103009259259257</v>
      </c>
      <c r="D42" s="1" t="s">
        <v>1283</v>
      </c>
      <c r="E42" t="s">
        <v>70</v>
      </c>
      <c r="F42" t="s">
        <v>58</v>
      </c>
      <c r="H42" t="s">
        <v>2372</v>
      </c>
      <c r="I42" t="s">
        <v>2125</v>
      </c>
      <c r="J42" t="s">
        <v>1062</v>
      </c>
      <c r="K42" t="s">
        <v>2126</v>
      </c>
      <c r="L42" t="s">
        <v>2127</v>
      </c>
      <c r="M42" s="2" t="str">
        <f>HYPERLINK(Таблица3[[#This Row],[RelativePath]])</f>
        <v>10 Сушилка навес\E33149364_3_20251118T090841Z.jpg</v>
      </c>
    </row>
    <row r="43" spans="1:13" x14ac:dyDescent="0.25">
      <c r="A43" t="s">
        <v>14</v>
      </c>
      <c r="B43" s="3">
        <v>45979</v>
      </c>
      <c r="C43" s="5">
        <v>0.38765046296296296</v>
      </c>
      <c r="D43" s="1" t="s">
        <v>1283</v>
      </c>
      <c r="E43" t="s">
        <v>70</v>
      </c>
      <c r="F43" t="s">
        <v>2366</v>
      </c>
      <c r="H43" t="s">
        <v>2372</v>
      </c>
      <c r="I43" t="s">
        <v>2137</v>
      </c>
      <c r="J43" t="s">
        <v>1062</v>
      </c>
      <c r="K43" t="s">
        <v>2138</v>
      </c>
      <c r="L43" t="s">
        <v>2139</v>
      </c>
      <c r="M43" s="2" t="str">
        <f>HYPERLINK(Таблица3[[#This Row],[RelativePath]])</f>
        <v>10 Сушилка навес\E33149364_3_20251118T091813Z.jpg</v>
      </c>
    </row>
    <row r="44" spans="1:13" x14ac:dyDescent="0.25">
      <c r="A44" t="s">
        <v>14</v>
      </c>
      <c r="B44" s="3">
        <v>45979</v>
      </c>
      <c r="C44" s="5">
        <v>0.38149305555555557</v>
      </c>
      <c r="D44" s="1" t="s">
        <v>1283</v>
      </c>
      <c r="E44" t="s">
        <v>70</v>
      </c>
      <c r="F44" t="s">
        <v>58</v>
      </c>
      <c r="H44" t="s">
        <v>2372</v>
      </c>
      <c r="I44" t="s">
        <v>2131</v>
      </c>
      <c r="J44" t="s">
        <v>1062</v>
      </c>
      <c r="K44" t="s">
        <v>2132</v>
      </c>
      <c r="L44" t="s">
        <v>2133</v>
      </c>
      <c r="M44" s="2" t="str">
        <f>HYPERLINK(Таблица3[[#This Row],[RelativePath]])</f>
        <v>10 Сушилка навес\E33149364_3_20251118T090921Z.jpg</v>
      </c>
    </row>
    <row r="45" spans="1:13" x14ac:dyDescent="0.25">
      <c r="A45" t="s">
        <v>14</v>
      </c>
      <c r="B45" s="3">
        <v>45979</v>
      </c>
      <c r="C45" s="5">
        <v>0.38665509259259262</v>
      </c>
      <c r="D45" s="1" t="s">
        <v>1283</v>
      </c>
      <c r="E45" t="s">
        <v>70</v>
      </c>
      <c r="F45" t="s">
        <v>58</v>
      </c>
      <c r="H45" t="s">
        <v>2372</v>
      </c>
      <c r="I45" t="s">
        <v>2134</v>
      </c>
      <c r="J45" t="s">
        <v>1062</v>
      </c>
      <c r="K45" t="s">
        <v>2135</v>
      </c>
      <c r="L45" t="s">
        <v>2136</v>
      </c>
      <c r="M45" s="2" t="str">
        <f>HYPERLINK(Таблица3[[#This Row],[RelativePath]])</f>
        <v>10 Сушилка навес\E33149364_3_20251118T091647Z.jpg</v>
      </c>
    </row>
    <row r="46" spans="1:13" x14ac:dyDescent="0.25">
      <c r="A46" t="s">
        <v>14</v>
      </c>
      <c r="B46" s="3">
        <v>45979</v>
      </c>
      <c r="C46" s="5">
        <v>0.3881134259259259</v>
      </c>
      <c r="D46" s="1" t="s">
        <v>1283</v>
      </c>
      <c r="E46" t="s">
        <v>70</v>
      </c>
      <c r="F46" t="s">
        <v>2367</v>
      </c>
      <c r="H46" t="s">
        <v>2372</v>
      </c>
      <c r="I46" t="s">
        <v>2140</v>
      </c>
      <c r="J46" t="s">
        <v>1062</v>
      </c>
      <c r="K46" t="s">
        <v>2141</v>
      </c>
      <c r="L46" t="s">
        <v>2142</v>
      </c>
      <c r="M46" s="2" t="str">
        <f>HYPERLINK(Таблица3[[#This Row],[RelativePath]])</f>
        <v>10 Сушилка навес\E33149364_3_20251118T091853Z.jpg</v>
      </c>
    </row>
    <row r="47" spans="1:13" x14ac:dyDescent="0.25">
      <c r="A47" t="s">
        <v>15</v>
      </c>
      <c r="B47" s="3">
        <v>45980</v>
      </c>
      <c r="C47" s="5">
        <v>0.47888888888888886</v>
      </c>
      <c r="D47" s="1" t="s">
        <v>1283</v>
      </c>
      <c r="E47" t="s">
        <v>70</v>
      </c>
      <c r="F47" t="s">
        <v>2377</v>
      </c>
      <c r="H47" t="s">
        <v>2373</v>
      </c>
      <c r="I47" t="s">
        <v>2229</v>
      </c>
      <c r="J47" t="s">
        <v>1062</v>
      </c>
      <c r="K47" t="s">
        <v>2230</v>
      </c>
      <c r="L47" t="s">
        <v>2231</v>
      </c>
      <c r="M47" s="2" t="str">
        <f>HYPERLINK(Таблица3[[#This Row],[RelativePath]])</f>
        <v>10 Сушилка навес\E33149364_3_20251119T112936Z.jpg</v>
      </c>
    </row>
    <row r="48" spans="1:13" x14ac:dyDescent="0.25">
      <c r="A48" t="s">
        <v>15</v>
      </c>
      <c r="B48" s="3">
        <v>45980</v>
      </c>
      <c r="C48" s="5">
        <v>0.47864583333333333</v>
      </c>
      <c r="D48" s="1" t="s">
        <v>1283</v>
      </c>
      <c r="E48" t="s">
        <v>70</v>
      </c>
      <c r="F48" t="s">
        <v>58</v>
      </c>
      <c r="H48" t="s">
        <v>2373</v>
      </c>
      <c r="I48" t="s">
        <v>2226</v>
      </c>
      <c r="J48" t="s">
        <v>1062</v>
      </c>
      <c r="K48" t="s">
        <v>2227</v>
      </c>
      <c r="L48" t="s">
        <v>2228</v>
      </c>
      <c r="M48" s="2" t="str">
        <f>HYPERLINK(Таблица3[[#This Row],[RelativePath]])</f>
        <v>10 Сушилка навес\E33149364_3_20251119T112915Z.jpg</v>
      </c>
    </row>
    <row r="49" spans="1:13" x14ac:dyDescent="0.25">
      <c r="A49" t="s">
        <v>15</v>
      </c>
      <c r="B49" s="3">
        <v>45980</v>
      </c>
      <c r="C49" s="5">
        <v>0.47585648148148146</v>
      </c>
      <c r="D49" s="1" t="s">
        <v>1283</v>
      </c>
      <c r="E49" t="s">
        <v>70</v>
      </c>
      <c r="F49" t="s">
        <v>58</v>
      </c>
      <c r="H49" t="s">
        <v>2378</v>
      </c>
      <c r="I49" t="s">
        <v>2220</v>
      </c>
      <c r="J49" t="s">
        <v>1062</v>
      </c>
      <c r="K49" t="s">
        <v>2221</v>
      </c>
      <c r="L49" t="s">
        <v>2222</v>
      </c>
      <c r="M49" s="2" t="str">
        <f>HYPERLINK(Таблица3[[#This Row],[RelativePath]])</f>
        <v>10 Сушилка навес\E33149364_3_20251119T112514Z.jpg</v>
      </c>
    </row>
    <row r="50" spans="1:13" x14ac:dyDescent="0.25">
      <c r="A50" t="s">
        <v>15</v>
      </c>
      <c r="B50" s="3">
        <v>45980</v>
      </c>
      <c r="C50" s="5">
        <v>0.47793981481481479</v>
      </c>
      <c r="D50" s="1" t="s">
        <v>1283</v>
      </c>
      <c r="E50" t="s">
        <v>70</v>
      </c>
      <c r="F50" t="s">
        <v>58</v>
      </c>
      <c r="H50" t="s">
        <v>2378</v>
      </c>
      <c r="I50" t="s">
        <v>2223</v>
      </c>
      <c r="J50" t="s">
        <v>1062</v>
      </c>
      <c r="K50" t="s">
        <v>2224</v>
      </c>
      <c r="L50" t="s">
        <v>2225</v>
      </c>
      <c r="M50" s="2" t="str">
        <f>HYPERLINK(Таблица3[[#This Row],[RelativePath]])</f>
        <v>10 Сушилка навес\E33149364_3_20251119T112814Z.jpg</v>
      </c>
    </row>
    <row r="51" spans="1:13" x14ac:dyDescent="0.25">
      <c r="A51" t="s">
        <v>15</v>
      </c>
      <c r="B51" s="3">
        <v>45980</v>
      </c>
      <c r="C51" s="5">
        <v>0.47957175925925927</v>
      </c>
      <c r="D51" s="1" t="s">
        <v>1283</v>
      </c>
      <c r="E51" t="s">
        <v>70</v>
      </c>
      <c r="F51" t="s">
        <v>2377</v>
      </c>
      <c r="H51" t="s">
        <v>2373</v>
      </c>
      <c r="I51" t="s">
        <v>2241</v>
      </c>
      <c r="J51" t="s">
        <v>1062</v>
      </c>
      <c r="K51" t="s">
        <v>2242</v>
      </c>
      <c r="L51" t="s">
        <v>2243</v>
      </c>
      <c r="M51" s="2" t="str">
        <f>HYPERLINK(Таблица3[[#This Row],[RelativePath]])</f>
        <v>10 Сушилка навес\E33149364_3_20251119T113035Z.jpg</v>
      </c>
    </row>
    <row r="52" spans="1:13" x14ac:dyDescent="0.25">
      <c r="A52" t="s">
        <v>15</v>
      </c>
      <c r="B52" s="3">
        <v>45980</v>
      </c>
      <c r="C52" s="5">
        <v>0.47385416666666669</v>
      </c>
      <c r="D52" s="1" t="s">
        <v>1283</v>
      </c>
      <c r="E52" t="s">
        <v>70</v>
      </c>
      <c r="F52" t="s">
        <v>58</v>
      </c>
      <c r="H52" t="s">
        <v>2378</v>
      </c>
      <c r="I52" t="s">
        <v>2211</v>
      </c>
      <c r="J52" t="s">
        <v>1062</v>
      </c>
      <c r="K52" t="s">
        <v>2212</v>
      </c>
      <c r="L52" t="s">
        <v>2213</v>
      </c>
      <c r="M52" s="2" t="str">
        <f>HYPERLINK(Таблица3[[#This Row],[RelativePath]])</f>
        <v>10 Сушилка навес\E33149364_3_20251119T112221Z.jpg</v>
      </c>
    </row>
    <row r="53" spans="1:13" x14ac:dyDescent="0.25">
      <c r="A53" t="s">
        <v>15</v>
      </c>
      <c r="B53" s="3">
        <v>45980</v>
      </c>
      <c r="C53" s="5">
        <v>0.47950231481481481</v>
      </c>
      <c r="D53" s="1" t="s">
        <v>1283</v>
      </c>
      <c r="E53" t="s">
        <v>70</v>
      </c>
      <c r="F53" t="s">
        <v>2377</v>
      </c>
      <c r="H53" t="s">
        <v>2373</v>
      </c>
      <c r="I53" t="s">
        <v>2238</v>
      </c>
      <c r="J53" t="s">
        <v>1062</v>
      </c>
      <c r="K53" t="s">
        <v>2239</v>
      </c>
      <c r="L53" t="s">
        <v>2240</v>
      </c>
      <c r="M53" s="2" t="str">
        <f>HYPERLINK(Таблица3[[#This Row],[RelativePath]])</f>
        <v>10 Сушилка навес\E33149364_3_20251119T113029Z.jpg</v>
      </c>
    </row>
    <row r="54" spans="1:13" x14ac:dyDescent="0.25">
      <c r="A54" t="s">
        <v>15</v>
      </c>
      <c r="B54" s="3">
        <v>45980</v>
      </c>
      <c r="C54" s="5">
        <v>0.4790625</v>
      </c>
      <c r="D54" s="1" t="s">
        <v>1283</v>
      </c>
      <c r="E54" t="s">
        <v>70</v>
      </c>
      <c r="F54" t="s">
        <v>2377</v>
      </c>
      <c r="H54" t="s">
        <v>2373</v>
      </c>
      <c r="I54" t="s">
        <v>2232</v>
      </c>
      <c r="J54" t="s">
        <v>1062</v>
      </c>
      <c r="K54" t="s">
        <v>2233</v>
      </c>
      <c r="L54" t="s">
        <v>2234</v>
      </c>
      <c r="M54" s="2" t="str">
        <f>HYPERLINK(Таблица3[[#This Row],[RelativePath]])</f>
        <v>10 Сушилка навес\E33149364_3_20251119T112951Z.jpg</v>
      </c>
    </row>
    <row r="55" spans="1:13" x14ac:dyDescent="0.25">
      <c r="A55" t="s">
        <v>15</v>
      </c>
      <c r="B55" s="3">
        <v>45980</v>
      </c>
      <c r="C55" s="5">
        <v>0.47940972222222222</v>
      </c>
      <c r="D55" s="1" t="s">
        <v>1283</v>
      </c>
      <c r="E55" t="s">
        <v>70</v>
      </c>
      <c r="F55" t="s">
        <v>2377</v>
      </c>
      <c r="H55" t="s">
        <v>2373</v>
      </c>
      <c r="I55" t="s">
        <v>2235</v>
      </c>
      <c r="J55" t="s">
        <v>1062</v>
      </c>
      <c r="K55" t="s">
        <v>2236</v>
      </c>
      <c r="L55" t="s">
        <v>2237</v>
      </c>
      <c r="M55" s="2" t="str">
        <f>HYPERLINK(Таблица3[[#This Row],[RelativePath]])</f>
        <v>10 Сушилка навес\E33149364_3_20251119T113021Z.jpg</v>
      </c>
    </row>
    <row r="56" spans="1:13" x14ac:dyDescent="0.25">
      <c r="A56" t="s">
        <v>15</v>
      </c>
      <c r="B56" s="3">
        <v>45980</v>
      </c>
      <c r="C56" s="5">
        <v>0.46491898148148147</v>
      </c>
      <c r="D56" s="1" t="s">
        <v>1283</v>
      </c>
      <c r="E56" t="s">
        <v>70</v>
      </c>
      <c r="F56" t="s">
        <v>58</v>
      </c>
      <c r="H56" t="s">
        <v>2372</v>
      </c>
      <c r="I56" t="s">
        <v>2190</v>
      </c>
      <c r="J56" t="s">
        <v>1062</v>
      </c>
      <c r="K56" t="s">
        <v>2191</v>
      </c>
      <c r="L56" t="s">
        <v>2192</v>
      </c>
      <c r="M56" s="2" t="str">
        <f>HYPERLINK(Таблица3[[#This Row],[RelativePath]])</f>
        <v>10 Сушилка навес\E33149364_3_20251119T110929Z.jpg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0.46673611111111113</v>
      </c>
      <c r="D58" s="1" t="s">
        <v>1283</v>
      </c>
      <c r="E58" t="s">
        <v>70</v>
      </c>
      <c r="F58" t="s">
        <v>58</v>
      </c>
      <c r="H58" t="s">
        <v>2372</v>
      </c>
      <c r="I58" t="s">
        <v>2196</v>
      </c>
      <c r="J58" t="s">
        <v>1062</v>
      </c>
      <c r="K58" t="s">
        <v>2197</v>
      </c>
      <c r="L58" t="s">
        <v>2198</v>
      </c>
      <c r="M58" s="2" t="str">
        <f>HYPERLINK(Таблица3[[#This Row],[RelativePath]])</f>
        <v>10 Сушилка навес\E33149364_3_20251119T111206Z.jpg</v>
      </c>
    </row>
    <row r="59" spans="1:13" x14ac:dyDescent="0.25">
      <c r="A59" t="s">
        <v>15</v>
      </c>
      <c r="B59" s="3">
        <v>45980</v>
      </c>
      <c r="C59" s="5">
        <v>0.46177083333333335</v>
      </c>
      <c r="D59" s="1" t="s">
        <v>403</v>
      </c>
      <c r="E59" t="s">
        <v>70</v>
      </c>
      <c r="F59" t="s">
        <v>58</v>
      </c>
      <c r="H59" t="s">
        <v>2372</v>
      </c>
      <c r="I59" t="s">
        <v>2181</v>
      </c>
      <c r="J59" t="s">
        <v>1062</v>
      </c>
      <c r="K59" t="s">
        <v>2182</v>
      </c>
      <c r="L59" t="s">
        <v>2183</v>
      </c>
      <c r="M59" s="2" t="str">
        <f>HYPERLINK(Таблица3[[#This Row],[RelativePath]])</f>
        <v>10 Сушилка навес\E33149364_3_20251119T110457Z.jpg</v>
      </c>
    </row>
    <row r="60" spans="1:13" x14ac:dyDescent="0.25">
      <c r="A60" t="s">
        <v>15</v>
      </c>
      <c r="B60" s="3">
        <v>45980</v>
      </c>
      <c r="C60" s="5">
        <v>0.46206018518518521</v>
      </c>
      <c r="D60" s="1" t="s">
        <v>1283</v>
      </c>
      <c r="E60" t="s">
        <v>70</v>
      </c>
      <c r="F60" t="s">
        <v>58</v>
      </c>
      <c r="H60" t="s">
        <v>2372</v>
      </c>
      <c r="I60" t="s">
        <v>2184</v>
      </c>
      <c r="J60" t="s">
        <v>1062</v>
      </c>
      <c r="K60" t="s">
        <v>2185</v>
      </c>
      <c r="L60" t="s">
        <v>2186</v>
      </c>
      <c r="M60" s="2" t="str">
        <f>HYPERLINK(Таблица3[[#This Row],[RelativePath]])</f>
        <v>10 Сушилка навес\E33149364_3_20251119T110522Z.jpg</v>
      </c>
    </row>
    <row r="61" spans="1:13" x14ac:dyDescent="0.25">
      <c r="A61" t="s">
        <v>15</v>
      </c>
      <c r="B61" s="3">
        <v>45980</v>
      </c>
      <c r="C61" s="5">
        <v>0.46342592592592591</v>
      </c>
      <c r="D61" s="1" t="s">
        <v>1283</v>
      </c>
      <c r="E61" t="s">
        <v>70</v>
      </c>
      <c r="F61" t="s">
        <v>58</v>
      </c>
      <c r="H61" t="s">
        <v>2372</v>
      </c>
      <c r="I61" t="s">
        <v>2187</v>
      </c>
      <c r="J61" t="s">
        <v>1062</v>
      </c>
      <c r="K61" t="s">
        <v>2188</v>
      </c>
      <c r="L61" t="s">
        <v>2189</v>
      </c>
      <c r="M61" s="2" t="str">
        <f>HYPERLINK(Таблица3[[#This Row],[RelativePath]])</f>
        <v>10 Сушилка навес\E33149364_3_20251119T110720Z.jpg</v>
      </c>
    </row>
    <row r="62" spans="1:13" x14ac:dyDescent="0.25">
      <c r="A62" t="s">
        <v>15</v>
      </c>
      <c r="B62" s="3">
        <v>45980</v>
      </c>
      <c r="C62" s="5">
        <v>0.47151620370370373</v>
      </c>
      <c r="D62" s="1" t="s">
        <v>1283</v>
      </c>
      <c r="E62" t="s">
        <v>70</v>
      </c>
      <c r="F62" t="s">
        <v>58</v>
      </c>
      <c r="H62" t="s">
        <v>2372</v>
      </c>
      <c r="I62" t="s">
        <v>2208</v>
      </c>
      <c r="J62" t="s">
        <v>1062</v>
      </c>
      <c r="K62" t="s">
        <v>2209</v>
      </c>
      <c r="L62" t="s">
        <v>2210</v>
      </c>
      <c r="M62" s="2" t="str">
        <f>HYPERLINK(Таблица3[[#This Row],[RelativePath]])</f>
        <v>10 Сушилка навес\E33149364_3_20251119T111859Z.jpg</v>
      </c>
    </row>
    <row r="63" spans="1:13" x14ac:dyDescent="0.25">
      <c r="A63" t="s">
        <v>15</v>
      </c>
      <c r="B63" s="3">
        <v>45980</v>
      </c>
      <c r="C63" s="5">
        <v>0.47458333333333336</v>
      </c>
      <c r="D63" s="1" t="s">
        <v>1283</v>
      </c>
      <c r="E63" t="s">
        <v>70</v>
      </c>
      <c r="F63" t="s">
        <v>2377</v>
      </c>
      <c r="H63" t="s">
        <v>2372</v>
      </c>
      <c r="I63" t="s">
        <v>2214</v>
      </c>
      <c r="J63" t="s">
        <v>1062</v>
      </c>
      <c r="K63" t="s">
        <v>2215</v>
      </c>
      <c r="L63" t="s">
        <v>2216</v>
      </c>
      <c r="M63" s="2" t="str">
        <f>HYPERLINK(Таблица3[[#This Row],[RelativePath]])</f>
        <v>10 Сушилка навес\E33149364_3_20251119T112324Z.jpg</v>
      </c>
    </row>
    <row r="64" spans="1:13" x14ac:dyDescent="0.25">
      <c r="A64" t="s">
        <v>15</v>
      </c>
      <c r="B64" s="3">
        <v>45980</v>
      </c>
      <c r="C64" s="5">
        <v>0.47570601851851851</v>
      </c>
      <c r="D64" s="1" t="s">
        <v>1283</v>
      </c>
      <c r="E64" t="s">
        <v>70</v>
      </c>
      <c r="F64" t="s">
        <v>58</v>
      </c>
      <c r="H64" t="s">
        <v>2378</v>
      </c>
      <c r="I64" t="s">
        <v>2217</v>
      </c>
      <c r="J64" t="s">
        <v>1062</v>
      </c>
      <c r="K64" t="s">
        <v>2218</v>
      </c>
      <c r="L64" t="s">
        <v>2219</v>
      </c>
      <c r="M64" s="2" t="str">
        <f>HYPERLINK(Таблица3[[#This Row],[RelativePath]])</f>
        <v>10 Сушилка навес\E33149364_3_20251119T112501Z.jpg</v>
      </c>
    </row>
    <row r="65" spans="1:13" x14ac:dyDescent="0.25">
      <c r="A65" t="s">
        <v>15</v>
      </c>
      <c r="B65" s="3">
        <v>45980</v>
      </c>
      <c r="C65" s="5">
        <v>0.46688657407407408</v>
      </c>
      <c r="D65" s="1" t="s">
        <v>1283</v>
      </c>
      <c r="E65" t="s">
        <v>70</v>
      </c>
      <c r="F65" t="s">
        <v>58</v>
      </c>
      <c r="H65" t="s">
        <v>2372</v>
      </c>
      <c r="I65" t="s">
        <v>2199</v>
      </c>
      <c r="J65" t="s">
        <v>1062</v>
      </c>
      <c r="K65" t="s">
        <v>2200</v>
      </c>
      <c r="L65" t="s">
        <v>2201</v>
      </c>
      <c r="M65" s="2" t="str">
        <f>HYPERLINK(Таблица3[[#This Row],[RelativePath]])</f>
        <v>10 Сушилка навес\E33149364_3_20251119T111219Z.jpg</v>
      </c>
    </row>
    <row r="66" spans="1:13" x14ac:dyDescent="0.25">
      <c r="A66" t="s">
        <v>15</v>
      </c>
      <c r="B66" s="3">
        <v>45980</v>
      </c>
      <c r="C66" s="5">
        <v>0.46755787037037039</v>
      </c>
      <c r="D66" s="1" t="s">
        <v>1283</v>
      </c>
      <c r="E66" t="s">
        <v>70</v>
      </c>
      <c r="F66" t="s">
        <v>58</v>
      </c>
      <c r="H66" t="s">
        <v>2372</v>
      </c>
      <c r="I66" t="s">
        <v>2202</v>
      </c>
      <c r="J66" t="s">
        <v>1062</v>
      </c>
      <c r="K66" t="s">
        <v>2203</v>
      </c>
      <c r="L66" t="s">
        <v>2204</v>
      </c>
      <c r="M66" s="2" t="str">
        <f>HYPERLINK(Таблица3[[#This Row],[RelativePath]])</f>
        <v>10 Сушилка навес\E33149364_3_20251119T111317Z.jpg</v>
      </c>
    </row>
    <row r="67" spans="1:13" x14ac:dyDescent="0.25">
      <c r="A67" t="s">
        <v>15</v>
      </c>
      <c r="B67" s="3">
        <v>45980</v>
      </c>
      <c r="C67" s="5">
        <v>0.46975694444444444</v>
      </c>
      <c r="D67" s="1" t="s">
        <v>1283</v>
      </c>
      <c r="E67" t="s">
        <v>70</v>
      </c>
      <c r="F67" t="s">
        <v>58</v>
      </c>
      <c r="H67" t="s">
        <v>2372</v>
      </c>
      <c r="I67" t="s">
        <v>2205</v>
      </c>
      <c r="J67" t="s">
        <v>1062</v>
      </c>
      <c r="K67" t="s">
        <v>2206</v>
      </c>
      <c r="L67" t="s">
        <v>2207</v>
      </c>
      <c r="M67" s="2" t="str">
        <f>HYPERLINK(Таблица3[[#This Row],[RelativePath]])</f>
        <v>10 Сушилка навес\E33149364_3_20251119T111627Z.jpg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0.62989583333333332</v>
      </c>
      <c r="D69" s="1" t="s">
        <v>226</v>
      </c>
      <c r="E69" t="s">
        <v>70</v>
      </c>
      <c r="F69" t="s">
        <v>58</v>
      </c>
      <c r="H69" t="s">
        <v>2352</v>
      </c>
      <c r="I69" t="s">
        <v>3144</v>
      </c>
      <c r="J69" t="s">
        <v>2397</v>
      </c>
      <c r="K69" t="s">
        <v>3145</v>
      </c>
      <c r="L69" t="s">
        <v>3146</v>
      </c>
      <c r="M69" s="2" t="str">
        <f>HYPERLINK(Таблица3[[#This Row],[RelativePath]])</f>
        <v>10 Сушилка навес\E33149364_3_20251125T150703Z.jpg</v>
      </c>
    </row>
    <row r="70" spans="1:13" x14ac:dyDescent="0.25">
      <c r="A70" t="s">
        <v>14</v>
      </c>
      <c r="B70" s="3">
        <v>45986</v>
      </c>
      <c r="C70" s="5">
        <v>0.62843749999999998</v>
      </c>
      <c r="D70" s="1" t="s">
        <v>226</v>
      </c>
      <c r="E70" t="s">
        <v>70</v>
      </c>
      <c r="F70" t="s">
        <v>58</v>
      </c>
      <c r="H70" t="s">
        <v>2352</v>
      </c>
      <c r="I70" t="s">
        <v>3135</v>
      </c>
      <c r="J70" t="s">
        <v>2397</v>
      </c>
      <c r="K70" t="s">
        <v>3136</v>
      </c>
      <c r="L70" t="s">
        <v>3137</v>
      </c>
      <c r="M70" s="2" t="str">
        <f>HYPERLINK(Таблица3[[#This Row],[RelativePath]])</f>
        <v>10 Сушилка навес\E33149364_3_20251125T150457Z.jpg</v>
      </c>
    </row>
    <row r="71" spans="1:13" x14ac:dyDescent="0.25">
      <c r="A71" t="s">
        <v>14</v>
      </c>
      <c r="B71" s="3">
        <v>45986</v>
      </c>
      <c r="C71" s="5">
        <v>0.62826388888888884</v>
      </c>
      <c r="D71" s="1" t="s">
        <v>226</v>
      </c>
      <c r="E71" t="s">
        <v>70</v>
      </c>
      <c r="F71" t="s">
        <v>58</v>
      </c>
      <c r="H71" t="s">
        <v>1287</v>
      </c>
      <c r="I71" t="s">
        <v>3132</v>
      </c>
      <c r="J71" t="s">
        <v>2397</v>
      </c>
      <c r="K71" t="s">
        <v>3133</v>
      </c>
      <c r="L71" t="s">
        <v>3134</v>
      </c>
      <c r="M71" s="2" t="str">
        <f>HYPERLINK(Таблица3[[#This Row],[RelativePath]])</f>
        <v>10 Сушилка навес\E33149364_3_20251125T150442Z.jpg</v>
      </c>
    </row>
    <row r="72" spans="1:13" x14ac:dyDescent="0.25">
      <c r="A72" t="s">
        <v>14</v>
      </c>
      <c r="B72" s="3">
        <v>45986</v>
      </c>
      <c r="C72" s="5">
        <v>0.62981481481481483</v>
      </c>
      <c r="D72" s="1" t="s">
        <v>226</v>
      </c>
      <c r="E72" t="s">
        <v>70</v>
      </c>
      <c r="F72" t="s">
        <v>58</v>
      </c>
      <c r="H72" t="s">
        <v>2352</v>
      </c>
      <c r="I72" t="s">
        <v>3141</v>
      </c>
      <c r="J72" t="s">
        <v>2397</v>
      </c>
      <c r="K72" t="s">
        <v>3142</v>
      </c>
      <c r="L72" t="s">
        <v>3143</v>
      </c>
      <c r="M72" s="2" t="str">
        <f>HYPERLINK(Таблица3[[#This Row],[RelativePath]])</f>
        <v>10 Сушилка навес\E33149364_3_20251125T150656Z.jpg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0.6300810185185185</v>
      </c>
      <c r="D74" s="1" t="s">
        <v>226</v>
      </c>
      <c r="E74" t="s">
        <v>70</v>
      </c>
      <c r="F74" t="s">
        <v>58</v>
      </c>
      <c r="H74" t="s">
        <v>2352</v>
      </c>
      <c r="I74" t="s">
        <v>3147</v>
      </c>
      <c r="J74" t="s">
        <v>2397</v>
      </c>
      <c r="K74" t="s">
        <v>3148</v>
      </c>
      <c r="L74" t="s">
        <v>3149</v>
      </c>
      <c r="M74" s="2" t="str">
        <f>HYPERLINK(Таблица3[[#This Row],[RelativePath]])</f>
        <v>10 Сушилка навес\E33149364_3_20251125T150719Z.jpg</v>
      </c>
    </row>
    <row r="75" spans="1:13" x14ac:dyDescent="0.25">
      <c r="A75" t="s">
        <v>14</v>
      </c>
      <c r="B75" s="3">
        <v>45986</v>
      </c>
      <c r="C75" s="5">
        <v>0.63023148148148145</v>
      </c>
      <c r="D75" s="1" t="s">
        <v>226</v>
      </c>
      <c r="E75" t="s">
        <v>70</v>
      </c>
      <c r="F75" t="s">
        <v>58</v>
      </c>
      <c r="H75" t="s">
        <v>2352</v>
      </c>
      <c r="I75" t="s">
        <v>3150</v>
      </c>
      <c r="J75" t="s">
        <v>2397</v>
      </c>
      <c r="K75" t="s">
        <v>3151</v>
      </c>
      <c r="L75" t="s">
        <v>3152</v>
      </c>
      <c r="M75" s="2" t="str">
        <f>HYPERLINK(Таблица3[[#This Row],[RelativePath]])</f>
        <v>10 Сушилка навес\E33149364_3_20251125T150732Z.jpg</v>
      </c>
    </row>
    <row r="76" spans="1:13" x14ac:dyDescent="0.25">
      <c r="A76" t="s">
        <v>14</v>
      </c>
      <c r="B76" s="3">
        <v>45986</v>
      </c>
      <c r="C76" s="5">
        <v>0.6305439814814815</v>
      </c>
      <c r="D76" s="1" t="s">
        <v>226</v>
      </c>
      <c r="E76" t="s">
        <v>70</v>
      </c>
      <c r="F76" t="s">
        <v>58</v>
      </c>
      <c r="H76" t="s">
        <v>2352</v>
      </c>
      <c r="I76" t="s">
        <v>3153</v>
      </c>
      <c r="J76" t="s">
        <v>2397</v>
      </c>
      <c r="K76" t="s">
        <v>3154</v>
      </c>
      <c r="L76" t="s">
        <v>3155</v>
      </c>
      <c r="M76" s="2" t="str">
        <f>HYPERLINK(Таблица3[[#This Row],[RelativePath]])</f>
        <v>10 Сушилка навес\E33149364_3_20251125T150759Z.jpg</v>
      </c>
    </row>
    <row r="77" spans="1:13" x14ac:dyDescent="0.25">
      <c r="A77" t="s">
        <v>14</v>
      </c>
      <c r="B77" s="3">
        <v>45986</v>
      </c>
      <c r="C77" s="5">
        <v>0.6318287037037037</v>
      </c>
      <c r="D77" s="1" t="s">
        <v>226</v>
      </c>
      <c r="E77" t="s">
        <v>70</v>
      </c>
      <c r="F77" t="s">
        <v>3398</v>
      </c>
      <c r="H77" t="s">
        <v>1285</v>
      </c>
      <c r="I77" t="s">
        <v>3158</v>
      </c>
      <c r="J77" t="s">
        <v>2397</v>
      </c>
      <c r="K77" t="s">
        <v>3159</v>
      </c>
      <c r="L77" t="s">
        <v>3160</v>
      </c>
      <c r="M77" s="2" t="str">
        <f>HYPERLINK(Таблица3[[#This Row],[RelativePath]])</f>
        <v>10 Сушилка навес\E33149364_3_20251125T150950Z.jpg</v>
      </c>
    </row>
    <row r="78" spans="1:13" x14ac:dyDescent="0.25">
      <c r="A78" t="s">
        <v>15</v>
      </c>
      <c r="B78" s="3">
        <v>45987</v>
      </c>
      <c r="C78" s="5">
        <v>0.44269675925925928</v>
      </c>
      <c r="D78" s="1" t="s">
        <v>226</v>
      </c>
      <c r="E78" t="s">
        <v>3357</v>
      </c>
      <c r="F78" t="s">
        <v>58</v>
      </c>
      <c r="H78" t="s">
        <v>2352</v>
      </c>
      <c r="I78" t="s">
        <v>3181</v>
      </c>
      <c r="J78" t="s">
        <v>2397</v>
      </c>
      <c r="K78" t="s">
        <v>3182</v>
      </c>
      <c r="L78" t="s">
        <v>3183</v>
      </c>
      <c r="M78" s="2" t="str">
        <f>HYPERLINK(Таблица3[[#This Row],[RelativePath]])</f>
        <v>10 Сушилка навес\E33149364_3_20251126T103729Z.jpg</v>
      </c>
    </row>
    <row r="79" spans="1:13" x14ac:dyDescent="0.25">
      <c r="A79" t="s">
        <v>15</v>
      </c>
      <c r="B79" s="3">
        <v>45987</v>
      </c>
      <c r="C79" s="5">
        <v>0.44207175925925923</v>
      </c>
      <c r="D79" s="1" t="s">
        <v>226</v>
      </c>
      <c r="E79" t="s">
        <v>3357</v>
      </c>
      <c r="F79" t="s">
        <v>58</v>
      </c>
      <c r="H79" t="s">
        <v>1287</v>
      </c>
      <c r="I79" t="s">
        <v>3166</v>
      </c>
      <c r="J79" t="s">
        <v>2397</v>
      </c>
      <c r="K79" t="s">
        <v>3167</v>
      </c>
      <c r="L79" t="s">
        <v>3168</v>
      </c>
      <c r="M79" s="2" t="str">
        <f>HYPERLINK(Таблица3[[#This Row],[RelativePath]])</f>
        <v>10 Сушилка навес\E33149364_3_20251126T103635Z.jpg</v>
      </c>
    </row>
    <row r="80" spans="1:13" x14ac:dyDescent="0.25">
      <c r="A80" t="s">
        <v>15</v>
      </c>
      <c r="B80" s="3">
        <v>45987</v>
      </c>
      <c r="C80" s="5">
        <v>0.44216435185185188</v>
      </c>
      <c r="D80" s="1" t="s">
        <v>226</v>
      </c>
      <c r="E80" t="s">
        <v>3357</v>
      </c>
      <c r="F80" t="s">
        <v>58</v>
      </c>
      <c r="H80" t="s">
        <v>2352</v>
      </c>
      <c r="I80" t="s">
        <v>3169</v>
      </c>
      <c r="J80" t="s">
        <v>2397</v>
      </c>
      <c r="K80" t="s">
        <v>3170</v>
      </c>
      <c r="L80" t="s">
        <v>3171</v>
      </c>
      <c r="M80" s="2" t="str">
        <f>HYPERLINK(Таблица3[[#This Row],[RelativePath]])</f>
        <v>10 Сушилка навес\E33149364_3_20251126T103643Z.jpg</v>
      </c>
    </row>
    <row r="81" spans="1:13" x14ac:dyDescent="0.25">
      <c r="A81" t="s">
        <v>15</v>
      </c>
      <c r="B81" s="3">
        <v>45987</v>
      </c>
      <c r="C81" s="5">
        <v>0.44284722222222223</v>
      </c>
      <c r="D81" s="1" t="s">
        <v>226</v>
      </c>
      <c r="E81" t="s">
        <v>3357</v>
      </c>
      <c r="F81" t="s">
        <v>58</v>
      </c>
      <c r="H81" t="s">
        <v>2352</v>
      </c>
      <c r="I81" t="s">
        <v>3184</v>
      </c>
      <c r="J81" t="s">
        <v>2397</v>
      </c>
      <c r="K81" t="s">
        <v>3185</v>
      </c>
      <c r="L81" t="s">
        <v>3186</v>
      </c>
      <c r="M81" s="2" t="str">
        <f>HYPERLINK(Таблица3[[#This Row],[RelativePath]])</f>
        <v>10 Сушилка навес\E33149364_3_20251126T103742Z.jpg</v>
      </c>
    </row>
    <row r="82" spans="1:13" x14ac:dyDescent="0.25">
      <c r="A82" t="s">
        <v>15</v>
      </c>
      <c r="B82" s="3">
        <v>45987</v>
      </c>
      <c r="C82" s="5">
        <v>0.45056712962962964</v>
      </c>
      <c r="D82" s="1" t="s">
        <v>226</v>
      </c>
      <c r="E82" t="s">
        <v>3357</v>
      </c>
      <c r="F82" t="s">
        <v>58</v>
      </c>
      <c r="H82" t="s">
        <v>2352</v>
      </c>
      <c r="I82" t="s">
        <v>3211</v>
      </c>
      <c r="J82" t="s">
        <v>2397</v>
      </c>
      <c r="K82" t="s">
        <v>3212</v>
      </c>
      <c r="L82" t="s">
        <v>3213</v>
      </c>
      <c r="M82" s="2" t="str">
        <f>HYPERLINK(Таблица3[[#This Row],[RelativePath]])</f>
        <v>10 Сушилка навес\E33149364_3_20251126T104849Z.jpg</v>
      </c>
    </row>
    <row r="83" spans="1:13" x14ac:dyDescent="0.25">
      <c r="A83" t="s">
        <v>15</v>
      </c>
      <c r="B83" s="3">
        <v>45987</v>
      </c>
      <c r="C83" s="5">
        <v>0.44848379629629631</v>
      </c>
      <c r="D83" s="1" t="s">
        <v>226</v>
      </c>
      <c r="E83" t="s">
        <v>3357</v>
      </c>
      <c r="F83" t="s">
        <v>58</v>
      </c>
      <c r="H83" t="s">
        <v>2352</v>
      </c>
      <c r="I83" t="s">
        <v>3269</v>
      </c>
      <c r="J83" t="s">
        <v>2398</v>
      </c>
      <c r="K83" t="s">
        <v>3270</v>
      </c>
      <c r="L83" t="s">
        <v>3271</v>
      </c>
      <c r="M83" s="2" t="str">
        <f>HYPERLINK(Таблица3[[#This Row],[RelativePath]])</f>
        <v>11 С ангара на базу\E33149364_4_20251126T104549Z.jpg</v>
      </c>
    </row>
    <row r="84" spans="1:13" x14ac:dyDescent="0.25">
      <c r="A84" t="s">
        <v>15</v>
      </c>
      <c r="B84" s="3">
        <v>45987</v>
      </c>
      <c r="C84" s="5">
        <v>0.44864583333333335</v>
      </c>
      <c r="D84" s="1" t="s">
        <v>226</v>
      </c>
      <c r="E84" t="s">
        <v>3357</v>
      </c>
      <c r="F84" t="s">
        <v>58</v>
      </c>
      <c r="H84" t="s">
        <v>2352</v>
      </c>
      <c r="I84" t="s">
        <v>3272</v>
      </c>
      <c r="J84" t="s">
        <v>2398</v>
      </c>
      <c r="K84" t="s">
        <v>3273</v>
      </c>
      <c r="L84" t="s">
        <v>3274</v>
      </c>
      <c r="M84" s="2" t="str">
        <f>HYPERLINK(Таблица3[[#This Row],[RelativePath]])</f>
        <v>11 С ангара на базу\E33149364_4_20251126T104603Z.jpg</v>
      </c>
    </row>
    <row r="85" spans="1:13" x14ac:dyDescent="0.25">
      <c r="A85" t="s">
        <v>15</v>
      </c>
      <c r="B85" s="3">
        <v>45987</v>
      </c>
      <c r="C85" s="5">
        <v>0.44947916666666665</v>
      </c>
      <c r="D85" s="1" t="s">
        <v>226</v>
      </c>
      <c r="E85" t="s">
        <v>3357</v>
      </c>
      <c r="F85" t="s">
        <v>58</v>
      </c>
      <c r="H85" t="s">
        <v>2352</v>
      </c>
      <c r="I85" t="s">
        <v>3275</v>
      </c>
      <c r="J85" t="s">
        <v>2398</v>
      </c>
      <c r="K85" t="s">
        <v>3276</v>
      </c>
      <c r="L85" t="s">
        <v>3277</v>
      </c>
      <c r="M85" s="2" t="str">
        <f>HYPERLINK(Таблица3[[#This Row],[RelativePath]])</f>
        <v>11 С ангара на базу\E33149364_4_20251126T104715Z.jpg</v>
      </c>
    </row>
    <row r="86" spans="1:13" x14ac:dyDescent="0.25">
      <c r="A86" t="s">
        <v>15</v>
      </c>
      <c r="B86" s="3">
        <v>45987</v>
      </c>
      <c r="C86" s="5">
        <v>0.44723379629629628</v>
      </c>
      <c r="D86" s="1" t="s">
        <v>226</v>
      </c>
      <c r="E86" t="s">
        <v>3357</v>
      </c>
      <c r="F86" t="s">
        <v>58</v>
      </c>
      <c r="I86" t="s">
        <v>3266</v>
      </c>
      <c r="J86" t="s">
        <v>2398</v>
      </c>
      <c r="K86" t="s">
        <v>3267</v>
      </c>
      <c r="L86" t="s">
        <v>3268</v>
      </c>
      <c r="M86" s="2" t="str">
        <f>HYPERLINK(Таблица3[[#This Row],[RelativePath]])</f>
        <v>11 С ангара на базу\E33149364_4_20251126T104401Z.jpg</v>
      </c>
    </row>
    <row r="87" spans="1:13" x14ac:dyDescent="0.25">
      <c r="A87" t="s">
        <v>15</v>
      </c>
      <c r="B87" s="3">
        <v>45987</v>
      </c>
      <c r="C87" s="5">
        <v>0.44473379629629628</v>
      </c>
      <c r="D87" s="1" t="s">
        <v>226</v>
      </c>
      <c r="E87" t="s">
        <v>3357</v>
      </c>
      <c r="F87" t="s">
        <v>58</v>
      </c>
      <c r="H87" t="s">
        <v>2352</v>
      </c>
      <c r="I87" t="s">
        <v>3192</v>
      </c>
      <c r="J87" t="s">
        <v>2397</v>
      </c>
      <c r="K87" t="s">
        <v>3193</v>
      </c>
      <c r="L87" t="s">
        <v>3194</v>
      </c>
      <c r="M87" s="2" t="str">
        <f>HYPERLINK(Таблица3[[#This Row],[RelativePath]])</f>
        <v>10 Сушилка навес\E33149364_3_20251126T104025Z.jpg</v>
      </c>
    </row>
    <row r="88" spans="1:13" x14ac:dyDescent="0.25">
      <c r="A88" t="s">
        <v>15</v>
      </c>
      <c r="B88" s="3">
        <v>45987</v>
      </c>
      <c r="C88" s="5">
        <v>0.44495370370370368</v>
      </c>
      <c r="D88" s="1" t="s">
        <v>226</v>
      </c>
      <c r="E88" t="s">
        <v>3357</v>
      </c>
      <c r="F88" t="s">
        <v>58</v>
      </c>
      <c r="H88" t="s">
        <v>2352</v>
      </c>
      <c r="I88" t="s">
        <v>3195</v>
      </c>
      <c r="J88" t="s">
        <v>2397</v>
      </c>
      <c r="K88" t="s">
        <v>3196</v>
      </c>
      <c r="L88" t="s">
        <v>3197</v>
      </c>
      <c r="M88" s="2" t="str">
        <f>HYPERLINK(Таблица3[[#This Row],[RelativePath]])</f>
        <v>10 Сушилка навес\E33149364_3_20251126T104044Z.jpg</v>
      </c>
    </row>
    <row r="89" spans="1:13" x14ac:dyDescent="0.25">
      <c r="A89" t="s">
        <v>15</v>
      </c>
      <c r="B89" s="3">
        <v>45987</v>
      </c>
      <c r="C89" s="5">
        <v>0.4478125</v>
      </c>
      <c r="D89" s="1" t="s">
        <v>226</v>
      </c>
      <c r="E89" t="s">
        <v>3357</v>
      </c>
      <c r="F89" t="s">
        <v>58</v>
      </c>
      <c r="H89" t="s">
        <v>2352</v>
      </c>
      <c r="I89" t="s">
        <v>3208</v>
      </c>
      <c r="J89" t="s">
        <v>2397</v>
      </c>
      <c r="K89" t="s">
        <v>3209</v>
      </c>
      <c r="L89" t="s">
        <v>3210</v>
      </c>
      <c r="M89" s="2" t="str">
        <f>HYPERLINK(Таблица3[[#This Row],[RelativePath]])</f>
        <v>10 Сушилка навес\E33149364_3_20251126T104451Z.jpg</v>
      </c>
    </row>
    <row r="90" spans="1:13" x14ac:dyDescent="0.25">
      <c r="A90" t="s">
        <v>15</v>
      </c>
      <c r="B90" s="3">
        <v>45987</v>
      </c>
      <c r="C90" s="5">
        <v>0.44372685185185184</v>
      </c>
      <c r="D90" s="1" t="s">
        <v>226</v>
      </c>
      <c r="E90" t="s">
        <v>3357</v>
      </c>
      <c r="F90" t="s">
        <v>58</v>
      </c>
      <c r="I90" t="s">
        <v>3189</v>
      </c>
      <c r="J90" t="s">
        <v>2397</v>
      </c>
      <c r="K90" t="s">
        <v>3190</v>
      </c>
      <c r="L90" t="s">
        <v>3191</v>
      </c>
      <c r="M90" s="2" t="str">
        <f>HYPERLINK(Таблица3[[#This Row],[RelativePath]])</f>
        <v>10 Сушилка навес\E33149364_3_20251126T103858Z.jpg</v>
      </c>
    </row>
    <row r="91" spans="1:13" x14ac:dyDescent="0.25">
      <c r="A91" t="s">
        <v>15</v>
      </c>
      <c r="B91" s="3">
        <v>45987</v>
      </c>
      <c r="C91" s="5">
        <v>0.44767361111111109</v>
      </c>
      <c r="D91" s="1" t="s">
        <v>226</v>
      </c>
      <c r="E91" t="s">
        <v>3357</v>
      </c>
      <c r="F91" t="s">
        <v>58</v>
      </c>
      <c r="H91" t="s">
        <v>2352</v>
      </c>
      <c r="I91" t="s">
        <v>3205</v>
      </c>
      <c r="J91" t="s">
        <v>2397</v>
      </c>
      <c r="K91" t="s">
        <v>3206</v>
      </c>
      <c r="L91" t="s">
        <v>3207</v>
      </c>
      <c r="M91" s="2" t="str">
        <f>HYPERLINK(Таблица3[[#This Row],[RelativePath]])</f>
        <v>10 Сушилка навес\E33149364_3_20251126T104439Z.jpg</v>
      </c>
    </row>
    <row r="92" spans="1:13" x14ac:dyDescent="0.25">
      <c r="A92" t="s">
        <v>15</v>
      </c>
      <c r="B92" s="3">
        <v>45987</v>
      </c>
      <c r="C92" s="5">
        <v>0.44255787037037037</v>
      </c>
      <c r="D92" s="1" t="s">
        <v>226</v>
      </c>
      <c r="E92" t="s">
        <v>3357</v>
      </c>
      <c r="F92" t="s">
        <v>58</v>
      </c>
      <c r="H92" t="s">
        <v>2352</v>
      </c>
      <c r="I92" t="s">
        <v>3178</v>
      </c>
      <c r="J92" t="s">
        <v>2397</v>
      </c>
      <c r="K92" t="s">
        <v>3179</v>
      </c>
      <c r="L92" t="s">
        <v>3180</v>
      </c>
      <c r="M92" s="2" t="str">
        <f>HYPERLINK(Таблица3[[#This Row],[RelativePath]])</f>
        <v>10 Сушилка навес\E33149364_3_20251126T103717Z.jpg</v>
      </c>
    </row>
    <row r="93" spans="1:13" x14ac:dyDescent="0.25">
      <c r="A93" t="s">
        <v>15</v>
      </c>
      <c r="B93" s="3">
        <v>45987</v>
      </c>
      <c r="C93" s="5">
        <v>0.44241898148148145</v>
      </c>
      <c r="D93" s="1" t="s">
        <v>226</v>
      </c>
      <c r="E93" t="s">
        <v>3357</v>
      </c>
      <c r="F93" t="s">
        <v>58</v>
      </c>
      <c r="H93" t="s">
        <v>2352</v>
      </c>
      <c r="I93" t="s">
        <v>3175</v>
      </c>
      <c r="J93" t="s">
        <v>2397</v>
      </c>
      <c r="K93" t="s">
        <v>3176</v>
      </c>
      <c r="L93" t="s">
        <v>3177</v>
      </c>
      <c r="M93" s="2" t="str">
        <f>HYPERLINK(Таблица3[[#This Row],[RelativePath]])</f>
        <v>10 Сушилка навес\E33149364_3_20251126T103705Z.jpg</v>
      </c>
    </row>
    <row r="94" spans="1:13" x14ac:dyDescent="0.25">
      <c r="A94" t="s">
        <v>15</v>
      </c>
      <c r="B94" s="3">
        <v>45987</v>
      </c>
      <c r="C94" s="5">
        <v>0.44226851851851851</v>
      </c>
      <c r="D94" s="1" t="s">
        <v>226</v>
      </c>
      <c r="E94" t="s">
        <v>3357</v>
      </c>
      <c r="F94" t="s">
        <v>58</v>
      </c>
      <c r="H94" t="s">
        <v>2352</v>
      </c>
      <c r="I94" t="s">
        <v>3172</v>
      </c>
      <c r="J94" t="s">
        <v>2397</v>
      </c>
      <c r="K94" t="s">
        <v>3173</v>
      </c>
      <c r="L94" t="s">
        <v>3174</v>
      </c>
      <c r="M94" s="2" t="str">
        <f>HYPERLINK(Таблица3[[#This Row],[RelativePath]])</f>
        <v>10 Сушилка навес\E33149364_3_20251126T103652Z.jpg</v>
      </c>
    </row>
    <row r="95" spans="1:13" x14ac:dyDescent="0.25">
      <c r="A95" t="s">
        <v>15</v>
      </c>
      <c r="B95" s="3">
        <v>45987</v>
      </c>
      <c r="C95" s="5">
        <v>0.4475925925925926</v>
      </c>
      <c r="D95" s="1" t="s">
        <v>226</v>
      </c>
      <c r="E95" t="s">
        <v>3357</v>
      </c>
      <c r="F95" t="s">
        <v>58</v>
      </c>
      <c r="I95" t="s">
        <v>3202</v>
      </c>
      <c r="J95" t="s">
        <v>2397</v>
      </c>
      <c r="K95" t="s">
        <v>3203</v>
      </c>
      <c r="L95" t="s">
        <v>3204</v>
      </c>
      <c r="M95" s="2" t="str">
        <f>HYPERLINK(Таблица3[[#This Row],[RelativePath]])</f>
        <v>10 Сушилка навес\E33149364_3_20251126T104432Z.jpg</v>
      </c>
    </row>
    <row r="96" spans="1:13" x14ac:dyDescent="0.25">
      <c r="A96" t="s">
        <v>18</v>
      </c>
      <c r="B96" s="3">
        <v>45990</v>
      </c>
      <c r="C96" s="5">
        <v>0.63124999999999998</v>
      </c>
      <c r="D96" s="1" t="s">
        <v>226</v>
      </c>
      <c r="E96" t="s">
        <v>3359</v>
      </c>
      <c r="F96" t="s">
        <v>3376</v>
      </c>
      <c r="H96" t="s">
        <v>2352</v>
      </c>
      <c r="I96" t="s">
        <v>2904</v>
      </c>
      <c r="J96" t="s">
        <v>2396</v>
      </c>
      <c r="K96" t="s">
        <v>2905</v>
      </c>
      <c r="L96" t="s">
        <v>2906</v>
      </c>
      <c r="M96" s="2" t="str">
        <f>HYPERLINK(Таблица3[[#This Row],[RelativePath]])</f>
        <v>7 Площадка 2 бетонщики\K07156189_18_20251129T150900Z.jpg</v>
      </c>
    </row>
    <row r="97" spans="1:13" x14ac:dyDescent="0.25">
      <c r="A97" t="s">
        <v>18</v>
      </c>
      <c r="B97" s="3">
        <v>45990</v>
      </c>
      <c r="C97" s="5">
        <v>0.62604166666666672</v>
      </c>
      <c r="D97" s="1" t="s">
        <v>226</v>
      </c>
      <c r="E97" t="s">
        <v>3359</v>
      </c>
      <c r="F97" t="s">
        <v>3376</v>
      </c>
      <c r="H97" t="s">
        <v>2352</v>
      </c>
      <c r="I97" t="s">
        <v>2901</v>
      </c>
      <c r="J97" t="s">
        <v>2396</v>
      </c>
      <c r="K97" t="s">
        <v>2902</v>
      </c>
      <c r="L97" t="s">
        <v>2903</v>
      </c>
      <c r="M97" s="2" t="str">
        <f>HYPERLINK(Таблица3[[#This Row],[RelativePath]])</f>
        <v>7 Площадка 2 бетонщики\K07156189_18_20251129T150130Z.jpg</v>
      </c>
    </row>
    <row r="98" spans="1:13" x14ac:dyDescent="0.25">
      <c r="A98" t="s">
        <v>18</v>
      </c>
      <c r="B98" s="3">
        <v>45990</v>
      </c>
      <c r="C98" s="5">
        <v>0.67753472222222222</v>
      </c>
      <c r="D98" s="1" t="s">
        <v>226</v>
      </c>
      <c r="E98" t="s">
        <v>3360</v>
      </c>
      <c r="F98" t="s">
        <v>3376</v>
      </c>
      <c r="H98" t="s">
        <v>2352</v>
      </c>
      <c r="I98" t="s">
        <v>2963</v>
      </c>
      <c r="J98" t="s">
        <v>2396</v>
      </c>
      <c r="K98" t="s">
        <v>2964</v>
      </c>
      <c r="L98" t="s">
        <v>2965</v>
      </c>
      <c r="M98" s="2" t="str">
        <f>HYPERLINK(Таблица3[[#This Row],[RelativePath]])</f>
        <v>7 Площадка 2 бетонщики\K07156189_18_20251129T161539Z.jpg</v>
      </c>
    </row>
    <row r="99" spans="1:13" x14ac:dyDescent="0.25">
      <c r="A99" t="s">
        <v>18</v>
      </c>
      <c r="B99" s="3">
        <v>45990</v>
      </c>
      <c r="C99" s="5">
        <v>0.65699074074074071</v>
      </c>
      <c r="D99" s="1" t="s">
        <v>226</v>
      </c>
      <c r="E99" t="s">
        <v>3360</v>
      </c>
      <c r="F99" t="s">
        <v>3376</v>
      </c>
      <c r="H99" t="s">
        <v>2352</v>
      </c>
      <c r="I99" t="s">
        <v>2933</v>
      </c>
      <c r="J99" t="s">
        <v>2396</v>
      </c>
      <c r="K99" t="s">
        <v>2934</v>
      </c>
      <c r="L99" t="s">
        <v>2935</v>
      </c>
      <c r="M99" s="2" t="str">
        <f>HYPERLINK(Таблица3[[#This Row],[RelativePath]])</f>
        <v>7 Площадка 2 бетонщики\K07156189_18_20251129T154604Z.jpg</v>
      </c>
    </row>
    <row r="100" spans="1:13" x14ac:dyDescent="0.25">
      <c r="A100" t="s">
        <v>18</v>
      </c>
      <c r="B100" s="3">
        <v>45990</v>
      </c>
      <c r="C100" s="5">
        <v>0.62410879629629634</v>
      </c>
      <c r="D100" s="1" t="s">
        <v>226</v>
      </c>
      <c r="E100" t="s">
        <v>3359</v>
      </c>
      <c r="F100" t="s">
        <v>3376</v>
      </c>
      <c r="H100" t="s">
        <v>2352</v>
      </c>
      <c r="I100" t="s">
        <v>2898</v>
      </c>
      <c r="J100" t="s">
        <v>2396</v>
      </c>
      <c r="K100" t="s">
        <v>2899</v>
      </c>
      <c r="L100" t="s">
        <v>2900</v>
      </c>
      <c r="M100" s="2" t="str">
        <f>HYPERLINK(Таблица3[[#This Row],[RelativePath]])</f>
        <v>7 Площадка 2 бетонщики\K07156189_18_20251129T145843Z.jpg</v>
      </c>
    </row>
    <row r="101" spans="1:13" x14ac:dyDescent="0.25">
      <c r="A101" t="s">
        <v>18</v>
      </c>
      <c r="B101" s="3">
        <v>45990</v>
      </c>
      <c r="C101" s="5">
        <v>0.61790509259259263</v>
      </c>
      <c r="D101" s="1" t="s">
        <v>226</v>
      </c>
      <c r="E101" t="s">
        <v>3359</v>
      </c>
      <c r="F101" t="s">
        <v>3376</v>
      </c>
      <c r="H101" t="s">
        <v>2352</v>
      </c>
      <c r="I101" t="s">
        <v>2889</v>
      </c>
      <c r="J101" t="s">
        <v>2396</v>
      </c>
      <c r="K101" t="s">
        <v>2890</v>
      </c>
      <c r="L101" t="s">
        <v>2891</v>
      </c>
      <c r="M101" s="2" t="str">
        <f>HYPERLINK(Таблица3[[#This Row],[RelativePath]])</f>
        <v>7 Площадка 2 бетонщики\K07156189_18_20251129T144947Z.jpg</v>
      </c>
    </row>
    <row r="102" spans="1:13" x14ac:dyDescent="0.25">
      <c r="A102" t="s">
        <v>18</v>
      </c>
      <c r="B102" s="3">
        <v>45990</v>
      </c>
      <c r="C102" s="5">
        <v>0.64386574074074077</v>
      </c>
      <c r="D102" s="1" t="s">
        <v>226</v>
      </c>
      <c r="E102" t="s">
        <v>3359</v>
      </c>
      <c r="F102" t="s">
        <v>87</v>
      </c>
      <c r="I102" t="s">
        <v>2919</v>
      </c>
      <c r="J102" t="s">
        <v>2396</v>
      </c>
      <c r="K102" t="s">
        <v>2920</v>
      </c>
      <c r="L102" t="s">
        <v>2921</v>
      </c>
      <c r="M102" s="2" t="str">
        <f>HYPERLINK(Таблица3[[#This Row],[RelativePath]])</f>
        <v>7 Площадка 2 бетонщики\K07156189_18_20251129T152710Z.jpg</v>
      </c>
    </row>
    <row r="103" spans="1:13" x14ac:dyDescent="0.25">
      <c r="A103" t="s">
        <v>18</v>
      </c>
      <c r="B103" s="3">
        <v>45990</v>
      </c>
      <c r="C103" s="5">
        <v>0.65312499999999996</v>
      </c>
      <c r="D103" s="1" t="s">
        <v>226</v>
      </c>
      <c r="E103" t="s">
        <v>3360</v>
      </c>
      <c r="F103" t="s">
        <v>3376</v>
      </c>
      <c r="I103" t="s">
        <v>2927</v>
      </c>
      <c r="J103" t="s">
        <v>2396</v>
      </c>
      <c r="K103" t="s">
        <v>2928</v>
      </c>
      <c r="L103" t="s">
        <v>2929</v>
      </c>
      <c r="M103" s="2" t="str">
        <f>HYPERLINK(Таблица3[[#This Row],[RelativePath]])</f>
        <v>7 Площадка 2 бетонщики\K07156189_18_20251129T154030Z.jpg</v>
      </c>
    </row>
    <row r="104" spans="1:13" x14ac:dyDescent="0.25">
      <c r="A104" t="s">
        <v>18</v>
      </c>
      <c r="B104" s="3">
        <v>45990</v>
      </c>
      <c r="C104" s="5">
        <v>0.65543981481481484</v>
      </c>
      <c r="D104" s="1" t="s">
        <v>226</v>
      </c>
      <c r="E104" t="s">
        <v>3360</v>
      </c>
      <c r="F104" t="s">
        <v>3376</v>
      </c>
      <c r="H104" t="s">
        <v>2352</v>
      </c>
      <c r="I104" t="s">
        <v>2930</v>
      </c>
      <c r="J104" t="s">
        <v>2396</v>
      </c>
      <c r="K104" t="s">
        <v>2931</v>
      </c>
      <c r="L104" t="s">
        <v>2932</v>
      </c>
      <c r="M104" s="2" t="str">
        <f>HYPERLINK(Таблица3[[#This Row],[RelativePath]])</f>
        <v>7 Площадка 2 бетонщики\K07156189_18_20251129T154350Z.jpg</v>
      </c>
    </row>
    <row r="105" spans="1:13" x14ac:dyDescent="0.25">
      <c r="A105" t="s">
        <v>18</v>
      </c>
      <c r="B105" s="3">
        <v>45990</v>
      </c>
      <c r="C105" s="5">
        <v>0.61982638888888886</v>
      </c>
      <c r="D105" s="1" t="s">
        <v>226</v>
      </c>
      <c r="E105" t="s">
        <v>3359</v>
      </c>
      <c r="F105" t="s">
        <v>3376</v>
      </c>
      <c r="H105" t="s">
        <v>2352</v>
      </c>
      <c r="I105" t="s">
        <v>2892</v>
      </c>
      <c r="J105" t="s">
        <v>2396</v>
      </c>
      <c r="K105" t="s">
        <v>2893</v>
      </c>
      <c r="L105" t="s">
        <v>2894</v>
      </c>
      <c r="M105" s="2" t="str">
        <f>HYPERLINK(Таблица3[[#This Row],[RelativePath]])</f>
        <v>7 Площадка 2 бетонщики\K07156189_18_20251129T145233Z.jpg</v>
      </c>
    </row>
    <row r="106" spans="1:13" x14ac:dyDescent="0.25">
      <c r="A106" t="s">
        <v>18</v>
      </c>
      <c r="B106" s="3">
        <v>45990</v>
      </c>
      <c r="C106" s="5">
        <v>0.6216666666666667</v>
      </c>
      <c r="D106" s="1" t="s">
        <v>226</v>
      </c>
      <c r="E106" t="s">
        <v>3359</v>
      </c>
      <c r="F106" t="s">
        <v>3376</v>
      </c>
      <c r="H106" t="s">
        <v>2352</v>
      </c>
      <c r="I106" t="s">
        <v>2895</v>
      </c>
      <c r="J106" t="s">
        <v>2396</v>
      </c>
      <c r="K106" t="s">
        <v>2896</v>
      </c>
      <c r="L106" t="s">
        <v>2897</v>
      </c>
      <c r="M106" s="2" t="str">
        <f>HYPERLINK(Таблица3[[#This Row],[RelativePath]])</f>
        <v>7 Площадка 2 бетонщики\K07156189_18_20251129T145512Z.jpg</v>
      </c>
    </row>
    <row r="107" spans="1:13" x14ac:dyDescent="0.25">
      <c r="A107" t="s">
        <v>18</v>
      </c>
      <c r="B107" s="3">
        <v>45990</v>
      </c>
      <c r="C107" s="5">
        <v>0.6338773148148148</v>
      </c>
      <c r="D107" s="1" t="s">
        <v>226</v>
      </c>
      <c r="E107" t="s">
        <v>3359</v>
      </c>
      <c r="F107" t="s">
        <v>3376</v>
      </c>
      <c r="H107" t="s">
        <v>2352</v>
      </c>
      <c r="I107" t="s">
        <v>2907</v>
      </c>
      <c r="J107" t="s">
        <v>2396</v>
      </c>
      <c r="K107" t="s">
        <v>2908</v>
      </c>
      <c r="L107" t="s">
        <v>2909</v>
      </c>
      <c r="M107" s="2" t="str">
        <f>HYPERLINK(Таблица3[[#This Row],[RelativePath]])</f>
        <v>7 Площадка 2 бетонщики\K07156189_18_20251129T151247Z.jpg</v>
      </c>
    </row>
    <row r="108" spans="1:13" x14ac:dyDescent="0.25">
      <c r="A108" t="s">
        <v>18</v>
      </c>
      <c r="B108" s="3">
        <v>45990</v>
      </c>
      <c r="C108" s="5">
        <v>0.67155092592592591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2951</v>
      </c>
      <c r="J108" t="s">
        <v>2396</v>
      </c>
      <c r="K108" t="s">
        <v>2952</v>
      </c>
      <c r="L108" t="s">
        <v>2953</v>
      </c>
      <c r="M108" s="2" t="str">
        <f>HYPERLINK(Таблица3[[#This Row],[RelativePath]])</f>
        <v>7 Площадка 2 бетонщики\K07156189_18_20251129T160702Z.jpg</v>
      </c>
    </row>
    <row r="109" spans="1:13" x14ac:dyDescent="0.25">
      <c r="A109" t="s">
        <v>18</v>
      </c>
      <c r="B109" s="3">
        <v>45990</v>
      </c>
      <c r="C109" s="5">
        <v>0.65927083333333336</v>
      </c>
      <c r="D109" s="1" t="s">
        <v>226</v>
      </c>
      <c r="E109" t="s">
        <v>3360</v>
      </c>
      <c r="F109" t="s">
        <v>3376</v>
      </c>
      <c r="H109" t="s">
        <v>2352</v>
      </c>
      <c r="I109" t="s">
        <v>2936</v>
      </c>
      <c r="J109" t="s">
        <v>2396</v>
      </c>
      <c r="K109" t="s">
        <v>2937</v>
      </c>
      <c r="L109" t="s">
        <v>2938</v>
      </c>
      <c r="M109" s="2" t="str">
        <f>HYPERLINK(Таблица3[[#This Row],[RelativePath]])</f>
        <v>7 Площадка 2 бетонщики\K07156189_18_20251129T154921Z.jpg</v>
      </c>
    </row>
    <row r="110" spans="1:13" x14ac:dyDescent="0.25">
      <c r="A110" t="s">
        <v>18</v>
      </c>
      <c r="B110" s="3">
        <v>45990</v>
      </c>
      <c r="C110" s="5">
        <v>0.66106481481481483</v>
      </c>
      <c r="D110" s="1" t="s">
        <v>226</v>
      </c>
      <c r="E110" t="s">
        <v>3360</v>
      </c>
      <c r="F110" t="s">
        <v>3376</v>
      </c>
      <c r="H110" t="s">
        <v>2352</v>
      </c>
      <c r="I110" t="s">
        <v>2939</v>
      </c>
      <c r="J110" t="s">
        <v>2396</v>
      </c>
      <c r="K110" t="s">
        <v>2940</v>
      </c>
      <c r="L110" t="s">
        <v>2941</v>
      </c>
      <c r="M110" s="2" t="str">
        <f>HYPERLINK(Таблица3[[#This Row],[RelativePath]])</f>
        <v>7 Площадка 2 бетонщики\K07156189_18_20251129T155156Z.jpg</v>
      </c>
    </row>
    <row r="111" spans="1:13" x14ac:dyDescent="0.25">
      <c r="A111" t="s">
        <v>18</v>
      </c>
      <c r="B111" s="3">
        <v>45990</v>
      </c>
      <c r="C111" s="5">
        <v>0.69054398148148144</v>
      </c>
      <c r="D111" s="1" t="s">
        <v>226</v>
      </c>
      <c r="E111" t="s">
        <v>3376</v>
      </c>
      <c r="H111" t="s">
        <v>2352</v>
      </c>
      <c r="I111" t="s">
        <v>2736</v>
      </c>
      <c r="J111" t="s">
        <v>2395</v>
      </c>
      <c r="K111" t="s">
        <v>2737</v>
      </c>
      <c r="L111" t="s">
        <v>2738</v>
      </c>
      <c r="M111" s="2" t="str">
        <f>HYPERLINK(Таблица3[[#This Row],[RelativePath]])</f>
        <v>6 Площадка 1 общага\826398429_1_20251129T163423Z.jpg</v>
      </c>
    </row>
    <row r="112" spans="1:13" x14ac:dyDescent="0.25">
      <c r="A112" t="s">
        <v>18</v>
      </c>
      <c r="B112" s="3">
        <v>45990</v>
      </c>
      <c r="C112" s="5">
        <v>0.66733796296296299</v>
      </c>
      <c r="D112" s="1" t="s">
        <v>226</v>
      </c>
      <c r="E112" t="s">
        <v>3360</v>
      </c>
      <c r="F112" t="s">
        <v>3376</v>
      </c>
      <c r="H112" t="s">
        <v>2352</v>
      </c>
      <c r="I112" t="s">
        <v>2945</v>
      </c>
      <c r="J112" t="s">
        <v>2396</v>
      </c>
      <c r="K112" t="s">
        <v>2946</v>
      </c>
      <c r="L112" t="s">
        <v>2947</v>
      </c>
      <c r="M112" s="2" t="str">
        <f>HYPERLINK(Таблица3[[#This Row],[RelativePath]])</f>
        <v>7 Площадка 2 бетонщики\K07156189_18_20251129T160058Z.jpg</v>
      </c>
    </row>
    <row r="113" spans="1:13" x14ac:dyDescent="0.25">
      <c r="A113" t="s">
        <v>18</v>
      </c>
      <c r="B113" s="3">
        <v>45990</v>
      </c>
      <c r="C113" s="5">
        <v>0.66971064814814818</v>
      </c>
      <c r="D113" s="1" t="s">
        <v>226</v>
      </c>
      <c r="E113" t="s">
        <v>3360</v>
      </c>
      <c r="F113" t="s">
        <v>3376</v>
      </c>
      <c r="H113" t="s">
        <v>2352</v>
      </c>
      <c r="I113" t="s">
        <v>2948</v>
      </c>
      <c r="J113" t="s">
        <v>2396</v>
      </c>
      <c r="K113" t="s">
        <v>2949</v>
      </c>
      <c r="L113" t="s">
        <v>2950</v>
      </c>
      <c r="M113" s="2" t="str">
        <f>HYPERLINK(Таблица3[[#This Row],[RelativePath]])</f>
        <v>7 Площадка 2 бетонщики\K07156189_18_20251129T160423Z.jpg</v>
      </c>
    </row>
    <row r="114" spans="1:13" x14ac:dyDescent="0.25">
      <c r="A114" t="s">
        <v>18</v>
      </c>
      <c r="B114" s="3">
        <v>45990</v>
      </c>
      <c r="C114" s="5">
        <v>0.66378472222222218</v>
      </c>
      <c r="D114" s="1" t="s">
        <v>226</v>
      </c>
      <c r="E114" t="s">
        <v>3360</v>
      </c>
      <c r="F114" t="s">
        <v>3376</v>
      </c>
      <c r="H114" t="s">
        <v>2352</v>
      </c>
      <c r="I114" t="s">
        <v>2942</v>
      </c>
      <c r="J114" t="s">
        <v>2396</v>
      </c>
      <c r="K114" t="s">
        <v>2943</v>
      </c>
      <c r="L114" t="s">
        <v>2944</v>
      </c>
      <c r="M114" s="2" t="str">
        <f>HYPERLINK(Таблица3[[#This Row],[RelativePath]])</f>
        <v>7 Площадка 2 бетонщики\K07156189_18_20251129T155551Z.jpg</v>
      </c>
    </row>
    <row r="115" spans="1:13" x14ac:dyDescent="0.25">
      <c r="A115" t="s">
        <v>18</v>
      </c>
      <c r="B115" s="3">
        <v>45990</v>
      </c>
      <c r="C115" s="5">
        <v>0.68376157407407412</v>
      </c>
      <c r="D115" s="1" t="s">
        <v>226</v>
      </c>
      <c r="E115" t="s">
        <v>3360</v>
      </c>
      <c r="F115" t="s">
        <v>3376</v>
      </c>
      <c r="H115" t="s">
        <v>2352</v>
      </c>
      <c r="I115" t="s">
        <v>2972</v>
      </c>
      <c r="J115" t="s">
        <v>2396</v>
      </c>
      <c r="K115" t="s">
        <v>2973</v>
      </c>
      <c r="L115" t="s">
        <v>2974</v>
      </c>
      <c r="M115" s="2" t="str">
        <f>HYPERLINK(Таблица3[[#This Row],[RelativePath]])</f>
        <v>7 Площадка 2 бетонщики\K07156189_18_20251129T162437Z.jpg</v>
      </c>
    </row>
    <row r="116" spans="1:13" x14ac:dyDescent="0.25">
      <c r="A116" t="s">
        <v>18</v>
      </c>
      <c r="B116" s="3">
        <v>45990</v>
      </c>
      <c r="C116" s="5">
        <v>0.67570601851851853</v>
      </c>
      <c r="D116" s="1" t="s">
        <v>226</v>
      </c>
      <c r="E116" t="s">
        <v>3360</v>
      </c>
      <c r="F116" t="s">
        <v>3376</v>
      </c>
      <c r="H116" t="s">
        <v>2352</v>
      </c>
      <c r="I116" t="s">
        <v>2957</v>
      </c>
      <c r="J116" t="s">
        <v>2396</v>
      </c>
      <c r="K116" t="s">
        <v>2958</v>
      </c>
      <c r="L116" t="s">
        <v>2959</v>
      </c>
      <c r="M116" s="2" t="str">
        <f>HYPERLINK(Таблица3[[#This Row],[RelativePath]])</f>
        <v>7 Площадка 2 бетонщики\K07156189_18_20251129T161301Z.jpg</v>
      </c>
    </row>
    <row r="117" spans="1:13" x14ac:dyDescent="0.25">
      <c r="A117" t="s">
        <v>18</v>
      </c>
      <c r="B117" s="3">
        <v>45990</v>
      </c>
      <c r="C117" s="5">
        <v>0.67623842592592598</v>
      </c>
      <c r="D117" s="1" t="s">
        <v>226</v>
      </c>
      <c r="E117" t="s">
        <v>3360</v>
      </c>
      <c r="F117" t="s">
        <v>3376</v>
      </c>
      <c r="H117" t="s">
        <v>2352</v>
      </c>
      <c r="I117" t="s">
        <v>2960</v>
      </c>
      <c r="J117" t="s">
        <v>2396</v>
      </c>
      <c r="K117" t="s">
        <v>2961</v>
      </c>
      <c r="L117" t="s">
        <v>2962</v>
      </c>
      <c r="M117" s="2" t="str">
        <f>HYPERLINK(Таблица3[[#This Row],[RelativePath]])</f>
        <v>7 Площадка 2 бетонщики\K07156189_18_20251129T161347Z.jpg</v>
      </c>
    </row>
    <row r="118" spans="1:13" x14ac:dyDescent="0.25">
      <c r="A118" t="s">
        <v>18</v>
      </c>
      <c r="B118" s="3">
        <v>45990</v>
      </c>
      <c r="C118" s="5">
        <v>0.67405092592592597</v>
      </c>
      <c r="D118" s="1" t="s">
        <v>226</v>
      </c>
      <c r="E118" t="s">
        <v>3360</v>
      </c>
      <c r="F118" t="s">
        <v>3376</v>
      </c>
      <c r="H118" t="s">
        <v>2352</v>
      </c>
      <c r="I118" t="s">
        <v>2954</v>
      </c>
      <c r="J118" t="s">
        <v>2396</v>
      </c>
      <c r="K118" t="s">
        <v>2955</v>
      </c>
      <c r="L118" t="s">
        <v>2956</v>
      </c>
      <c r="M118" s="2" t="str">
        <f>HYPERLINK(Таблица3[[#This Row],[RelativePath]])</f>
        <v>7 Площадка 2 бетонщики\K07156189_18_20251129T161038Z.jpg</v>
      </c>
    </row>
    <row r="119" spans="1:13" x14ac:dyDescent="0.25">
      <c r="A119" t="s">
        <v>18</v>
      </c>
      <c r="B119" s="3">
        <v>45990</v>
      </c>
      <c r="C119" s="5">
        <v>0.68038194444444444</v>
      </c>
      <c r="D119" s="1" t="s">
        <v>226</v>
      </c>
      <c r="E119" t="s">
        <v>3360</v>
      </c>
      <c r="F119" t="s">
        <v>3376</v>
      </c>
      <c r="H119" t="s">
        <v>2352</v>
      </c>
      <c r="I119" t="s">
        <v>2966</v>
      </c>
      <c r="J119" t="s">
        <v>2396</v>
      </c>
      <c r="K119" t="s">
        <v>2967</v>
      </c>
      <c r="L119" t="s">
        <v>2968</v>
      </c>
      <c r="M119" s="2" t="str">
        <f>HYPERLINK(Таблица3[[#This Row],[RelativePath]])</f>
        <v>7 Площадка 2 бетонщики\K07156189_18_20251129T161945Z.jpg</v>
      </c>
    </row>
    <row r="120" spans="1:13" x14ac:dyDescent="0.25">
      <c r="A120" t="s">
        <v>18</v>
      </c>
      <c r="B120" s="3">
        <v>45990</v>
      </c>
      <c r="C120" s="5">
        <v>0.68329861111111112</v>
      </c>
      <c r="D120" s="1" t="s">
        <v>226</v>
      </c>
      <c r="E120" t="s">
        <v>3360</v>
      </c>
      <c r="F120" t="s">
        <v>3376</v>
      </c>
      <c r="H120" t="s">
        <v>2352</v>
      </c>
      <c r="I120" t="s">
        <v>2969</v>
      </c>
      <c r="J120" t="s">
        <v>2396</v>
      </c>
      <c r="K120" t="s">
        <v>2970</v>
      </c>
      <c r="L120" t="s">
        <v>2971</v>
      </c>
      <c r="M120" s="2" t="str">
        <f>HYPERLINK(Таблица3[[#This Row],[RelativePath]])</f>
        <v>7 Площадка 2 бетонщики\K07156189_18_20251129T162357Z.jpg</v>
      </c>
    </row>
    <row r="121" spans="1:13" x14ac:dyDescent="0.25">
      <c r="A121" t="s">
        <v>18</v>
      </c>
      <c r="B121" s="3">
        <v>45990</v>
      </c>
      <c r="C121" s="5">
        <v>0.68625000000000003</v>
      </c>
      <c r="D121" s="1" t="s">
        <v>226</v>
      </c>
      <c r="E121" t="s">
        <v>3360</v>
      </c>
      <c r="F121" t="s">
        <v>3376</v>
      </c>
      <c r="H121" t="s">
        <v>2352</v>
      </c>
      <c r="I121" t="s">
        <v>2975</v>
      </c>
      <c r="J121" t="s">
        <v>2396</v>
      </c>
      <c r="K121" t="s">
        <v>2976</v>
      </c>
      <c r="L121" t="s">
        <v>2977</v>
      </c>
      <c r="M121" s="2" t="str">
        <f>HYPERLINK(Таблица3[[#This Row],[RelativePath]])</f>
        <v>7 Площадка 2 бетонщики\K07156189_18_20251129T162812Z.jpg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0.6917592592592593</v>
      </c>
      <c r="D123" s="1" t="s">
        <v>226</v>
      </c>
      <c r="E123" t="s">
        <v>3360</v>
      </c>
      <c r="F123" t="s">
        <v>3376</v>
      </c>
      <c r="H123" t="s">
        <v>2352</v>
      </c>
      <c r="I123" t="s">
        <v>2981</v>
      </c>
      <c r="J123" t="s">
        <v>2396</v>
      </c>
      <c r="K123" t="s">
        <v>2982</v>
      </c>
      <c r="L123" t="s">
        <v>2983</v>
      </c>
      <c r="M123" s="2" t="str">
        <f>HYPERLINK(Таблица3[[#This Row],[RelativePath]])</f>
        <v>7 Площадка 2 бетонщики\K07156189_18_20251129T163608Z.jpg</v>
      </c>
    </row>
    <row r="124" spans="1:13" x14ac:dyDescent="0.25">
      <c r="A124" t="s">
        <v>18</v>
      </c>
      <c r="B124" s="3">
        <v>45990</v>
      </c>
      <c r="C124" s="5">
        <v>0.58450231481481485</v>
      </c>
      <c r="D124" s="1" t="s">
        <v>226</v>
      </c>
      <c r="E124" t="s">
        <v>3382</v>
      </c>
      <c r="F124" t="s">
        <v>3376</v>
      </c>
      <c r="H124" t="s">
        <v>2352</v>
      </c>
      <c r="I124" t="s">
        <v>2880</v>
      </c>
      <c r="J124" t="s">
        <v>2396</v>
      </c>
      <c r="K124" t="s">
        <v>2881</v>
      </c>
      <c r="L124" t="s">
        <v>2882</v>
      </c>
      <c r="M124" s="2" t="str">
        <f>HYPERLINK(Таблица3[[#This Row],[RelativePath]])</f>
        <v>7 Площадка 2 бетонщики\K07156189_18_20251129T140141Z.jpg</v>
      </c>
    </row>
    <row r="125" spans="1:13" x14ac:dyDescent="0.25">
      <c r="A125" t="s">
        <v>18</v>
      </c>
      <c r="B125" s="3">
        <v>45990</v>
      </c>
      <c r="C125" s="5">
        <v>0.65773148148148153</v>
      </c>
      <c r="D125" s="1" t="s">
        <v>226</v>
      </c>
      <c r="E125" t="s">
        <v>3376</v>
      </c>
      <c r="H125" t="s">
        <v>2352</v>
      </c>
      <c r="I125" t="s">
        <v>2724</v>
      </c>
      <c r="J125" t="s">
        <v>2395</v>
      </c>
      <c r="K125" t="s">
        <v>2725</v>
      </c>
      <c r="L125" t="s">
        <v>2726</v>
      </c>
      <c r="M125" s="2" t="str">
        <f>HYPERLINK(Таблица3[[#This Row],[RelativePath]])</f>
        <v>6 Площадка 1 общага\826398429_1_20251129T154708Z.jpg</v>
      </c>
    </row>
    <row r="126" spans="1:13" x14ac:dyDescent="0.25">
      <c r="A126" t="s">
        <v>18</v>
      </c>
      <c r="B126" s="3">
        <v>45990</v>
      </c>
      <c r="C126" s="5">
        <v>0.69224537037037037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2984</v>
      </c>
      <c r="J126" t="s">
        <v>2396</v>
      </c>
      <c r="K126" t="s">
        <v>2985</v>
      </c>
      <c r="L126" t="s">
        <v>2986</v>
      </c>
      <c r="M126" s="2" t="str">
        <f>HYPERLINK(Таблица3[[#This Row],[RelativePath]])</f>
        <v>7 Площадка 2 бетонщики\K07156189_18_20251129T163650Z.jpg</v>
      </c>
    </row>
    <row r="127" spans="1:13" x14ac:dyDescent="0.25">
      <c r="A127" t="s">
        <v>18</v>
      </c>
      <c r="B127" s="3">
        <v>45990</v>
      </c>
      <c r="C127" s="5">
        <v>0.61375000000000002</v>
      </c>
      <c r="D127" s="1" t="s">
        <v>226</v>
      </c>
      <c r="E127" t="s">
        <v>3359</v>
      </c>
      <c r="F127" t="s">
        <v>3376</v>
      </c>
      <c r="I127" t="s">
        <v>2886</v>
      </c>
      <c r="J127" t="s">
        <v>2396</v>
      </c>
      <c r="K127" t="s">
        <v>2887</v>
      </c>
      <c r="L127" t="s">
        <v>2888</v>
      </c>
      <c r="M127" s="2" t="str">
        <f>HYPERLINK(Таблица3[[#This Row],[RelativePath]])</f>
        <v>7 Площадка 2 бетонщики\K07156189_18_20251129T144348Z.jpg</v>
      </c>
    </row>
    <row r="128" spans="1:13" x14ac:dyDescent="0.25">
      <c r="A128" t="s">
        <v>18</v>
      </c>
      <c r="B128" s="3">
        <v>45990</v>
      </c>
      <c r="C128" s="5">
        <v>0.57677083333333334</v>
      </c>
      <c r="D128" s="1" t="s">
        <v>226</v>
      </c>
      <c r="E128" t="s">
        <v>3382</v>
      </c>
      <c r="F128" t="s">
        <v>3376</v>
      </c>
      <c r="H128" t="s">
        <v>2352</v>
      </c>
      <c r="I128" t="s">
        <v>2868</v>
      </c>
      <c r="J128" t="s">
        <v>2396</v>
      </c>
      <c r="K128" t="s">
        <v>2869</v>
      </c>
      <c r="L128" t="s">
        <v>2870</v>
      </c>
      <c r="M128" s="2" t="str">
        <f>HYPERLINK(Таблица3[[#This Row],[RelativePath]])</f>
        <v>7 Площадка 2 бетонщики\K07156189_18_20251129T135033Z.jpg</v>
      </c>
    </row>
    <row r="129" spans="1:13" x14ac:dyDescent="0.25">
      <c r="A129" t="s">
        <v>18</v>
      </c>
      <c r="B129" s="3">
        <v>45990</v>
      </c>
      <c r="C129" s="5">
        <v>0.58212962962962966</v>
      </c>
      <c r="D129" s="1" t="s">
        <v>226</v>
      </c>
      <c r="E129" t="s">
        <v>3382</v>
      </c>
      <c r="F129" t="s">
        <v>3376</v>
      </c>
      <c r="H129" t="s">
        <v>2352</v>
      </c>
      <c r="I129" t="s">
        <v>2874</v>
      </c>
      <c r="J129" t="s">
        <v>2396</v>
      </c>
      <c r="K129" t="s">
        <v>2875</v>
      </c>
      <c r="L129" t="s">
        <v>2876</v>
      </c>
      <c r="M129" s="2" t="str">
        <f>HYPERLINK(Таблица3[[#This Row],[RelativePath]])</f>
        <v>7 Площадка 2 бетонщики\K07156189_18_20251129T135816Z.jpg</v>
      </c>
    </row>
    <row r="130" spans="1:13" x14ac:dyDescent="0.25">
      <c r="A130" t="s">
        <v>18</v>
      </c>
      <c r="B130" s="3">
        <v>45990</v>
      </c>
      <c r="C130" s="5">
        <v>0.57995370370370369</v>
      </c>
      <c r="D130" s="1" t="s">
        <v>226</v>
      </c>
      <c r="E130" t="s">
        <v>3382</v>
      </c>
      <c r="F130" t="s">
        <v>3376</v>
      </c>
      <c r="H130" t="s">
        <v>2352</v>
      </c>
      <c r="I130" t="s">
        <v>2871</v>
      </c>
      <c r="J130" t="s">
        <v>2396</v>
      </c>
      <c r="K130" t="s">
        <v>2872</v>
      </c>
      <c r="L130" t="s">
        <v>2873</v>
      </c>
      <c r="M130" s="2" t="str">
        <f>HYPERLINK(Таблица3[[#This Row],[RelativePath]])</f>
        <v>7 Площадка 2 бетонщики\K07156189_18_20251129T135508Z.jpg</v>
      </c>
    </row>
    <row r="131" spans="1:13" x14ac:dyDescent="0.25">
      <c r="A131" t="s">
        <v>18</v>
      </c>
      <c r="B131" s="3">
        <v>45990</v>
      </c>
      <c r="C131" s="5">
        <v>0.57168981481481485</v>
      </c>
      <c r="D131" s="1" t="s">
        <v>226</v>
      </c>
      <c r="E131" t="s">
        <v>3382</v>
      </c>
      <c r="F131" t="s">
        <v>3376</v>
      </c>
      <c r="H131" t="s">
        <v>2352</v>
      </c>
      <c r="I131" t="s">
        <v>2859</v>
      </c>
      <c r="J131" t="s">
        <v>2396</v>
      </c>
      <c r="K131" t="s">
        <v>2860</v>
      </c>
      <c r="L131" t="s">
        <v>2861</v>
      </c>
      <c r="M131" s="2" t="str">
        <f>HYPERLINK(Таблица3[[#This Row],[RelativePath]])</f>
        <v>7 Площадка 2 бетонщики\K07156189_18_20251129T134314Z.jpg</v>
      </c>
    </row>
    <row r="132" spans="1:13" x14ac:dyDescent="0.25">
      <c r="A132" t="s">
        <v>18</v>
      </c>
      <c r="B132" s="3">
        <v>45990</v>
      </c>
      <c r="C132" s="5">
        <v>0.58278935185185188</v>
      </c>
      <c r="D132" s="1" t="s">
        <v>226</v>
      </c>
      <c r="E132" t="s">
        <v>3382</v>
      </c>
      <c r="F132" t="s">
        <v>3376</v>
      </c>
      <c r="H132" t="s">
        <v>2352</v>
      </c>
      <c r="I132" t="s">
        <v>2877</v>
      </c>
      <c r="J132" t="s">
        <v>2396</v>
      </c>
      <c r="K132" t="s">
        <v>2878</v>
      </c>
      <c r="L132" t="s">
        <v>2879</v>
      </c>
      <c r="M132" s="2" t="str">
        <f>HYPERLINK(Таблица3[[#This Row],[RelativePath]])</f>
        <v>7 Площадка 2 бетонщики\K07156189_18_20251129T135913Z.jpg</v>
      </c>
    </row>
    <row r="133" spans="1:13" x14ac:dyDescent="0.25">
      <c r="A133" t="s">
        <v>18</v>
      </c>
      <c r="B133" s="3">
        <v>45990</v>
      </c>
      <c r="C133" s="5">
        <v>0.57449074074074069</v>
      </c>
      <c r="D133" s="1" t="s">
        <v>226</v>
      </c>
      <c r="E133" t="s">
        <v>3382</v>
      </c>
      <c r="F133" t="s">
        <v>3376</v>
      </c>
      <c r="H133" t="s">
        <v>2352</v>
      </c>
      <c r="I133" t="s">
        <v>2865</v>
      </c>
      <c r="J133" t="s">
        <v>2396</v>
      </c>
      <c r="K133" t="s">
        <v>2866</v>
      </c>
      <c r="L133" t="s">
        <v>2867</v>
      </c>
      <c r="M133" s="2" t="str">
        <f>HYPERLINK(Таблица3[[#This Row],[RelativePath]])</f>
        <v>7 Площадка 2 бетонщики\K07156189_18_20251129T134716Z.jpg</v>
      </c>
    </row>
    <row r="134" spans="1:13" x14ac:dyDescent="0.25">
      <c r="A134" t="s">
        <v>18</v>
      </c>
      <c r="B134" s="3">
        <v>45990</v>
      </c>
      <c r="C134" s="5">
        <v>0.57275462962962964</v>
      </c>
      <c r="D134" s="1" t="s">
        <v>226</v>
      </c>
      <c r="E134" t="s">
        <v>3382</v>
      </c>
      <c r="F134" t="s">
        <v>3376</v>
      </c>
      <c r="H134" t="s">
        <v>2352</v>
      </c>
      <c r="I134" t="s">
        <v>2862</v>
      </c>
      <c r="J134" t="s">
        <v>2396</v>
      </c>
      <c r="K134" t="s">
        <v>2863</v>
      </c>
      <c r="L134" t="s">
        <v>2864</v>
      </c>
      <c r="M134" s="2" t="str">
        <f>HYPERLINK(Таблица3[[#This Row],[RelativePath]])</f>
        <v>7 Площадка 2 бетонщики\K07156189_18_20251129T134446Z.jpg</v>
      </c>
    </row>
    <row r="135" spans="1:13" x14ac:dyDescent="0.25">
      <c r="A135" t="s">
        <v>18</v>
      </c>
      <c r="B135" s="3">
        <v>45990</v>
      </c>
      <c r="C135" s="5">
        <v>0.55314814814814817</v>
      </c>
      <c r="D135" s="1" t="s">
        <v>226</v>
      </c>
      <c r="E135" t="s">
        <v>3382</v>
      </c>
      <c r="F135" t="s">
        <v>3376</v>
      </c>
      <c r="H135" t="s">
        <v>2352</v>
      </c>
      <c r="I135" t="s">
        <v>2844</v>
      </c>
      <c r="J135" t="s">
        <v>2396</v>
      </c>
      <c r="K135" t="s">
        <v>2845</v>
      </c>
      <c r="L135" t="s">
        <v>2846</v>
      </c>
      <c r="M135" s="2" t="str">
        <f>HYPERLINK(Таблица3[[#This Row],[RelativePath]])</f>
        <v>7 Площадка 2 бетонщики\K07156189_18_20251129T131632Z.jpg</v>
      </c>
    </row>
    <row r="136" spans="1:13" x14ac:dyDescent="0.25">
      <c r="A136" t="s">
        <v>18</v>
      </c>
      <c r="B136" s="3">
        <v>45990</v>
      </c>
      <c r="C136" s="5">
        <v>0.55248842592592595</v>
      </c>
      <c r="D136" s="1" t="s">
        <v>226</v>
      </c>
      <c r="E136" t="s">
        <v>3382</v>
      </c>
      <c r="F136" t="s">
        <v>3376</v>
      </c>
      <c r="I136" t="s">
        <v>2841</v>
      </c>
      <c r="J136" t="s">
        <v>2396</v>
      </c>
      <c r="K136" t="s">
        <v>2842</v>
      </c>
      <c r="L136" t="s">
        <v>2843</v>
      </c>
      <c r="M136" s="2" t="str">
        <f>HYPERLINK(Таблица3[[#This Row],[RelativePath]])</f>
        <v>7 Площадка 2 бетонщики\K07156189_18_20251129T131535Z.jpg</v>
      </c>
    </row>
    <row r="137" spans="1:13" x14ac:dyDescent="0.25">
      <c r="A137" t="s">
        <v>18</v>
      </c>
      <c r="B137" s="3">
        <v>45990</v>
      </c>
      <c r="C137" s="5">
        <v>0.56846064814814812</v>
      </c>
      <c r="D137" s="1" t="s">
        <v>226</v>
      </c>
      <c r="E137" t="s">
        <v>3382</v>
      </c>
      <c r="F137" t="s">
        <v>3376</v>
      </c>
      <c r="H137" t="s">
        <v>2352</v>
      </c>
      <c r="I137" t="s">
        <v>2856</v>
      </c>
      <c r="J137" t="s">
        <v>2396</v>
      </c>
      <c r="K137" t="s">
        <v>2857</v>
      </c>
      <c r="L137" t="s">
        <v>2858</v>
      </c>
      <c r="M137" s="2" t="str">
        <f>HYPERLINK(Таблица3[[#This Row],[RelativePath]])</f>
        <v>7 Площадка 2 бетонщики\K07156189_18_20251129T133835Z.jpg</v>
      </c>
    </row>
    <row r="138" spans="1:13" x14ac:dyDescent="0.25">
      <c r="A138" t="s">
        <v>18</v>
      </c>
      <c r="B138" s="3">
        <v>45990</v>
      </c>
      <c r="C138" s="5">
        <v>0.55888888888888888</v>
      </c>
      <c r="D138" s="1" t="s">
        <v>226</v>
      </c>
      <c r="E138" t="s">
        <v>3382</v>
      </c>
      <c r="F138" t="s">
        <v>3376</v>
      </c>
      <c r="H138" t="s">
        <v>2352</v>
      </c>
      <c r="I138" t="s">
        <v>2847</v>
      </c>
      <c r="J138" t="s">
        <v>2396</v>
      </c>
      <c r="K138" t="s">
        <v>2848</v>
      </c>
      <c r="L138" t="s">
        <v>2849</v>
      </c>
      <c r="M138" s="2" t="str">
        <f>HYPERLINK(Таблица3[[#This Row],[RelativePath]])</f>
        <v>7 Площадка 2 бетонщики\K07156189_18_20251129T132448Z.jpg</v>
      </c>
    </row>
    <row r="139" spans="1:13" x14ac:dyDescent="0.25">
      <c r="A139" t="s">
        <v>18</v>
      </c>
      <c r="B139" s="3">
        <v>45990</v>
      </c>
      <c r="C139" s="5">
        <v>0.63736111111111116</v>
      </c>
      <c r="D139" s="1" t="s">
        <v>226</v>
      </c>
      <c r="E139" t="s">
        <v>3359</v>
      </c>
      <c r="F139" t="s">
        <v>3376</v>
      </c>
      <c r="H139" t="s">
        <v>2352</v>
      </c>
      <c r="I139" t="s">
        <v>2910</v>
      </c>
      <c r="J139" t="s">
        <v>2396</v>
      </c>
      <c r="K139" t="s">
        <v>2911</v>
      </c>
      <c r="L139" t="s">
        <v>2912</v>
      </c>
      <c r="M139" s="2" t="str">
        <f>HYPERLINK(Таблица3[[#This Row],[RelativePath]])</f>
        <v>7 Площадка 2 бетонщики\K07156189_18_20251129T151748Z.jpg</v>
      </c>
    </row>
    <row r="140" spans="1:13" x14ac:dyDescent="0.25">
      <c r="A140" t="s">
        <v>18</v>
      </c>
      <c r="B140" s="3">
        <v>45990</v>
      </c>
      <c r="C140" s="5">
        <v>0.63914351851851847</v>
      </c>
      <c r="D140" s="1" t="s">
        <v>226</v>
      </c>
      <c r="E140" t="s">
        <v>3359</v>
      </c>
      <c r="F140" t="s">
        <v>3376</v>
      </c>
      <c r="H140" t="s">
        <v>2352</v>
      </c>
      <c r="I140" t="s">
        <v>2913</v>
      </c>
      <c r="J140" t="s">
        <v>2396</v>
      </c>
      <c r="K140" t="s">
        <v>2914</v>
      </c>
      <c r="L140" t="s">
        <v>2915</v>
      </c>
      <c r="M140" s="2" t="str">
        <f>HYPERLINK(Таблица3[[#This Row],[RelativePath]])</f>
        <v>7 Площадка 2 бетонщики\K07156189_18_20251129T152022Z.jpg</v>
      </c>
    </row>
    <row r="141" spans="1:13" x14ac:dyDescent="0.25">
      <c r="A141" t="s">
        <v>18</v>
      </c>
      <c r="B141" s="3">
        <v>45990</v>
      </c>
      <c r="C141" s="5">
        <v>0.64195601851851847</v>
      </c>
      <c r="D141" s="1" t="s">
        <v>226</v>
      </c>
      <c r="E141" t="s">
        <v>3359</v>
      </c>
      <c r="F141" t="s">
        <v>3376</v>
      </c>
      <c r="H141" t="s">
        <v>2352</v>
      </c>
      <c r="I141" t="s">
        <v>2916</v>
      </c>
      <c r="J141" t="s">
        <v>2396</v>
      </c>
      <c r="K141" t="s">
        <v>2917</v>
      </c>
      <c r="L141" t="s">
        <v>2918</v>
      </c>
      <c r="M141" s="2" t="str">
        <f>HYPERLINK(Таблица3[[#This Row],[RelativePath]])</f>
        <v>7 Площадка 2 бетонщики\K07156189_18_20251129T152425Z.jpg</v>
      </c>
    </row>
    <row r="142" spans="1:13" x14ac:dyDescent="0.25">
      <c r="A142" t="s">
        <v>18</v>
      </c>
      <c r="B142" s="3">
        <v>45990</v>
      </c>
      <c r="C142" s="5">
        <v>0.67369212962962965</v>
      </c>
      <c r="D142" s="1" t="s">
        <v>226</v>
      </c>
      <c r="E142" t="s">
        <v>3376</v>
      </c>
      <c r="H142" t="s">
        <v>2352</v>
      </c>
      <c r="I142" t="s">
        <v>2730</v>
      </c>
      <c r="J142" t="s">
        <v>2395</v>
      </c>
      <c r="K142" t="s">
        <v>2731</v>
      </c>
      <c r="L142" t="s">
        <v>2732</v>
      </c>
      <c r="M142" s="2" t="str">
        <f>HYPERLINK(Таблица3[[#This Row],[RelativePath]])</f>
        <v>6 Площадка 1 общага\826398429_1_20251129T161007Z.jpg</v>
      </c>
    </row>
    <row r="143" spans="1:13" x14ac:dyDescent="0.25">
      <c r="A143" t="s">
        <v>18</v>
      </c>
      <c r="B143" s="3">
        <v>45990</v>
      </c>
      <c r="C143" s="5">
        <v>0.68300925925925926</v>
      </c>
      <c r="D143" s="1" t="s">
        <v>226</v>
      </c>
      <c r="E143" t="s">
        <v>3376</v>
      </c>
      <c r="H143" t="s">
        <v>2352</v>
      </c>
      <c r="I143" t="s">
        <v>2733</v>
      </c>
      <c r="J143" t="s">
        <v>2395</v>
      </c>
      <c r="K143" t="s">
        <v>2734</v>
      </c>
      <c r="L143" t="s">
        <v>2735</v>
      </c>
      <c r="M143" s="2" t="str">
        <f>HYPERLINK(Таблица3[[#This Row],[RelativePath]])</f>
        <v>6 Площадка 1 общага\826398429_1_20251129T162332Z.jpg</v>
      </c>
    </row>
    <row r="144" spans="1:13" x14ac:dyDescent="0.25">
      <c r="A144" t="s">
        <v>18</v>
      </c>
      <c r="B144" s="3">
        <v>45990</v>
      </c>
      <c r="C144" s="5">
        <v>0.67062500000000003</v>
      </c>
      <c r="D144" s="1" t="s">
        <v>226</v>
      </c>
      <c r="E144" t="s">
        <v>3376</v>
      </c>
      <c r="H144" t="s">
        <v>2352</v>
      </c>
      <c r="I144" t="s">
        <v>2727</v>
      </c>
      <c r="J144" t="s">
        <v>2395</v>
      </c>
      <c r="K144" t="s">
        <v>2728</v>
      </c>
      <c r="L144" t="s">
        <v>2729</v>
      </c>
      <c r="M144" s="2" t="str">
        <f>HYPERLINK(Таблица3[[#This Row],[RelativePath]])</f>
        <v>6 Площадка 1 общага\826398429_1_20251129T160542Z.jpg</v>
      </c>
    </row>
    <row r="145" spans="1:13" x14ac:dyDescent="0.25">
      <c r="A145" t="s">
        <v>18</v>
      </c>
      <c r="B145" s="3">
        <v>45990</v>
      </c>
      <c r="C145" s="5">
        <v>0.64961805555555552</v>
      </c>
      <c r="D145" s="1" t="s">
        <v>226</v>
      </c>
      <c r="E145" t="s">
        <v>2343</v>
      </c>
      <c r="F145" t="s">
        <v>53</v>
      </c>
      <c r="G145">
        <v>4</v>
      </c>
      <c r="I145" t="s">
        <v>2650</v>
      </c>
      <c r="J145" t="s">
        <v>2402</v>
      </c>
      <c r="K145" t="s">
        <v>2651</v>
      </c>
      <c r="L145" t="s">
        <v>2652</v>
      </c>
      <c r="M145" s="2" t="str">
        <f>HYPERLINK(Таблица3[[#This Row],[RelativePath]])</f>
        <v>3 Въезд на базу\E33149364_8_20251129T153527Z.jpg</v>
      </c>
    </row>
    <row r="146" spans="1:13" x14ac:dyDescent="0.25">
      <c r="A146" t="s">
        <v>18</v>
      </c>
      <c r="B146" s="3">
        <v>45990</v>
      </c>
      <c r="C146" s="5">
        <v>0.56593749999999998</v>
      </c>
      <c r="D146" s="1" t="s">
        <v>226</v>
      </c>
      <c r="E146" t="s">
        <v>3382</v>
      </c>
      <c r="F146" t="s">
        <v>3376</v>
      </c>
      <c r="H146" t="s">
        <v>2352</v>
      </c>
      <c r="I146" t="s">
        <v>2853</v>
      </c>
      <c r="J146" t="s">
        <v>2396</v>
      </c>
      <c r="K146" t="s">
        <v>2854</v>
      </c>
      <c r="L146" t="s">
        <v>2855</v>
      </c>
      <c r="M146" s="2" t="str">
        <f>HYPERLINK(Таблица3[[#This Row],[RelativePath]])</f>
        <v>7 Площадка 2 бетонщики\K07156189_18_20251129T133457Z.jpg</v>
      </c>
    </row>
    <row r="147" spans="1:13" x14ac:dyDescent="0.25">
      <c r="A147" t="s">
        <v>18</v>
      </c>
      <c r="B147" s="3">
        <v>45990</v>
      </c>
      <c r="C147" s="5">
        <v>0.5607523148148148</v>
      </c>
      <c r="D147" s="1" t="s">
        <v>226</v>
      </c>
      <c r="E147" t="s">
        <v>3382</v>
      </c>
      <c r="F147" t="s">
        <v>3376</v>
      </c>
      <c r="H147" t="s">
        <v>2352</v>
      </c>
      <c r="I147" t="s">
        <v>2850</v>
      </c>
      <c r="J147" t="s">
        <v>2396</v>
      </c>
      <c r="K147" t="s">
        <v>2851</v>
      </c>
      <c r="L147" t="s">
        <v>2852</v>
      </c>
      <c r="M147" s="2" t="str">
        <f>HYPERLINK(Таблица3[[#This Row],[RelativePath]])</f>
        <v>7 Площадка 2 бетонщики\K07156189_18_20251129T132729Z.jpg</v>
      </c>
    </row>
    <row r="148" spans="1:13" x14ac:dyDescent="0.25">
      <c r="A148" t="s">
        <v>18</v>
      </c>
      <c r="B148" s="3">
        <v>45990</v>
      </c>
      <c r="C148" s="5">
        <v>0.41766203703703703</v>
      </c>
      <c r="D148" s="1" t="s">
        <v>226</v>
      </c>
      <c r="E148" t="s">
        <v>3376</v>
      </c>
      <c r="I148" t="s">
        <v>2721</v>
      </c>
      <c r="J148" t="s">
        <v>2395</v>
      </c>
      <c r="K148" t="s">
        <v>2722</v>
      </c>
      <c r="L148" t="s">
        <v>2723</v>
      </c>
      <c r="M148" s="2" t="str">
        <f>HYPERLINK(Таблица3[[#This Row],[RelativePath]])</f>
        <v>6 Площадка 1 общага\826398429_1_20251129T100126Z.jpg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0.5186574074074074</v>
      </c>
      <c r="D150" s="1" t="s">
        <v>226</v>
      </c>
      <c r="E150" t="s">
        <v>2343</v>
      </c>
      <c r="F150" t="s">
        <v>53</v>
      </c>
      <c r="G150">
        <v>3</v>
      </c>
      <c r="I150" t="s">
        <v>4080</v>
      </c>
      <c r="J150" t="s">
        <v>2402</v>
      </c>
      <c r="K150" t="s">
        <v>4081</v>
      </c>
      <c r="L150" t="s">
        <v>4082</v>
      </c>
      <c r="M150" s="2" t="str">
        <f>HYPERLINK(Таблица3[[#This Row],[RelativePath]])</f>
        <v>3 Въезд на базу\E33149364_8_20251204T122652Z.jpg</v>
      </c>
    </row>
    <row r="151" spans="1:13" x14ac:dyDescent="0.25">
      <c r="A151" t="s">
        <v>16</v>
      </c>
      <c r="B151" s="3">
        <v>45995</v>
      </c>
      <c r="C151" s="5">
        <v>0.38034722222222223</v>
      </c>
      <c r="D151" s="1" t="s">
        <v>226</v>
      </c>
      <c r="E151" t="s">
        <v>70</v>
      </c>
      <c r="F151" t="s">
        <v>4087</v>
      </c>
      <c r="H151" t="s">
        <v>4089</v>
      </c>
      <c r="I151" t="s">
        <v>3575</v>
      </c>
      <c r="J151" t="s">
        <v>2403</v>
      </c>
      <c r="K151" t="s">
        <v>3576</v>
      </c>
      <c r="L151" t="s">
        <v>3577</v>
      </c>
      <c r="M151" s="2" t="str">
        <f>HYPERLINK(Таблица3[[#This Row],[RelativePath]])</f>
        <v>4 Крыльцо офиса\K07156189_21_20251204T090742Z.jpg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0.38062499999999999</v>
      </c>
      <c r="D153" s="1" t="s">
        <v>226</v>
      </c>
      <c r="E153" t="s">
        <v>70</v>
      </c>
      <c r="F153" t="s">
        <v>4087</v>
      </c>
      <c r="H153" t="s">
        <v>2352</v>
      </c>
      <c r="I153" t="s">
        <v>3581</v>
      </c>
      <c r="J153" t="s">
        <v>2403</v>
      </c>
      <c r="K153" t="s">
        <v>3582</v>
      </c>
      <c r="L153" t="s">
        <v>3583</v>
      </c>
      <c r="M153" s="2" t="str">
        <f>HYPERLINK(Таблица3[[#This Row],[RelativePath]])</f>
        <v>4 Крыльцо офиса\K07156189_21_20251204T090806Z.jpg</v>
      </c>
    </row>
    <row r="154" spans="1:13" x14ac:dyDescent="0.25">
      <c r="A154" t="s">
        <v>16</v>
      </c>
      <c r="B154" s="3">
        <v>45995</v>
      </c>
      <c r="C154" s="5">
        <v>0.38299768518518518</v>
      </c>
      <c r="D154" s="1" t="s">
        <v>226</v>
      </c>
      <c r="E154" t="s">
        <v>70</v>
      </c>
      <c r="F154" t="s">
        <v>4087</v>
      </c>
      <c r="H154" t="s">
        <v>4090</v>
      </c>
      <c r="I154" t="s">
        <v>3584</v>
      </c>
      <c r="J154" t="s">
        <v>2403</v>
      </c>
      <c r="K154" t="s">
        <v>3585</v>
      </c>
      <c r="L154" t="s">
        <v>3586</v>
      </c>
      <c r="M154" s="2" t="str">
        <f>HYPERLINK(Таблица3[[#This Row],[RelativePath]])</f>
        <v>4 Крыльцо офиса\K07156189_21_20251204T091131Z.jpg</v>
      </c>
    </row>
    <row r="155" spans="1:13" x14ac:dyDescent="0.25">
      <c r="A155" t="s">
        <v>22</v>
      </c>
      <c r="B155" s="3">
        <v>45998</v>
      </c>
      <c r="C155" s="5">
        <v>0.63689814814814816</v>
      </c>
      <c r="D155" s="1" t="s">
        <v>226</v>
      </c>
      <c r="E155" t="s">
        <v>4236</v>
      </c>
      <c r="F155" t="s">
        <v>4087</v>
      </c>
      <c r="H155" t="s">
        <v>2352</v>
      </c>
      <c r="I155" t="s">
        <v>4159</v>
      </c>
      <c r="J155" t="s">
        <v>2394</v>
      </c>
      <c r="K155" t="s">
        <v>4160</v>
      </c>
      <c r="L155" t="s">
        <v>4161</v>
      </c>
      <c r="M155" s="2" t="str">
        <f>HYPERLINK(Таблица3[[#This Row],[RelativePath]])</f>
        <v>5 Крыльцо общага\K07156189_22_20251207T151708Z.jpg</v>
      </c>
    </row>
    <row r="156" spans="1:13" x14ac:dyDescent="0.25">
      <c r="A156" t="s">
        <v>22</v>
      </c>
      <c r="B156" s="3">
        <v>45998</v>
      </c>
      <c r="C156" s="5">
        <v>0.62921296296296292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4156</v>
      </c>
      <c r="J156" t="s">
        <v>2394</v>
      </c>
      <c r="K156" t="s">
        <v>4157</v>
      </c>
      <c r="L156" t="s">
        <v>4158</v>
      </c>
      <c r="M156" s="2" t="str">
        <f>HYPERLINK(Таблица3[[#This Row],[RelativePath]])</f>
        <v>5 Крыльцо общага\K07156189_22_20251207T150604Z.jpg</v>
      </c>
    </row>
    <row r="157" spans="1:13" x14ac:dyDescent="0.25">
      <c r="A157" t="s">
        <v>22</v>
      </c>
      <c r="B157" s="3">
        <v>45998</v>
      </c>
      <c r="C157" s="5">
        <v>0.60648148148148151</v>
      </c>
      <c r="D157" s="1" t="s">
        <v>226</v>
      </c>
      <c r="E157" t="s">
        <v>4236</v>
      </c>
      <c r="F157" t="s">
        <v>3398</v>
      </c>
      <c r="H157" t="s">
        <v>2352</v>
      </c>
      <c r="I157" t="s">
        <v>4180</v>
      </c>
      <c r="J157" t="s">
        <v>2397</v>
      </c>
      <c r="K157" t="s">
        <v>4181</v>
      </c>
      <c r="L157" t="s">
        <v>4182</v>
      </c>
      <c r="M157" s="2" t="str">
        <f>HYPERLINK(Таблица3[[#This Row],[RelativePath]])</f>
        <v>10 Сушилка навес\E33149364_3_20251207T143320Z.jpg</v>
      </c>
    </row>
    <row r="158" spans="1:13" x14ac:dyDescent="0.25">
      <c r="A158" t="s">
        <v>22</v>
      </c>
      <c r="B158" s="3">
        <v>45998</v>
      </c>
      <c r="C158" s="5">
        <v>0.60039351851851852</v>
      </c>
      <c r="D158" s="1" t="s">
        <v>226</v>
      </c>
      <c r="E158" t="s">
        <v>4236</v>
      </c>
      <c r="F158" t="s">
        <v>3398</v>
      </c>
      <c r="I158" t="s">
        <v>4177</v>
      </c>
      <c r="J158" t="s">
        <v>2397</v>
      </c>
      <c r="K158" t="s">
        <v>4178</v>
      </c>
      <c r="L158" t="s">
        <v>4179</v>
      </c>
      <c r="M158" s="2" t="str">
        <f>HYPERLINK(Таблица3[[#This Row],[RelativePath]])</f>
        <v>10 Сушилка навес\E33149364_3_20251207T142434Z.jpg</v>
      </c>
    </row>
    <row r="159" spans="1:13" x14ac:dyDescent="0.25">
      <c r="A159" t="s">
        <v>22</v>
      </c>
      <c r="B159" s="3">
        <v>45998</v>
      </c>
      <c r="C159" s="5">
        <v>0.62070601851851848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4147</v>
      </c>
      <c r="J159" t="s">
        <v>2394</v>
      </c>
      <c r="K159" t="s">
        <v>4148</v>
      </c>
      <c r="L159" t="s">
        <v>4149</v>
      </c>
      <c r="M159" s="2" t="str">
        <f>HYPERLINK(Таблица3[[#This Row],[RelativePath]])</f>
        <v>5 Крыльцо общага\K07156189_22_20251207T145349Z.jpg</v>
      </c>
    </row>
    <row r="160" spans="1:13" x14ac:dyDescent="0.25">
      <c r="A160" t="s">
        <v>22</v>
      </c>
      <c r="B160" s="3">
        <v>45998</v>
      </c>
      <c r="C160" s="5">
        <v>0.61756944444444439</v>
      </c>
      <c r="D160" s="1" t="s">
        <v>226</v>
      </c>
      <c r="E160" t="s">
        <v>4236</v>
      </c>
      <c r="F160" t="s">
        <v>4087</v>
      </c>
      <c r="I160" t="s">
        <v>4144</v>
      </c>
      <c r="J160" t="s">
        <v>2394</v>
      </c>
      <c r="K160" t="s">
        <v>4145</v>
      </c>
      <c r="L160" t="s">
        <v>4146</v>
      </c>
      <c r="M160" s="2" t="str">
        <f>HYPERLINK(Таблица3[[#This Row],[RelativePath]])</f>
        <v>5 Крыльцо общага\K07156189_22_20251207T144918Z.jpg</v>
      </c>
    </row>
    <row r="161" spans="1:13" x14ac:dyDescent="0.25">
      <c r="A161" t="s">
        <v>22</v>
      </c>
      <c r="B161" s="3">
        <v>45998</v>
      </c>
      <c r="C161" s="5">
        <v>0.62668981481481478</v>
      </c>
      <c r="D161" s="1" t="s">
        <v>226</v>
      </c>
      <c r="E161" t="s">
        <v>4236</v>
      </c>
      <c r="F161" t="s">
        <v>4087</v>
      </c>
      <c r="H161" t="s">
        <v>2352</v>
      </c>
      <c r="I161" t="s">
        <v>4153</v>
      </c>
      <c r="J161" t="s">
        <v>2394</v>
      </c>
      <c r="K161" t="s">
        <v>4154</v>
      </c>
      <c r="L161" t="s">
        <v>4155</v>
      </c>
      <c r="M161" s="2" t="str">
        <f>HYPERLINK(Таблица3[[#This Row],[RelativePath]])</f>
        <v>5 Крыльцо общага\K07156189_22_20251207T150226Z.jpg</v>
      </c>
    </row>
    <row r="162" spans="1:13" x14ac:dyDescent="0.25">
      <c r="A162" t="s">
        <v>22</v>
      </c>
      <c r="B162" s="3">
        <v>45998</v>
      </c>
      <c r="C162" s="5">
        <v>0.62306712962962962</v>
      </c>
      <c r="D162" s="1" t="s">
        <v>226</v>
      </c>
      <c r="E162" t="s">
        <v>4236</v>
      </c>
      <c r="F162" t="s">
        <v>4087</v>
      </c>
      <c r="H162" t="s">
        <v>2352</v>
      </c>
      <c r="I162" t="s">
        <v>4150</v>
      </c>
      <c r="J162" t="s">
        <v>2394</v>
      </c>
      <c r="K162" t="s">
        <v>4151</v>
      </c>
      <c r="L162" t="s">
        <v>4152</v>
      </c>
      <c r="M162" s="2" t="str">
        <f>HYPERLINK(Таблица3[[#This Row],[RelativePath]])</f>
        <v>5 Крыльцо общага\K07156189_22_20251207T145713Z.jpg</v>
      </c>
    </row>
    <row r="163" spans="1:13" x14ac:dyDescent="0.25">
      <c r="A163" t="s">
        <v>18</v>
      </c>
      <c r="B163" s="3">
        <v>46004</v>
      </c>
      <c r="C163" s="5">
        <v>0.39291666666666669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4871</v>
      </c>
      <c r="J163" t="s">
        <v>4505</v>
      </c>
      <c r="K163" t="s">
        <v>4872</v>
      </c>
      <c r="L163" t="s">
        <v>4873</v>
      </c>
      <c r="M163" s="2" t="str">
        <f>HYPERLINK(Таблица3[[#This Row],[RelativePath]])</f>
        <v>11 С ангара на базу\E33149364_4_20251213T092548Z.jpg</v>
      </c>
    </row>
    <row r="164" spans="1:13" x14ac:dyDescent="0.25">
      <c r="A164" t="s">
        <v>18</v>
      </c>
      <c r="B164" s="3">
        <v>46004</v>
      </c>
      <c r="C164" s="5">
        <v>0.39643518518518517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4874</v>
      </c>
      <c r="J164" t="s">
        <v>4505</v>
      </c>
      <c r="K164" t="s">
        <v>4875</v>
      </c>
      <c r="L164" t="s">
        <v>4876</v>
      </c>
      <c r="M164" s="2" t="str">
        <f>HYPERLINK(Таблица3[[#This Row],[RelativePath]])</f>
        <v>11 С ангара на базу\E33149364_4_20251213T093052Z.jpg</v>
      </c>
    </row>
    <row r="165" spans="1:13" x14ac:dyDescent="0.25">
      <c r="A165" t="s">
        <v>18</v>
      </c>
      <c r="B165" s="3">
        <v>46004</v>
      </c>
      <c r="C165" s="5">
        <v>0.39685185185185184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4877</v>
      </c>
      <c r="J165" t="s">
        <v>4505</v>
      </c>
      <c r="K165" t="s">
        <v>4878</v>
      </c>
      <c r="L165" t="s">
        <v>4879</v>
      </c>
      <c r="M165" s="2" t="str">
        <f>HYPERLINK(Таблица3[[#This Row],[RelativePath]])</f>
        <v>11 С ангара на базу\E33149364_4_20251213T093128Z.jpg</v>
      </c>
    </row>
    <row r="166" spans="1:13" x14ac:dyDescent="0.25">
      <c r="A166" t="s">
        <v>18</v>
      </c>
      <c r="B166" s="3">
        <v>46004</v>
      </c>
      <c r="C166" s="5">
        <v>0.3972222222222222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4880</v>
      </c>
      <c r="J166" t="s">
        <v>4505</v>
      </c>
      <c r="K166" t="s">
        <v>4881</v>
      </c>
      <c r="L166" t="s">
        <v>4882</v>
      </c>
      <c r="M166" s="2" t="str">
        <f>HYPERLINK(Таблица3[[#This Row],[RelativePath]])</f>
        <v>11 С ангара на базу\E33149364_4_20251213T093200Z.jpg</v>
      </c>
    </row>
    <row r="167" spans="1:13" x14ac:dyDescent="0.25">
      <c r="A167" t="s">
        <v>18</v>
      </c>
      <c r="B167" s="3">
        <v>46004</v>
      </c>
      <c r="C167" s="5">
        <v>0.39961805555555557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4883</v>
      </c>
      <c r="J167" t="s">
        <v>4505</v>
      </c>
      <c r="K167" t="s">
        <v>4884</v>
      </c>
      <c r="L167" t="s">
        <v>4885</v>
      </c>
      <c r="M167" s="2" t="str">
        <f>HYPERLINK(Таблица3[[#This Row],[RelativePath]])</f>
        <v>11 С ангара на базу\E33149364_4_20251213T093527Z.jpg</v>
      </c>
    </row>
    <row r="168" spans="1:13" x14ac:dyDescent="0.25">
      <c r="A168" t="s">
        <v>18</v>
      </c>
      <c r="B168" s="3">
        <v>46004</v>
      </c>
      <c r="C168" s="5">
        <v>0.39997685185185183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4886</v>
      </c>
      <c r="J168" t="s">
        <v>4505</v>
      </c>
      <c r="K168" t="s">
        <v>4887</v>
      </c>
      <c r="L168" t="s">
        <v>4888</v>
      </c>
      <c r="M168" s="2" t="str">
        <f>HYPERLINK(Таблица3[[#This Row],[RelativePath]])</f>
        <v>11 С ангара на базу\E33149364_4_20251213T093558Z.jpg</v>
      </c>
    </row>
    <row r="169" spans="1:13" x14ac:dyDescent="0.25">
      <c r="A169" t="s">
        <v>18</v>
      </c>
      <c r="B169" s="3">
        <v>46004</v>
      </c>
      <c r="C169" s="5">
        <v>0.40167824074074077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4889</v>
      </c>
      <c r="J169" t="s">
        <v>4505</v>
      </c>
      <c r="K169" t="s">
        <v>4890</v>
      </c>
      <c r="L169" t="s">
        <v>4891</v>
      </c>
      <c r="M169" s="2" t="str">
        <f>HYPERLINK(Таблица3[[#This Row],[RelativePath]])</f>
        <v>11 С ангара на базу\E33149364_4_20251213T093825Z.jpg</v>
      </c>
    </row>
    <row r="170" spans="1:13" x14ac:dyDescent="0.25">
      <c r="A170" t="s">
        <v>18</v>
      </c>
      <c r="B170" s="3">
        <v>46004</v>
      </c>
      <c r="C170" s="5">
        <v>0.40229166666666666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4892</v>
      </c>
      <c r="J170" t="s">
        <v>4505</v>
      </c>
      <c r="K170" t="s">
        <v>4893</v>
      </c>
      <c r="L170" t="s">
        <v>4894</v>
      </c>
      <c r="M170" s="2" t="str">
        <f>HYPERLINK(Таблица3[[#This Row],[RelativePath]])</f>
        <v>11 С ангара на базу\E33149364_4_20251213T093918Z.jpg</v>
      </c>
    </row>
    <row r="171" spans="1:13" x14ac:dyDescent="0.25">
      <c r="A171" t="s">
        <v>13</v>
      </c>
      <c r="B171" s="3">
        <v>46006</v>
      </c>
      <c r="C171" s="5">
        <v>0.47672453703703704</v>
      </c>
      <c r="D171" s="1" t="s">
        <v>226</v>
      </c>
      <c r="E171" t="s">
        <v>5045</v>
      </c>
      <c r="F171" t="s">
        <v>58</v>
      </c>
      <c r="H171" t="s">
        <v>2352</v>
      </c>
      <c r="I171" t="s">
        <v>5149</v>
      </c>
      <c r="J171" t="s">
        <v>5093</v>
      </c>
      <c r="K171" t="s">
        <v>5150</v>
      </c>
      <c r="L171" t="s">
        <v>5151</v>
      </c>
      <c r="M171" s="2" t="str">
        <f>HYPERLINK(Таблица3[[#This Row],[RelativePath]])</f>
        <v>10 Сушилка навес\E33149364_3_20251215T112629Z.jpg</v>
      </c>
    </row>
    <row r="172" spans="1:13" x14ac:dyDescent="0.25">
      <c r="A172" t="s">
        <v>13</v>
      </c>
      <c r="B172" s="3">
        <v>46006</v>
      </c>
      <c r="C172" s="5">
        <v>0.47729166666666667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5152</v>
      </c>
      <c r="J172" t="s">
        <v>5093</v>
      </c>
      <c r="K172" t="s">
        <v>5153</v>
      </c>
      <c r="L172" t="s">
        <v>5154</v>
      </c>
      <c r="M172" s="2" t="str">
        <f>HYPERLINK(Таблица3[[#This Row],[RelativePath]])</f>
        <v>10 Сушилка навес\E33149364_3_20251215T112718Z.jpg</v>
      </c>
    </row>
    <row r="173" spans="1:13" x14ac:dyDescent="0.25">
      <c r="A173" t="s">
        <v>13</v>
      </c>
      <c r="B173" s="3">
        <v>46006</v>
      </c>
      <c r="C173" s="5">
        <v>0.47780092592592593</v>
      </c>
      <c r="D173" s="1" t="s">
        <v>226</v>
      </c>
      <c r="E173" t="s">
        <v>5045</v>
      </c>
      <c r="F173" t="s">
        <v>58</v>
      </c>
      <c r="H173" t="s">
        <v>1287</v>
      </c>
      <c r="I173" t="s">
        <v>5155</v>
      </c>
      <c r="J173" t="s">
        <v>5093</v>
      </c>
      <c r="K173" t="s">
        <v>5156</v>
      </c>
      <c r="L173" t="s">
        <v>5157</v>
      </c>
      <c r="M173" s="2" t="str">
        <f>HYPERLINK(Таблица3[[#This Row],[RelativePath]])</f>
        <v>10 Сушилка навес\E33149364_3_20251215T112802Z.jpg</v>
      </c>
    </row>
    <row r="174" spans="1:13" x14ac:dyDescent="0.25">
      <c r="A174" t="s">
        <v>13</v>
      </c>
      <c r="B174" s="3">
        <v>46006</v>
      </c>
      <c r="C174" s="5">
        <v>0.47162037037037036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5140</v>
      </c>
      <c r="J174" t="s">
        <v>5093</v>
      </c>
      <c r="K174" t="s">
        <v>5141</v>
      </c>
      <c r="L174" t="s">
        <v>5142</v>
      </c>
      <c r="M174" s="2" t="str">
        <f>HYPERLINK(Таблица3[[#This Row],[RelativePath]])</f>
        <v>10 Сушилка навес\E33149364_3_20251215T111908Z.jpg</v>
      </c>
    </row>
    <row r="175" spans="1:13" x14ac:dyDescent="0.25">
      <c r="A175" t="s">
        <v>13</v>
      </c>
      <c r="B175" s="3">
        <v>46006</v>
      </c>
      <c r="C175" s="5">
        <v>0.47537037037037039</v>
      </c>
      <c r="D175" s="1" t="s">
        <v>226</v>
      </c>
      <c r="E175" t="s">
        <v>5045</v>
      </c>
      <c r="F175" t="s">
        <v>58</v>
      </c>
      <c r="H175" t="s">
        <v>5211</v>
      </c>
      <c r="I175" t="s">
        <v>5143</v>
      </c>
      <c r="J175" t="s">
        <v>5093</v>
      </c>
      <c r="K175" t="s">
        <v>5144</v>
      </c>
      <c r="L175" t="s">
        <v>5145</v>
      </c>
      <c r="M175" s="2" t="str">
        <f>HYPERLINK(Таблица3[[#This Row],[RelativePath]])</f>
        <v>10 Сушилка навес\E33149364_3_20251215T112432Z.jpg</v>
      </c>
    </row>
    <row r="176" spans="1:13" x14ac:dyDescent="0.25">
      <c r="A176" t="s">
        <v>13</v>
      </c>
      <c r="B176" s="3">
        <v>46006</v>
      </c>
      <c r="C176" s="5">
        <v>0.47547453703703701</v>
      </c>
      <c r="D176" s="1" t="s">
        <v>226</v>
      </c>
      <c r="E176" t="s">
        <v>5045</v>
      </c>
      <c r="F176" t="s">
        <v>58</v>
      </c>
      <c r="H176" t="s">
        <v>2352</v>
      </c>
      <c r="I176" t="s">
        <v>5146</v>
      </c>
      <c r="J176" t="s">
        <v>5093</v>
      </c>
      <c r="K176" t="s">
        <v>5147</v>
      </c>
      <c r="L176" t="s">
        <v>5148</v>
      </c>
      <c r="M176" s="2" t="str">
        <f>HYPERLINK(Таблица3[[#This Row],[RelativePath]])</f>
        <v>10 Сушилка навес\E33149364_3_20251215T112441Z.jpg</v>
      </c>
    </row>
    <row r="177" spans="1:13" x14ac:dyDescent="0.25">
      <c r="A177" t="s">
        <v>13</v>
      </c>
      <c r="B177" s="3">
        <v>46006</v>
      </c>
      <c r="C177" s="5">
        <v>0.47806712962962961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5158</v>
      </c>
      <c r="J177" t="s">
        <v>5093</v>
      </c>
      <c r="K177" t="s">
        <v>5159</v>
      </c>
      <c r="L177" t="s">
        <v>5160</v>
      </c>
      <c r="M177" s="2" t="str">
        <f>HYPERLINK(Таблица3[[#This Row],[RelativePath]])</f>
        <v>10 Сушилка навес\E33149364_3_20251215T112825Z.jpg</v>
      </c>
    </row>
    <row r="178" spans="1:13" x14ac:dyDescent="0.25">
      <c r="A178" t="s">
        <v>13</v>
      </c>
      <c r="B178" s="3">
        <v>46006</v>
      </c>
      <c r="C178" s="5">
        <v>0.4783101851851852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5161</v>
      </c>
      <c r="J178" t="s">
        <v>5093</v>
      </c>
      <c r="K178" t="s">
        <v>5162</v>
      </c>
      <c r="L178" t="s">
        <v>5163</v>
      </c>
      <c r="M178" s="2" t="str">
        <f>HYPERLINK(Таблица3[[#This Row],[RelativePath]])</f>
        <v>10 Сушилка навес\E33149364_3_20251215T112846Z.jpg</v>
      </c>
    </row>
    <row r="179" spans="1:13" x14ac:dyDescent="0.25">
      <c r="A179" t="s">
        <v>13</v>
      </c>
      <c r="B179" s="3">
        <v>46006</v>
      </c>
      <c r="C179" s="5">
        <v>0.47834490740740743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5164</v>
      </c>
      <c r="J179" t="s">
        <v>5093</v>
      </c>
      <c r="K179" t="s">
        <v>5165</v>
      </c>
      <c r="L179" t="s">
        <v>5166</v>
      </c>
      <c r="M179" s="2" t="str">
        <f>HYPERLINK(Таблица3[[#This Row],[RelativePath]])</f>
        <v>10 Сушилка навес\E33149364_3_20251215T112849Z.jpg</v>
      </c>
    </row>
    <row r="180" spans="1:13" x14ac:dyDescent="0.25">
      <c r="A180" t="s">
        <v>13</v>
      </c>
      <c r="B180" s="3">
        <v>46006</v>
      </c>
      <c r="C180" s="5">
        <v>0.61089120370370376</v>
      </c>
      <c r="D180" s="1" t="s">
        <v>226</v>
      </c>
      <c r="E180" t="s">
        <v>5212</v>
      </c>
      <c r="F180" t="s">
        <v>892</v>
      </c>
      <c r="G180">
        <v>2</v>
      </c>
      <c r="I180" t="s">
        <v>5173</v>
      </c>
      <c r="J180" t="s">
        <v>5093</v>
      </c>
      <c r="K180" t="s">
        <v>5174</v>
      </c>
      <c r="L180" t="s">
        <v>5175</v>
      </c>
      <c r="M180" s="2" t="str">
        <f>HYPERLINK(Таблица3[[#This Row],[RelativePath]])</f>
        <v>10 Сушилка навес\E33149364_3_20251215T143941Z.jpg</v>
      </c>
    </row>
    <row r="181" spans="1:13" x14ac:dyDescent="0.25">
      <c r="A181" t="s">
        <v>13</v>
      </c>
      <c r="B181" s="3">
        <v>46006</v>
      </c>
      <c r="C181" s="5">
        <v>0.47047453703703701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5137</v>
      </c>
      <c r="J181" t="s">
        <v>5093</v>
      </c>
      <c r="K181" t="s">
        <v>5138</v>
      </c>
      <c r="L181" t="s">
        <v>5139</v>
      </c>
      <c r="M181" s="2" t="str">
        <f>HYPERLINK(Таблица3[[#This Row],[RelativePath]])</f>
        <v>10 Сушилка навес\E33149364_3_20251215T111729Z.jpg</v>
      </c>
    </row>
    <row r="182" spans="1:13" x14ac:dyDescent="0.25">
      <c r="A182" t="s">
        <v>13</v>
      </c>
      <c r="B182" s="3">
        <v>46006</v>
      </c>
      <c r="C182" s="5">
        <v>0.46650462962962963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5107</v>
      </c>
      <c r="J182" t="s">
        <v>5093</v>
      </c>
      <c r="K182" t="s">
        <v>5108</v>
      </c>
      <c r="L182" t="s">
        <v>5109</v>
      </c>
      <c r="M182" s="2" t="str">
        <f>HYPERLINK(Таблица3[[#This Row],[RelativePath]])</f>
        <v>10 Сушилка навес\E33149364_3_20251215T111146Z.jpg</v>
      </c>
    </row>
    <row r="183" spans="1:13" x14ac:dyDescent="0.25">
      <c r="A183" t="s">
        <v>13</v>
      </c>
      <c r="B183" s="3">
        <v>46006</v>
      </c>
      <c r="C183" s="5">
        <v>0.46740740740740738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5110</v>
      </c>
      <c r="J183" t="s">
        <v>5093</v>
      </c>
      <c r="K183" t="s">
        <v>5111</v>
      </c>
      <c r="L183" t="s">
        <v>5112</v>
      </c>
      <c r="M183" s="2" t="str">
        <f>HYPERLINK(Таблица3[[#This Row],[RelativePath]])</f>
        <v>10 Сушилка навес\E33149364_3_20251215T111304Z.jpg</v>
      </c>
    </row>
    <row r="184" spans="1:13" x14ac:dyDescent="0.25">
      <c r="A184" t="s">
        <v>13</v>
      </c>
      <c r="B184" s="3">
        <v>46006</v>
      </c>
      <c r="C184" s="5">
        <v>0.46766203703703701</v>
      </c>
      <c r="D184" s="1" t="s">
        <v>226</v>
      </c>
      <c r="E184" t="s">
        <v>5045</v>
      </c>
      <c r="F184" t="s">
        <v>58</v>
      </c>
      <c r="H184" t="s">
        <v>2352</v>
      </c>
      <c r="I184" t="s">
        <v>5113</v>
      </c>
      <c r="J184" t="s">
        <v>5093</v>
      </c>
      <c r="K184" t="s">
        <v>5114</v>
      </c>
      <c r="L184" t="s">
        <v>5115</v>
      </c>
      <c r="M184" s="2" t="str">
        <f>HYPERLINK(Таблица3[[#This Row],[RelativePath]])</f>
        <v>10 Сушилка навес\E33149364_3_20251215T111326Z.jpg</v>
      </c>
    </row>
    <row r="185" spans="1:13" x14ac:dyDescent="0.25">
      <c r="A185" t="s">
        <v>13</v>
      </c>
      <c r="B185" s="3">
        <v>46006</v>
      </c>
      <c r="C185" s="5">
        <v>0.51274305555555555</v>
      </c>
      <c r="D185" s="1" t="s">
        <v>226</v>
      </c>
      <c r="E185" t="s">
        <v>70</v>
      </c>
      <c r="F185" t="s">
        <v>5056</v>
      </c>
      <c r="I185" t="s">
        <v>5027</v>
      </c>
      <c r="J185" t="s">
        <v>5026</v>
      </c>
      <c r="K185" t="s">
        <v>5028</v>
      </c>
      <c r="L185" t="s">
        <v>5029</v>
      </c>
      <c r="M185" s="2" t="str">
        <f>HYPERLINK(Таблица3[[#This Row],[RelativePath]])</f>
        <v>4 Крыльцо офиса\K07156189_21_20251215T121821Z.jpg</v>
      </c>
    </row>
    <row r="186" spans="1:13" x14ac:dyDescent="0.25">
      <c r="A186" t="s">
        <v>13</v>
      </c>
      <c r="B186" s="3">
        <v>46006</v>
      </c>
      <c r="C186" s="5">
        <v>0.46620370370370373</v>
      </c>
      <c r="D186" s="1" t="s">
        <v>226</v>
      </c>
      <c r="E186" t="s">
        <v>5045</v>
      </c>
      <c r="F186" t="s">
        <v>58</v>
      </c>
      <c r="H186" t="s">
        <v>1287</v>
      </c>
      <c r="I186" t="s">
        <v>5101</v>
      </c>
      <c r="J186" t="s">
        <v>5093</v>
      </c>
      <c r="K186" t="s">
        <v>5102</v>
      </c>
      <c r="L186" t="s">
        <v>5103</v>
      </c>
      <c r="M186" s="2" t="str">
        <f>HYPERLINK(Таблица3[[#This Row],[RelativePath]])</f>
        <v>10 Сушилка навес\E33149364_3_20251215T111120Z.jpg</v>
      </c>
    </row>
    <row r="187" spans="1:13" x14ac:dyDescent="0.25">
      <c r="A187" t="s">
        <v>13</v>
      </c>
      <c r="B187" s="3">
        <v>46006</v>
      </c>
      <c r="C187" s="5">
        <v>0.46644675925925927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5104</v>
      </c>
      <c r="J187" t="s">
        <v>5093</v>
      </c>
      <c r="K187" t="s">
        <v>5105</v>
      </c>
      <c r="L187" t="s">
        <v>5106</v>
      </c>
      <c r="M187" s="2" t="str">
        <f>HYPERLINK(Таблица3[[#This Row],[RelativePath]])</f>
        <v>10 Сушилка навес\E33149364_3_20251215T111141Z.jpg</v>
      </c>
    </row>
    <row r="188" spans="1:13" x14ac:dyDescent="0.25">
      <c r="A188" t="s">
        <v>13</v>
      </c>
      <c r="B188" s="3">
        <v>46006</v>
      </c>
      <c r="C188" s="5">
        <v>0.46770833333333334</v>
      </c>
      <c r="D188" s="1" t="s">
        <v>226</v>
      </c>
      <c r="E188" t="s">
        <v>5045</v>
      </c>
      <c r="F188" t="s">
        <v>58</v>
      </c>
      <c r="H188" t="s">
        <v>2352</v>
      </c>
      <c r="I188" t="s">
        <v>5116</v>
      </c>
      <c r="J188" t="s">
        <v>5093</v>
      </c>
      <c r="K188" t="s">
        <v>5117</v>
      </c>
      <c r="L188" t="s">
        <v>5118</v>
      </c>
      <c r="M188" s="2" t="str">
        <f>HYPERLINK(Таблица3[[#This Row],[RelativePath]])</f>
        <v>10 Сушилка навес\E33149364_3_20251215T111330Z.jpg</v>
      </c>
    </row>
    <row r="189" spans="1:13" x14ac:dyDescent="0.25">
      <c r="A189" t="s">
        <v>13</v>
      </c>
      <c r="B189" s="3">
        <v>46006</v>
      </c>
      <c r="C189" s="5">
        <v>0.46927083333333336</v>
      </c>
      <c r="D189" s="1" t="s">
        <v>226</v>
      </c>
      <c r="E189" t="s">
        <v>5045</v>
      </c>
      <c r="F189" t="s">
        <v>58</v>
      </c>
      <c r="H189" t="s">
        <v>2352</v>
      </c>
      <c r="I189" t="s">
        <v>5128</v>
      </c>
      <c r="J189" t="s">
        <v>5093</v>
      </c>
      <c r="K189" t="s">
        <v>5129</v>
      </c>
      <c r="L189" t="s">
        <v>5130</v>
      </c>
      <c r="M189" s="2" t="str">
        <f>HYPERLINK(Таблица3[[#This Row],[RelativePath]])</f>
        <v>10 Сушилка навес\E33149364_3_20251215T111545Z.jpg</v>
      </c>
    </row>
    <row r="190" spans="1:13" x14ac:dyDescent="0.25">
      <c r="A190" t="s">
        <v>13</v>
      </c>
      <c r="B190" s="3">
        <v>46006</v>
      </c>
      <c r="C190" s="5">
        <v>0.47002314814814816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5131</v>
      </c>
      <c r="J190" t="s">
        <v>5093</v>
      </c>
      <c r="K190" t="s">
        <v>5132</v>
      </c>
      <c r="L190" t="s">
        <v>5133</v>
      </c>
      <c r="M190" s="2" t="str">
        <f>HYPERLINK(Таблица3[[#This Row],[RelativePath]])</f>
        <v>10 Сушилка навес\E33149364_3_20251215T111650Z.jpg</v>
      </c>
    </row>
    <row r="191" spans="1:13" x14ac:dyDescent="0.25">
      <c r="A191" t="s">
        <v>13</v>
      </c>
      <c r="B191" s="3">
        <v>46006</v>
      </c>
      <c r="C191" s="5">
        <v>0.47033564814814816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5134</v>
      </c>
      <c r="J191" t="s">
        <v>5093</v>
      </c>
      <c r="K191" t="s">
        <v>5135</v>
      </c>
      <c r="L191" t="s">
        <v>5136</v>
      </c>
      <c r="M191" s="2" t="str">
        <f>HYPERLINK(Таблица3[[#This Row],[RelativePath]])</f>
        <v>10 Сушилка навес\E33149364_3_20251215T111717Z.jpg</v>
      </c>
    </row>
    <row r="192" spans="1:13" x14ac:dyDescent="0.25">
      <c r="A192" t="s">
        <v>13</v>
      </c>
      <c r="B192" s="3">
        <v>46006</v>
      </c>
      <c r="C192" s="5">
        <v>0.46807870370370369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5119</v>
      </c>
      <c r="J192" t="s">
        <v>5093</v>
      </c>
      <c r="K192" t="s">
        <v>5120</v>
      </c>
      <c r="L192" t="s">
        <v>5121</v>
      </c>
      <c r="M192" s="2" t="str">
        <f>HYPERLINK(Таблица3[[#This Row],[RelativePath]])</f>
        <v>10 Сушилка навес\E33149364_3_20251215T111402Z.jpg</v>
      </c>
    </row>
    <row r="193" spans="1:13" x14ac:dyDescent="0.25">
      <c r="A193" t="s">
        <v>13</v>
      </c>
      <c r="B193" s="3">
        <v>46006</v>
      </c>
      <c r="C193" s="5">
        <v>0.46834490740740742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5122</v>
      </c>
      <c r="J193" t="s">
        <v>5093</v>
      </c>
      <c r="K193" t="s">
        <v>5123</v>
      </c>
      <c r="L193" t="s">
        <v>5124</v>
      </c>
      <c r="M193" s="2" t="str">
        <f>HYPERLINK(Таблица3[[#This Row],[RelativePath]])</f>
        <v>10 Сушилка навес\E33149364_3_20251215T111425Z.jpg</v>
      </c>
    </row>
    <row r="194" spans="1:13" x14ac:dyDescent="0.25">
      <c r="A194" t="s">
        <v>13</v>
      </c>
      <c r="B194" s="3">
        <v>46006</v>
      </c>
      <c r="C194" s="5">
        <v>0.4692013888888889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5125</v>
      </c>
      <c r="J194" t="s">
        <v>5093</v>
      </c>
      <c r="K194" t="s">
        <v>5126</v>
      </c>
      <c r="L194" t="s">
        <v>5127</v>
      </c>
      <c r="M194" s="2" t="str">
        <f>HYPERLINK(Таблица3[[#This Row],[RelativePath]])</f>
        <v>10 Сушилка навес\E33149364_3_20251215T111539Z.jpg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0.50045138888888885</v>
      </c>
      <c r="D196" s="1" t="s">
        <v>226</v>
      </c>
      <c r="E196" t="s">
        <v>70</v>
      </c>
      <c r="F196" t="s">
        <v>58</v>
      </c>
      <c r="H196" t="s">
        <v>1285</v>
      </c>
      <c r="I196" t="s">
        <v>5967</v>
      </c>
      <c r="J196" t="s">
        <v>5093</v>
      </c>
      <c r="K196" t="s">
        <v>5968</v>
      </c>
      <c r="L196" t="s">
        <v>5969</v>
      </c>
      <c r="M196" s="2" t="str">
        <f>HYPERLINK(Таблица3[[#This Row],[RelativePath]])</f>
        <v>10 Сушилка навес\E33149364_3_20251225T120039Z.jpg</v>
      </c>
    </row>
    <row r="197" spans="1:13" x14ac:dyDescent="0.25">
      <c r="A197" t="s">
        <v>16</v>
      </c>
      <c r="B197" s="3">
        <v>46016</v>
      </c>
      <c r="C197" s="5">
        <v>0.50079861111111112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5970</v>
      </c>
      <c r="J197" t="s">
        <v>5093</v>
      </c>
      <c r="K197" t="s">
        <v>5971</v>
      </c>
      <c r="L197" t="s">
        <v>5972</v>
      </c>
      <c r="M197" s="2" t="str">
        <f>HYPERLINK(Таблица3[[#This Row],[RelativePath]])</f>
        <v>10 Сушилка навес\E33149364_3_20251225T120109Z.jpg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0.50189814814814815</v>
      </c>
      <c r="D199" s="1" t="s">
        <v>226</v>
      </c>
      <c r="E199" t="s">
        <v>70</v>
      </c>
      <c r="F199" t="s">
        <v>58</v>
      </c>
      <c r="H199" t="s">
        <v>2352</v>
      </c>
      <c r="I199" t="s">
        <v>5976</v>
      </c>
      <c r="J199" t="s">
        <v>5093</v>
      </c>
      <c r="K199" t="s">
        <v>5977</v>
      </c>
      <c r="L199" t="s">
        <v>5978</v>
      </c>
      <c r="M199" s="2" t="str">
        <f>HYPERLINK(Таблица3[[#This Row],[RelativePath]])</f>
        <v>10 Сушилка навес\E33149364_3_20251225T120244Z.jpg</v>
      </c>
    </row>
    <row r="200" spans="1:13" x14ac:dyDescent="0.25">
      <c r="A200" t="s">
        <v>16</v>
      </c>
      <c r="B200" s="3">
        <v>46016</v>
      </c>
      <c r="C200" s="5">
        <v>0.50423611111111111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5979</v>
      </c>
      <c r="J200" t="s">
        <v>5093</v>
      </c>
      <c r="K200" t="s">
        <v>5980</v>
      </c>
      <c r="L200" t="s">
        <v>5981</v>
      </c>
      <c r="M200" s="2" t="str">
        <f>HYPERLINK(Таблица3[[#This Row],[RelativePath]])</f>
        <v>10 Сушилка навес\E33149364_3_20251225T120606Z.jpg</v>
      </c>
    </row>
    <row r="201" spans="1:13" x14ac:dyDescent="0.25">
      <c r="A201" t="s">
        <v>17</v>
      </c>
      <c r="B201" s="3">
        <v>46017</v>
      </c>
      <c r="C201" s="5">
        <v>0.40710648148148149</v>
      </c>
      <c r="D201" s="1" t="s">
        <v>226</v>
      </c>
      <c r="E201" t="s">
        <v>2343</v>
      </c>
      <c r="F201" t="s">
        <v>5697</v>
      </c>
      <c r="I201" t="s">
        <v>6248</v>
      </c>
      <c r="J201" t="s">
        <v>2402</v>
      </c>
      <c r="K201" t="s">
        <v>6249</v>
      </c>
      <c r="L201" t="s">
        <v>6250</v>
      </c>
      <c r="M201" s="2" t="str">
        <f>HYPERLINK(Таблица3[[#This Row],[RelativePath]])</f>
        <v>3 Въезд на базу\E33149364_8_20251226T094614Z.jpg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0.40768518518518521</v>
      </c>
      <c r="D203" s="1" t="s">
        <v>226</v>
      </c>
      <c r="E203" t="s">
        <v>2343</v>
      </c>
      <c r="F203" t="s">
        <v>5697</v>
      </c>
      <c r="H203" t="s">
        <v>2352</v>
      </c>
      <c r="I203" t="s">
        <v>6254</v>
      </c>
      <c r="J203" t="s">
        <v>2402</v>
      </c>
      <c r="K203" t="s">
        <v>6255</v>
      </c>
      <c r="L203" t="s">
        <v>6256</v>
      </c>
      <c r="M203" s="2" t="str">
        <f>HYPERLINK(Таблица3[[#This Row],[RelativePath]])</f>
        <v>3 Въезд на базу\E33149364_8_20251226T094704Z.jpg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0.41230324074074076</v>
      </c>
      <c r="D205" s="1" t="s">
        <v>226</v>
      </c>
      <c r="E205" t="s">
        <v>7341</v>
      </c>
      <c r="F205" t="s">
        <v>7342</v>
      </c>
      <c r="H205" t="s">
        <v>2352</v>
      </c>
      <c r="I205" t="s">
        <v>7186</v>
      </c>
      <c r="J205" t="s">
        <v>7181</v>
      </c>
      <c r="K205" t="s">
        <v>7187</v>
      </c>
      <c r="L205" t="s">
        <v>7188</v>
      </c>
      <c r="M205" s="2" t="str">
        <f>HYPERLINK(Таблица3[[#This Row],[RelativePath]])</f>
        <v>3 Въезд на базу\E33149364_8_20260113T095343Z.jpg</v>
      </c>
    </row>
    <row r="206" spans="1:13" x14ac:dyDescent="0.25">
      <c r="A206" t="s">
        <v>14</v>
      </c>
      <c r="B206" s="3">
        <v>46035</v>
      </c>
      <c r="C206" s="5">
        <v>0.41223379629629631</v>
      </c>
      <c r="D206" s="1" t="s">
        <v>226</v>
      </c>
      <c r="E206" t="s">
        <v>7341</v>
      </c>
      <c r="F206" t="s">
        <v>7342</v>
      </c>
      <c r="I206" t="s">
        <v>7183</v>
      </c>
      <c r="J206" t="s">
        <v>7181</v>
      </c>
      <c r="K206" t="s">
        <v>7184</v>
      </c>
      <c r="L206" t="s">
        <v>7185</v>
      </c>
      <c r="M206" s="2" t="str">
        <f>HYPERLINK(Таблица3[[#This Row],[RelativePath]])</f>
        <v>3 Въезд на базу\E33149364_8_20260113T095337Z.jpg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0.59203703703703703</v>
      </c>
      <c r="D208" s="1" t="s">
        <v>226</v>
      </c>
      <c r="E208" t="s">
        <v>6679</v>
      </c>
      <c r="F208" t="s">
        <v>58</v>
      </c>
      <c r="H208" t="s">
        <v>8372</v>
      </c>
      <c r="I208" t="s">
        <v>8332</v>
      </c>
      <c r="J208" t="s">
        <v>2397</v>
      </c>
      <c r="K208" t="s">
        <v>8333</v>
      </c>
      <c r="L208" t="s">
        <v>8334</v>
      </c>
      <c r="M208" s="2" t="str">
        <f>HYPERLINK(Таблица3[[#This Row],[RelativePath]])</f>
        <v>10 Сушилка навес\E33149364_3_20260123T141232Z.jpg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0.45423611111111112</v>
      </c>
      <c r="D210" s="1" t="s">
        <v>226</v>
      </c>
      <c r="E210" t="s">
        <v>6679</v>
      </c>
      <c r="F210" t="s">
        <v>58</v>
      </c>
      <c r="H210" t="s">
        <v>2352</v>
      </c>
      <c r="I210" t="s">
        <v>8320</v>
      </c>
      <c r="J210" t="s">
        <v>2404</v>
      </c>
      <c r="K210" t="s">
        <v>8321</v>
      </c>
      <c r="L210" t="s">
        <v>8322</v>
      </c>
      <c r="M210" s="2" t="str">
        <f>HYPERLINK(Таблица3[[#This Row],[RelativePath]])</f>
        <v>9 Ангар пилорама\E33149364_1_20260123T105406Z.jpg</v>
      </c>
    </row>
    <row r="211" spans="1:13" x14ac:dyDescent="0.25">
      <c r="A211" t="s">
        <v>16</v>
      </c>
      <c r="B211" s="3">
        <v>46051</v>
      </c>
      <c r="C211" s="5">
        <v>0.47310185185185183</v>
      </c>
      <c r="D211" s="1" t="s">
        <v>226</v>
      </c>
      <c r="E211" t="s">
        <v>8714</v>
      </c>
      <c r="F211" t="s">
        <v>2345</v>
      </c>
      <c r="G211">
        <v>1</v>
      </c>
      <c r="I211" t="s">
        <v>8539</v>
      </c>
      <c r="J211" t="s">
        <v>2401</v>
      </c>
      <c r="K211" t="s">
        <v>8540</v>
      </c>
      <c r="L211" t="s">
        <v>8541</v>
      </c>
      <c r="M211" s="2" t="str">
        <f>HYPERLINK(Таблица3[[#This Row],[RelativePath]])</f>
        <v>2 Пилорама поката\E33149364_7_20260129T112116Z.jpg</v>
      </c>
    </row>
    <row r="212" spans="1:13" x14ac:dyDescent="0.25">
      <c r="A212" t="s">
        <v>16</v>
      </c>
      <c r="B212" s="3">
        <v>46051</v>
      </c>
      <c r="C212" s="5">
        <v>0.47327546296296297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8542</v>
      </c>
      <c r="J212" t="s">
        <v>2401</v>
      </c>
      <c r="K212" t="s">
        <v>8543</v>
      </c>
      <c r="L212" t="s">
        <v>8544</v>
      </c>
      <c r="M212" s="2" t="str">
        <f>HYPERLINK(Таблица3[[#This Row],[RelativePath]])</f>
        <v>2 Пилорама поката\E33149364_7_20260129T112131Z.jpg</v>
      </c>
    </row>
    <row r="213" spans="1:13" x14ac:dyDescent="0.25">
      <c r="A213" t="s">
        <v>16</v>
      </c>
      <c r="B213" s="3">
        <v>46051</v>
      </c>
      <c r="C213" s="5">
        <v>0.47359953703703705</v>
      </c>
      <c r="D213" s="1" t="s">
        <v>226</v>
      </c>
      <c r="E213" t="s">
        <v>8714</v>
      </c>
      <c r="F213" t="s">
        <v>2345</v>
      </c>
      <c r="G213">
        <v>1</v>
      </c>
      <c r="H213" t="s">
        <v>2352</v>
      </c>
      <c r="I213" t="s">
        <v>8545</v>
      </c>
      <c r="J213" t="s">
        <v>2401</v>
      </c>
      <c r="K213" t="s">
        <v>8546</v>
      </c>
      <c r="L213" t="s">
        <v>8547</v>
      </c>
      <c r="M213" s="2" t="str">
        <f>HYPERLINK(Таблица3[[#This Row],[RelativePath]])</f>
        <v>2 Пилорама поката\E33149364_7_20260129T112159Z.jpg</v>
      </c>
    </row>
    <row r="214" spans="1:13" x14ac:dyDescent="0.25">
      <c r="A214" t="s">
        <v>16</v>
      </c>
      <c r="B214" s="3">
        <v>46051</v>
      </c>
      <c r="C214" s="5">
        <v>0.4737615740740741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8548</v>
      </c>
      <c r="J214" t="s">
        <v>2401</v>
      </c>
      <c r="K214" t="s">
        <v>8549</v>
      </c>
      <c r="L214" t="s">
        <v>8550</v>
      </c>
      <c r="M214" s="2" t="str">
        <f>HYPERLINK(Таблица3[[#This Row],[RelativePath]])</f>
        <v>2 Пилорама поката\E33149364_7_20260129T112213Z.jpg</v>
      </c>
    </row>
    <row r="215" spans="1:13" x14ac:dyDescent="0.25">
      <c r="A215" t="s">
        <v>17</v>
      </c>
      <c r="B215" s="3">
        <v>46052</v>
      </c>
      <c r="C215" s="5">
        <v>0.38785879629629627</v>
      </c>
      <c r="D215" s="1" t="s">
        <v>226</v>
      </c>
      <c r="E215" t="s">
        <v>70</v>
      </c>
      <c r="F215" t="s">
        <v>4087</v>
      </c>
      <c r="I215" t="s">
        <v>8735</v>
      </c>
      <c r="J215" t="s">
        <v>2403</v>
      </c>
      <c r="K215" t="s">
        <v>8736</v>
      </c>
      <c r="L215" t="s">
        <v>8737</v>
      </c>
      <c r="M215" s="2" t="str">
        <f>HYPERLINK(Таблица3[[#This Row],[RelativePath]])</f>
        <v>4 Крыльцо офиса\K07156189_21_20260130T091831Z.jpg</v>
      </c>
    </row>
    <row r="216" spans="1:13" x14ac:dyDescent="0.25">
      <c r="A216" t="s">
        <v>17</v>
      </c>
      <c r="B216" s="3">
        <v>46052</v>
      </c>
      <c r="C216" s="5">
        <v>0.38319444444444445</v>
      </c>
      <c r="D216" s="1" t="s">
        <v>226</v>
      </c>
      <c r="E216" t="s">
        <v>70</v>
      </c>
      <c r="F216" t="s">
        <v>8811</v>
      </c>
      <c r="I216" t="s">
        <v>8771</v>
      </c>
      <c r="J216" t="s">
        <v>2397</v>
      </c>
      <c r="K216" t="s">
        <v>8772</v>
      </c>
      <c r="L216" t="s">
        <v>8773</v>
      </c>
      <c r="M216" s="2" t="str">
        <f>HYPERLINK(Таблица3[[#This Row],[RelativePath]])</f>
        <v>10 Сушилка навес\E33149364_3_20260130T091148Z.jpg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0.38341435185185185</v>
      </c>
      <c r="D218" s="1" t="s">
        <v>226</v>
      </c>
      <c r="E218" t="s">
        <v>70</v>
      </c>
      <c r="F218" t="s">
        <v>8811</v>
      </c>
      <c r="H218" t="s">
        <v>2352</v>
      </c>
      <c r="I218" t="s">
        <v>8777</v>
      </c>
      <c r="J218" t="s">
        <v>2397</v>
      </c>
      <c r="K218" t="s">
        <v>8778</v>
      </c>
      <c r="L218" t="s">
        <v>8779</v>
      </c>
      <c r="M218" s="2" t="str">
        <f>HYPERLINK(Таблица3[[#This Row],[RelativePath]])</f>
        <v>10 Сушилка навес\E33149364_3_20260130T091207Z.jpg</v>
      </c>
    </row>
    <row r="219" spans="1:13" x14ac:dyDescent="0.25">
      <c r="A219" t="s">
        <v>17</v>
      </c>
      <c r="B219" s="3">
        <v>46052</v>
      </c>
      <c r="C219" s="5">
        <v>0.38377314814814817</v>
      </c>
      <c r="D219" s="1" t="s">
        <v>226</v>
      </c>
      <c r="E219" t="s">
        <v>70</v>
      </c>
      <c r="F219" t="s">
        <v>8811</v>
      </c>
      <c r="H219" t="s">
        <v>2352</v>
      </c>
      <c r="I219" t="s">
        <v>8780</v>
      </c>
      <c r="J219" t="s">
        <v>2397</v>
      </c>
      <c r="K219" t="s">
        <v>8781</v>
      </c>
      <c r="L219" t="s">
        <v>8782</v>
      </c>
      <c r="M219" s="2" t="str">
        <f>HYPERLINK(Таблица3[[#This Row],[RelativePath]])</f>
        <v>10 Сушилка навес\E33149364_3_20260130T091238Z.jpg</v>
      </c>
    </row>
    <row r="220" spans="1:13" x14ac:dyDescent="0.25">
      <c r="A220" t="s">
        <v>18</v>
      </c>
      <c r="B220" s="3">
        <v>46053</v>
      </c>
      <c r="C220" s="5">
        <v>0.49326388888888889</v>
      </c>
      <c r="D220" s="1" t="s">
        <v>226</v>
      </c>
      <c r="E220" t="s">
        <v>8912</v>
      </c>
      <c r="F220" t="s">
        <v>5695</v>
      </c>
      <c r="G220">
        <v>1</v>
      </c>
      <c r="I220" t="s">
        <v>8867</v>
      </c>
      <c r="J220" t="s">
        <v>2397</v>
      </c>
      <c r="K220" t="s">
        <v>8868</v>
      </c>
      <c r="L220" t="s">
        <v>8869</v>
      </c>
      <c r="M220" s="2" t="str">
        <f>HYPERLINK(Таблица3[[#This Row],[RelativePath]])</f>
        <v>10 Сушилка навес\E33149364_3_20260131T115018Z.jpg</v>
      </c>
    </row>
    <row r="221" spans="1:13" x14ac:dyDescent="0.25">
      <c r="A221" t="s">
        <v>18</v>
      </c>
      <c r="B221" s="3">
        <v>46053</v>
      </c>
      <c r="C221" s="5">
        <v>0.49449074074074073</v>
      </c>
      <c r="D221" s="1" t="s">
        <v>226</v>
      </c>
      <c r="E221" t="s">
        <v>8912</v>
      </c>
      <c r="F221" t="s">
        <v>5695</v>
      </c>
      <c r="G221">
        <v>1</v>
      </c>
      <c r="I221" t="s">
        <v>8870</v>
      </c>
      <c r="J221" t="s">
        <v>2397</v>
      </c>
      <c r="K221" t="s">
        <v>8871</v>
      </c>
      <c r="L221" t="s">
        <v>8872</v>
      </c>
      <c r="M221" s="2" t="str">
        <f>HYPERLINK(Таблица3[[#This Row],[RelativePath]])</f>
        <v>10 Сушилка навес\E33149364_3_20260131T115204Z.jpg</v>
      </c>
    </row>
    <row r="222" spans="1:13" x14ac:dyDescent="0.25">
      <c r="A222" t="s">
        <v>18</v>
      </c>
      <c r="B222" s="3">
        <v>46053</v>
      </c>
      <c r="C222" s="5">
        <v>0.49556712962962962</v>
      </c>
      <c r="D222" s="1" t="s">
        <v>226</v>
      </c>
      <c r="E222" t="s">
        <v>8912</v>
      </c>
      <c r="F222" t="s">
        <v>5695</v>
      </c>
      <c r="G222">
        <v>1</v>
      </c>
      <c r="I222" t="s">
        <v>8873</v>
      </c>
      <c r="J222" t="s">
        <v>2397</v>
      </c>
      <c r="K222" t="s">
        <v>8874</v>
      </c>
      <c r="L222" t="s">
        <v>8875</v>
      </c>
      <c r="M222" s="2" t="str">
        <f>HYPERLINK(Таблица3[[#This Row],[RelativePath]])</f>
        <v>10 Сушилка навес\E33149364_3_20260131T115337Z.jpg</v>
      </c>
    </row>
    <row r="223" spans="1:13" x14ac:dyDescent="0.25">
      <c r="A223" t="s">
        <v>18</v>
      </c>
      <c r="B223" s="3">
        <v>46053</v>
      </c>
      <c r="C223" s="5">
        <v>0.49659722222222225</v>
      </c>
      <c r="D223" s="1" t="s">
        <v>226</v>
      </c>
      <c r="E223" t="s">
        <v>8912</v>
      </c>
      <c r="F223" t="s">
        <v>5695</v>
      </c>
      <c r="G223">
        <v>1</v>
      </c>
      <c r="I223" t="s">
        <v>8876</v>
      </c>
      <c r="J223" t="s">
        <v>2397</v>
      </c>
      <c r="K223" t="s">
        <v>8877</v>
      </c>
      <c r="L223" t="s">
        <v>8878</v>
      </c>
      <c r="M223" s="2" t="str">
        <f>HYPERLINK(Таблица3[[#This Row],[RelativePath]])</f>
        <v>10 Сушилка навес\E33149364_3_20260131T115506Z.jpg</v>
      </c>
    </row>
    <row r="224" spans="1:13" x14ac:dyDescent="0.25">
      <c r="A224" t="s">
        <v>18</v>
      </c>
      <c r="B224" s="3">
        <v>46053</v>
      </c>
      <c r="C224" s="5">
        <v>0.49760416666666668</v>
      </c>
      <c r="D224" s="1" t="s">
        <v>226</v>
      </c>
      <c r="E224" t="s">
        <v>8912</v>
      </c>
      <c r="F224" t="s">
        <v>5695</v>
      </c>
      <c r="G224">
        <v>1</v>
      </c>
      <c r="I224" t="s">
        <v>8879</v>
      </c>
      <c r="J224" t="s">
        <v>2397</v>
      </c>
      <c r="K224" t="s">
        <v>8880</v>
      </c>
      <c r="L224" t="s">
        <v>8881</v>
      </c>
      <c r="M224" s="2" t="str">
        <f>HYPERLINK(Таблица3[[#This Row],[RelativePath]])</f>
        <v>10 Сушилка навес\E33149364_3_20260131T115633Z.jpg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0.49983796296296296</v>
      </c>
      <c r="D226" s="1" t="s">
        <v>226</v>
      </c>
      <c r="E226" t="s">
        <v>8912</v>
      </c>
      <c r="F226" t="s">
        <v>5695</v>
      </c>
      <c r="G226">
        <v>1</v>
      </c>
      <c r="I226" t="s">
        <v>8885</v>
      </c>
      <c r="J226" t="s">
        <v>2397</v>
      </c>
      <c r="K226" t="s">
        <v>8886</v>
      </c>
      <c r="L226" t="s">
        <v>8887</v>
      </c>
      <c r="M226" s="2" t="str">
        <f>HYPERLINK(Таблица3[[#This Row],[RelativePath]])</f>
        <v>10 Сушилка навес\E33149364_3_20260131T115946Z.jpg</v>
      </c>
    </row>
    <row r="227" spans="1:13" x14ac:dyDescent="0.25">
      <c r="A227" t="s">
        <v>18</v>
      </c>
      <c r="B227" s="3">
        <v>46053</v>
      </c>
      <c r="C227" s="5">
        <v>0.50087962962962962</v>
      </c>
      <c r="D227" s="1" t="s">
        <v>226</v>
      </c>
      <c r="E227" t="s">
        <v>8912</v>
      </c>
      <c r="F227" t="s">
        <v>5695</v>
      </c>
      <c r="G227">
        <v>1</v>
      </c>
      <c r="I227" t="s">
        <v>8888</v>
      </c>
      <c r="J227" t="s">
        <v>2397</v>
      </c>
      <c r="K227" t="s">
        <v>8889</v>
      </c>
      <c r="L227" t="s">
        <v>8890</v>
      </c>
      <c r="M227" s="2" t="str">
        <f>HYPERLINK(Таблица3[[#This Row],[RelativePath]])</f>
        <v>10 Сушилка навес\E33149364_3_20260131T120116Z.jpg</v>
      </c>
    </row>
    <row r="228" spans="1:13" x14ac:dyDescent="0.25">
      <c r="A228" t="s">
        <v>18</v>
      </c>
      <c r="B228" s="3">
        <v>46053</v>
      </c>
      <c r="C228" s="5">
        <v>0.50236111111111115</v>
      </c>
      <c r="D228" s="1" t="s">
        <v>226</v>
      </c>
      <c r="E228" t="s">
        <v>8912</v>
      </c>
      <c r="F228" t="s">
        <v>5695</v>
      </c>
      <c r="G228">
        <v>1</v>
      </c>
      <c r="I228" t="s">
        <v>8891</v>
      </c>
      <c r="J228" t="s">
        <v>2397</v>
      </c>
      <c r="K228" t="s">
        <v>8892</v>
      </c>
      <c r="L228" t="s">
        <v>8893</v>
      </c>
      <c r="M228" s="2" t="str">
        <f>HYPERLINK(Таблица3[[#This Row],[RelativePath]])</f>
        <v>10 Сушилка навес\E33149364_3_20260131T120324Z.jpg</v>
      </c>
    </row>
    <row r="229" spans="1:13" x14ac:dyDescent="0.25">
      <c r="A229" t="s">
        <v>18</v>
      </c>
      <c r="B229" s="3">
        <v>46053</v>
      </c>
      <c r="C229" s="5">
        <v>0.50332175925925926</v>
      </c>
      <c r="D229" s="1" t="s">
        <v>226</v>
      </c>
      <c r="E229" t="s">
        <v>8912</v>
      </c>
      <c r="F229" t="s">
        <v>5695</v>
      </c>
      <c r="G229">
        <v>1</v>
      </c>
      <c r="I229" t="s">
        <v>8894</v>
      </c>
      <c r="J229" t="s">
        <v>2397</v>
      </c>
      <c r="K229" t="s">
        <v>8895</v>
      </c>
      <c r="L229" t="s">
        <v>8896</v>
      </c>
      <c r="M229" s="2" t="str">
        <f>HYPERLINK(Таблица3[[#This Row],[RelativePath]])</f>
        <v>10 Сушилка навес\E33149364_3_20260131T120447Z.jpg</v>
      </c>
    </row>
    <row r="230" spans="1:13" x14ac:dyDescent="0.25">
      <c r="A230" t="s">
        <v>18</v>
      </c>
      <c r="B230" s="3">
        <v>46053</v>
      </c>
      <c r="C230" s="5">
        <v>0.50494212962962959</v>
      </c>
      <c r="D230" s="1" t="s">
        <v>226</v>
      </c>
      <c r="E230" t="s">
        <v>8912</v>
      </c>
      <c r="F230" t="s">
        <v>5695</v>
      </c>
      <c r="G230">
        <v>1</v>
      </c>
      <c r="I230" t="s">
        <v>8897</v>
      </c>
      <c r="J230" t="s">
        <v>2397</v>
      </c>
      <c r="K230" t="s">
        <v>8898</v>
      </c>
      <c r="L230" t="s">
        <v>8899</v>
      </c>
      <c r="M230" s="2" t="str">
        <f>HYPERLINK(Таблица3[[#This Row],[RelativePath]])</f>
        <v>10 Сушилка навес\E33149364_3_20260131T120707Z.jpg</v>
      </c>
    </row>
    <row r="231" spans="1:13" x14ac:dyDescent="0.25">
      <c r="A231" t="s">
        <v>14</v>
      </c>
      <c r="B231" s="3">
        <v>46056</v>
      </c>
      <c r="C231" s="5">
        <v>0.79167824074074078</v>
      </c>
      <c r="D231" s="1" t="s">
        <v>226</v>
      </c>
      <c r="E231" t="s">
        <v>4940</v>
      </c>
      <c r="F231" t="s">
        <v>9130</v>
      </c>
      <c r="I231" t="s">
        <v>8967</v>
      </c>
      <c r="J231" t="s">
        <v>2403</v>
      </c>
      <c r="K231" t="s">
        <v>8968</v>
      </c>
      <c r="L231" t="s">
        <v>8969</v>
      </c>
      <c r="M231" s="2" t="str">
        <f>HYPERLINK(Таблица3[[#This Row],[RelativePath]])</f>
        <v>4 Крыльцо офиса\K07156189_21_20260203T190001Z.jpg</v>
      </c>
    </row>
    <row r="232" spans="1:13" x14ac:dyDescent="0.25">
      <c r="A232" t="s">
        <v>14</v>
      </c>
      <c r="B232" s="3">
        <v>46056</v>
      </c>
      <c r="C232" s="5">
        <v>0.79401620370370374</v>
      </c>
      <c r="D232" s="1" t="s">
        <v>226</v>
      </c>
      <c r="E232" t="s">
        <v>4940</v>
      </c>
      <c r="F232" t="s">
        <v>9130</v>
      </c>
      <c r="I232" t="s">
        <v>8970</v>
      </c>
      <c r="J232" t="s">
        <v>2403</v>
      </c>
      <c r="K232" t="s">
        <v>8971</v>
      </c>
      <c r="L232" t="s">
        <v>8972</v>
      </c>
      <c r="M232" s="2" t="str">
        <f>HYPERLINK(Таблица3[[#This Row],[RelativePath]])</f>
        <v>4 Крыльцо офиса\K07156189_21_20260203T190323Z.jpg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0.60603009259259255</v>
      </c>
      <c r="D234" s="1" t="s">
        <v>226</v>
      </c>
      <c r="E234" t="s">
        <v>10132</v>
      </c>
      <c r="F234" t="s">
        <v>469</v>
      </c>
      <c r="H234" t="s">
        <v>10135</v>
      </c>
      <c r="I234" t="s">
        <v>10057</v>
      </c>
      <c r="J234" t="s">
        <v>2400</v>
      </c>
      <c r="K234" t="s">
        <v>10058</v>
      </c>
      <c r="L234" t="s">
        <v>10059</v>
      </c>
      <c r="M234" s="2" t="str">
        <f>HYPERLINK(Таблица3[[#This Row],[RelativePath]])</f>
        <v>13 Склад хол\K07156189_23_20260219T143241Z.jpg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0.60662037037037042</v>
      </c>
      <c r="D236" s="1" t="s">
        <v>226</v>
      </c>
      <c r="E236" t="s">
        <v>10132</v>
      </c>
      <c r="F236" t="s">
        <v>469</v>
      </c>
      <c r="H236" t="s">
        <v>10136</v>
      </c>
      <c r="I236" t="s">
        <v>10063</v>
      </c>
      <c r="J236" t="s">
        <v>2400</v>
      </c>
      <c r="K236" t="s">
        <v>10064</v>
      </c>
      <c r="L236" t="s">
        <v>10065</v>
      </c>
      <c r="M236" s="2" t="str">
        <f>HYPERLINK(Таблица3[[#This Row],[RelativePath]])</f>
        <v>13 Склад хол\K07156189_23_20260219T143332Z.jpg</v>
      </c>
    </row>
    <row r="237" spans="1:13" x14ac:dyDescent="0.25">
      <c r="A237" t="s">
        <v>13</v>
      </c>
      <c r="B237" s="3">
        <v>46076</v>
      </c>
      <c r="C237" s="5">
        <v>0.40337962962962964</v>
      </c>
      <c r="D237" s="1" t="s">
        <v>226</v>
      </c>
      <c r="E237" t="s">
        <v>10566</v>
      </c>
      <c r="F237" t="s">
        <v>586</v>
      </c>
      <c r="H237" t="s">
        <v>2352</v>
      </c>
      <c r="I237" t="s">
        <v>10499</v>
      </c>
      <c r="J237" t="s">
        <v>2395</v>
      </c>
      <c r="K237" t="s">
        <v>10500</v>
      </c>
      <c r="L237" t="s">
        <v>10501</v>
      </c>
      <c r="M237" s="2" t="str">
        <f>HYPERLINK(Таблица3[[#This Row],[RelativePath]])</f>
        <v>6 Площадка 1 общага\826398429_1_20260223T094052Z.jpg</v>
      </c>
    </row>
    <row r="238" spans="1:13" x14ac:dyDescent="0.25">
      <c r="A238" t="s">
        <v>13</v>
      </c>
      <c r="B238" s="3">
        <v>46076</v>
      </c>
      <c r="C238" s="5">
        <v>0.40519675925925924</v>
      </c>
      <c r="D238" s="1" t="s">
        <v>226</v>
      </c>
      <c r="E238" t="s">
        <v>10566</v>
      </c>
      <c r="F238" t="s">
        <v>586</v>
      </c>
      <c r="H238" t="s">
        <v>2352</v>
      </c>
      <c r="I238" t="s">
        <v>10502</v>
      </c>
      <c r="J238" t="s">
        <v>2395</v>
      </c>
      <c r="K238" t="s">
        <v>10503</v>
      </c>
      <c r="L238" t="s">
        <v>10504</v>
      </c>
      <c r="M238" s="2" t="str">
        <f>HYPERLINK(Таблица3[[#This Row],[RelativePath]])</f>
        <v>6 Площадка 1 общага\826398429_1_20260223T094329Z.jpg</v>
      </c>
    </row>
    <row r="239" spans="1:13" x14ac:dyDescent="0.25">
      <c r="A239" t="s">
        <v>13</v>
      </c>
      <c r="B239" s="3">
        <v>46076</v>
      </c>
      <c r="C239" s="5">
        <v>0.39706018518518521</v>
      </c>
      <c r="D239" s="1" t="s">
        <v>226</v>
      </c>
      <c r="E239" t="s">
        <v>10565</v>
      </c>
      <c r="F239" t="s">
        <v>586</v>
      </c>
      <c r="H239" t="s">
        <v>2352</v>
      </c>
      <c r="I239" t="s">
        <v>10493</v>
      </c>
      <c r="J239" t="s">
        <v>2395</v>
      </c>
      <c r="K239" t="s">
        <v>10494</v>
      </c>
      <c r="L239" t="s">
        <v>10495</v>
      </c>
      <c r="M239" s="2" t="str">
        <f>HYPERLINK(Таблица3[[#This Row],[RelativePath]])</f>
        <v>6 Площадка 1 общага\826398429_1_20260223T093146Z.jpg</v>
      </c>
    </row>
    <row r="240" spans="1:13" x14ac:dyDescent="0.25">
      <c r="A240" t="s">
        <v>13</v>
      </c>
      <c r="B240" s="3">
        <v>46076</v>
      </c>
      <c r="C240" s="5">
        <v>0.40009259259259261</v>
      </c>
      <c r="D240" s="1" t="s">
        <v>226</v>
      </c>
      <c r="E240" t="s">
        <v>10565</v>
      </c>
      <c r="F240" t="s">
        <v>586</v>
      </c>
      <c r="H240" t="s">
        <v>2352</v>
      </c>
      <c r="I240" t="s">
        <v>10496</v>
      </c>
      <c r="J240" t="s">
        <v>2395</v>
      </c>
      <c r="K240" t="s">
        <v>10497</v>
      </c>
      <c r="L240" t="s">
        <v>10498</v>
      </c>
      <c r="M240" s="2" t="str">
        <f>HYPERLINK(Таблица3[[#This Row],[RelativePath]])</f>
        <v>6 Площадка 1 общага\826398429_1_20260223T093608Z.jpg</v>
      </c>
    </row>
    <row r="241" spans="1:13" x14ac:dyDescent="0.25">
      <c r="A241" t="s">
        <v>13</v>
      </c>
      <c r="B241" s="3">
        <v>46076</v>
      </c>
      <c r="C241" s="5">
        <v>0.40694444444444444</v>
      </c>
      <c r="D241" s="1" t="s">
        <v>226</v>
      </c>
      <c r="E241" t="s">
        <v>10566</v>
      </c>
      <c r="F241" t="s">
        <v>586</v>
      </c>
      <c r="H241" t="s">
        <v>2352</v>
      </c>
      <c r="I241" t="s">
        <v>10505</v>
      </c>
      <c r="J241" t="s">
        <v>2395</v>
      </c>
      <c r="K241" t="s">
        <v>10506</v>
      </c>
      <c r="L241" t="s">
        <v>10507</v>
      </c>
      <c r="M241" s="2" t="str">
        <f>HYPERLINK(Таблица3[[#This Row],[RelativePath]])</f>
        <v>6 Площадка 1 общага\826398429_1_20260223T094600Z.jpg</v>
      </c>
    </row>
    <row r="242" spans="1:13" x14ac:dyDescent="0.25">
      <c r="A242" t="s">
        <v>13</v>
      </c>
      <c r="B242" s="3">
        <v>46076</v>
      </c>
      <c r="C242" s="5">
        <v>0.41336805555555556</v>
      </c>
      <c r="D242" s="1" t="s">
        <v>226</v>
      </c>
      <c r="E242" t="s">
        <v>10566</v>
      </c>
      <c r="F242" t="s">
        <v>586</v>
      </c>
      <c r="H242" t="s">
        <v>2352</v>
      </c>
      <c r="I242" t="s">
        <v>10514</v>
      </c>
      <c r="J242" t="s">
        <v>2395</v>
      </c>
      <c r="K242" t="s">
        <v>10515</v>
      </c>
      <c r="L242" t="s">
        <v>10516</v>
      </c>
      <c r="M242" s="2" t="str">
        <f>HYPERLINK(Таблица3[[#This Row],[RelativePath]])</f>
        <v>6 Площадка 1 общага\826398429_1_20260223T095515Z.jpg</v>
      </c>
    </row>
    <row r="243" spans="1:13" x14ac:dyDescent="0.25">
      <c r="A243" t="s">
        <v>13</v>
      </c>
      <c r="B243" s="3">
        <v>46076</v>
      </c>
      <c r="C243" s="5">
        <v>0.41523148148148148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10517</v>
      </c>
      <c r="J243" t="s">
        <v>2395</v>
      </c>
      <c r="K243" t="s">
        <v>10518</v>
      </c>
      <c r="L243" t="s">
        <v>10519</v>
      </c>
      <c r="M243" s="2" t="str">
        <f>HYPERLINK(Таблица3[[#This Row],[RelativePath]])</f>
        <v>6 Площадка 1 общага\826398429_1_20260223T095756Z.jpg</v>
      </c>
    </row>
    <row r="244" spans="1:13" x14ac:dyDescent="0.25">
      <c r="A244" t="s">
        <v>13</v>
      </c>
      <c r="B244" s="3">
        <v>46076</v>
      </c>
      <c r="C244" s="5">
        <v>0.40980324074074076</v>
      </c>
      <c r="D244" s="1" t="s">
        <v>226</v>
      </c>
      <c r="E244" t="s">
        <v>10566</v>
      </c>
      <c r="F244" t="s">
        <v>586</v>
      </c>
      <c r="H244" t="s">
        <v>2352</v>
      </c>
      <c r="I244" t="s">
        <v>10508</v>
      </c>
      <c r="J244" t="s">
        <v>2395</v>
      </c>
      <c r="K244" t="s">
        <v>10509</v>
      </c>
      <c r="L244" t="s">
        <v>10510</v>
      </c>
      <c r="M244" s="2" t="str">
        <f>HYPERLINK(Таблица3[[#This Row],[RelativePath]])</f>
        <v>6 Площадка 1 общага\826398429_1_20260223T095007Z.jpg</v>
      </c>
    </row>
    <row r="245" spans="1:13" x14ac:dyDescent="0.25">
      <c r="A245" t="s">
        <v>13</v>
      </c>
      <c r="B245" s="3">
        <v>46076</v>
      </c>
      <c r="C245" s="5">
        <v>0.41170138888888891</v>
      </c>
      <c r="D245" s="1" t="s">
        <v>226</v>
      </c>
      <c r="E245" t="s">
        <v>10566</v>
      </c>
      <c r="F245" t="s">
        <v>586</v>
      </c>
      <c r="H245" t="s">
        <v>2352</v>
      </c>
      <c r="I245" t="s">
        <v>10511</v>
      </c>
      <c r="J245" t="s">
        <v>2395</v>
      </c>
      <c r="K245" t="s">
        <v>10512</v>
      </c>
      <c r="L245" t="s">
        <v>10513</v>
      </c>
      <c r="M245" s="2" t="str">
        <f>HYPERLINK(Таблица3[[#This Row],[RelativePath]])</f>
        <v>6 Площадка 1 общага\826398429_1_20260223T095251Z.jpg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0.34070601851851851</v>
      </c>
      <c r="D247" s="1" t="s">
        <v>226</v>
      </c>
      <c r="I247" t="s">
        <v>10436</v>
      </c>
      <c r="J247" t="s">
        <v>10435</v>
      </c>
      <c r="K247" t="s">
        <v>10437</v>
      </c>
      <c r="L247" t="s">
        <v>10438</v>
      </c>
      <c r="M247" s="2" t="str">
        <f>HYPERLINK(Таблица3[[#This Row],[RelativePath]])</f>
        <v>5 Крыльцо общага\K07156189_22_20260223T081037Z.jpg</v>
      </c>
    </row>
    <row r="248" spans="1:13" x14ac:dyDescent="0.25">
      <c r="A248" t="s">
        <v>13</v>
      </c>
      <c r="B248" s="3">
        <v>46076</v>
      </c>
      <c r="C248" s="5">
        <v>0.35872685185185182</v>
      </c>
      <c r="D248" s="1" t="s">
        <v>226</v>
      </c>
      <c r="E248" t="s">
        <v>10565</v>
      </c>
      <c r="F248" t="s">
        <v>586</v>
      </c>
      <c r="I248" t="s">
        <v>10466</v>
      </c>
      <c r="J248" t="s">
        <v>2395</v>
      </c>
      <c r="K248" t="s">
        <v>10467</v>
      </c>
      <c r="L248" t="s">
        <v>10468</v>
      </c>
      <c r="M248" s="2" t="str">
        <f>HYPERLINK(Таблица3[[#This Row],[RelativePath]])</f>
        <v>6 Площадка 1 общага\826398429_1_20260223T083634Z.jpg</v>
      </c>
    </row>
    <row r="249" spans="1:13" x14ac:dyDescent="0.25">
      <c r="A249" t="s">
        <v>13</v>
      </c>
      <c r="B249" s="3">
        <v>46076</v>
      </c>
      <c r="C249" s="5">
        <v>0.34234953703703702</v>
      </c>
      <c r="D249" s="1" t="s">
        <v>226</v>
      </c>
      <c r="E249" t="s">
        <v>10565</v>
      </c>
      <c r="F249" t="s">
        <v>586</v>
      </c>
      <c r="H249" t="s">
        <v>2352</v>
      </c>
      <c r="I249" t="s">
        <v>10442</v>
      </c>
      <c r="J249" t="s">
        <v>2394</v>
      </c>
      <c r="K249" t="s">
        <v>10443</v>
      </c>
      <c r="L249" t="s">
        <v>10444</v>
      </c>
      <c r="M249" s="2" t="str">
        <f>HYPERLINK(Таблица3[[#This Row],[RelativePath]])</f>
        <v>5 Крыльцо общага\K07156189_22_20260223T081259Z.jpg</v>
      </c>
    </row>
    <row r="250" spans="1:13" x14ac:dyDescent="0.25">
      <c r="A250" t="s">
        <v>13</v>
      </c>
      <c r="B250" s="3">
        <v>46076</v>
      </c>
      <c r="C250" s="5">
        <v>0.34180555555555553</v>
      </c>
      <c r="D250" s="1" t="s">
        <v>226</v>
      </c>
      <c r="E250" t="s">
        <v>10565</v>
      </c>
      <c r="F250" t="s">
        <v>586</v>
      </c>
      <c r="H250" t="s">
        <v>2352</v>
      </c>
      <c r="I250" t="s">
        <v>10439</v>
      </c>
      <c r="J250" t="s">
        <v>2394</v>
      </c>
      <c r="K250" t="s">
        <v>10440</v>
      </c>
      <c r="L250" t="s">
        <v>10441</v>
      </c>
      <c r="M250" s="2" t="str">
        <f>HYPERLINK(Таблица3[[#This Row],[RelativePath]])</f>
        <v>5 Крыльцо общага\K07156189_22_20260223T081212Z.jpg</v>
      </c>
    </row>
    <row r="251" spans="1:13" x14ac:dyDescent="0.25">
      <c r="A251" t="s">
        <v>13</v>
      </c>
      <c r="B251" s="3">
        <v>46076</v>
      </c>
      <c r="C251" s="5">
        <v>0.36371527777777779</v>
      </c>
      <c r="D251" s="1" t="s">
        <v>226</v>
      </c>
      <c r="E251" t="s">
        <v>10565</v>
      </c>
      <c r="F251" t="s">
        <v>586</v>
      </c>
      <c r="H251" t="s">
        <v>2352</v>
      </c>
      <c r="I251" t="s">
        <v>10469</v>
      </c>
      <c r="J251" t="s">
        <v>2395</v>
      </c>
      <c r="K251" t="s">
        <v>10470</v>
      </c>
      <c r="L251" t="s">
        <v>10471</v>
      </c>
      <c r="M251" s="2" t="str">
        <f>HYPERLINK(Таблица3[[#This Row],[RelativePath]])</f>
        <v>6 Площадка 1 общага\826398429_1_20260223T084345Z.jpg</v>
      </c>
    </row>
    <row r="252" spans="1:13" x14ac:dyDescent="0.25">
      <c r="A252" t="s">
        <v>13</v>
      </c>
      <c r="B252" s="3">
        <v>46076</v>
      </c>
      <c r="C252" s="5">
        <v>0.39024305555555555</v>
      </c>
      <c r="D252" s="1" t="s">
        <v>226</v>
      </c>
      <c r="E252" t="s">
        <v>10565</v>
      </c>
      <c r="F252" t="s">
        <v>586</v>
      </c>
      <c r="H252" t="s">
        <v>2352</v>
      </c>
      <c r="I252" t="s">
        <v>10484</v>
      </c>
      <c r="J252" t="s">
        <v>2395</v>
      </c>
      <c r="K252" t="s">
        <v>10485</v>
      </c>
      <c r="L252" t="s">
        <v>10486</v>
      </c>
      <c r="M252" s="2" t="str">
        <f>HYPERLINK(Таблица3[[#This Row],[RelativePath]])</f>
        <v>6 Площадка 1 общага\826398429_1_20260223T092157Z.jpg</v>
      </c>
    </row>
    <row r="253" spans="1:13" x14ac:dyDescent="0.25">
      <c r="A253" t="s">
        <v>13</v>
      </c>
      <c r="B253" s="3">
        <v>46076</v>
      </c>
      <c r="C253" s="5">
        <v>0.39246527777777779</v>
      </c>
      <c r="D253" s="1" t="s">
        <v>226</v>
      </c>
      <c r="E253" t="s">
        <v>10565</v>
      </c>
      <c r="F253" t="s">
        <v>586</v>
      </c>
      <c r="H253" t="s">
        <v>2352</v>
      </c>
      <c r="I253" t="s">
        <v>10487</v>
      </c>
      <c r="J253" t="s">
        <v>2395</v>
      </c>
      <c r="K253" t="s">
        <v>10488</v>
      </c>
      <c r="L253" t="s">
        <v>10489</v>
      </c>
      <c r="M253" s="2" t="str">
        <f>HYPERLINK(Таблица3[[#This Row],[RelativePath]])</f>
        <v>6 Площадка 1 общага\826398429_1_20260223T092509Z.jpg</v>
      </c>
    </row>
    <row r="254" spans="1:13" x14ac:dyDescent="0.25">
      <c r="A254" t="s">
        <v>13</v>
      </c>
      <c r="B254" s="3">
        <v>46076</v>
      </c>
      <c r="C254" s="5">
        <v>0.37709490740740742</v>
      </c>
      <c r="D254" s="1" t="s">
        <v>226</v>
      </c>
      <c r="E254" t="s">
        <v>10566</v>
      </c>
      <c r="F254" t="s">
        <v>586</v>
      </c>
      <c r="I254" t="s">
        <v>10475</v>
      </c>
      <c r="J254" t="s">
        <v>2395</v>
      </c>
      <c r="K254" t="s">
        <v>10476</v>
      </c>
      <c r="L254" t="s">
        <v>10477</v>
      </c>
      <c r="M254" s="2" t="str">
        <f>HYPERLINK(Таблица3[[#This Row],[RelativePath]])</f>
        <v>6 Площадка 1 общага\826398429_1_20260223T090301Z.jpg</v>
      </c>
    </row>
    <row r="255" spans="1:13" x14ac:dyDescent="0.25">
      <c r="A255" t="s">
        <v>13</v>
      </c>
      <c r="B255" s="3">
        <v>46076</v>
      </c>
      <c r="C255" s="5">
        <v>0.37910879629629629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10478</v>
      </c>
      <c r="J255" t="s">
        <v>2395</v>
      </c>
      <c r="K255" t="s">
        <v>10479</v>
      </c>
      <c r="L255" t="s">
        <v>10480</v>
      </c>
      <c r="M255" s="2" t="str">
        <f>HYPERLINK(Таблица3[[#This Row],[RelativePath]])</f>
        <v>6 Площадка 1 общага\826398429_1_20260223T090555Z.jpg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11072</v>
      </c>
      <c r="F256" t="s">
        <v>165</v>
      </c>
      <c r="G256">
        <v>2</v>
      </c>
      <c r="I256" t="s">
        <v>10764</v>
      </c>
      <c r="J256" t="s">
        <v>2396</v>
      </c>
      <c r="K256" t="s">
        <v>10765</v>
      </c>
      <c r="L256" t="s">
        <v>10766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0.48265046296296299</v>
      </c>
      <c r="D257" s="1" t="s">
        <v>226</v>
      </c>
      <c r="E257" t="s">
        <v>11075</v>
      </c>
      <c r="F257" t="s">
        <v>58</v>
      </c>
      <c r="G257">
        <v>2</v>
      </c>
      <c r="I257" t="s">
        <v>10812</v>
      </c>
      <c r="J257" t="s">
        <v>2397</v>
      </c>
      <c r="K257" t="s">
        <v>10813</v>
      </c>
      <c r="L257" t="s">
        <v>10814</v>
      </c>
      <c r="M257" s="2" t="str">
        <f>HYPERLINK(Таблица3[[#This Row],[RelativePath]])</f>
        <v>10 Сушилка навес\GA3948333_6_20260225T113501Z.jpg</v>
      </c>
    </row>
    <row r="258" spans="1:13" x14ac:dyDescent="0.25">
      <c r="A258" t="s">
        <v>15</v>
      </c>
      <c r="B258" s="3">
        <v>46078</v>
      </c>
      <c r="C258" s="5">
        <v>0.4821064814814815</v>
      </c>
      <c r="D258" s="1" t="s">
        <v>226</v>
      </c>
      <c r="E258" t="s">
        <v>11075</v>
      </c>
      <c r="F258" t="s">
        <v>58</v>
      </c>
      <c r="G258">
        <v>1</v>
      </c>
      <c r="I258" t="s">
        <v>10809</v>
      </c>
      <c r="J258" t="s">
        <v>2397</v>
      </c>
      <c r="K258" t="s">
        <v>10810</v>
      </c>
      <c r="L258" t="s">
        <v>10811</v>
      </c>
      <c r="M258" s="2" t="str">
        <f>HYPERLINK(Таблица3[[#This Row],[RelativePath]])</f>
        <v>10 Сушилка навес\GA3948333_6_20260225T113414Z.jpg</v>
      </c>
    </row>
  </sheetData>
  <phoneticPr fontId="2" type="noConversion"/>
  <conditionalFormatting sqref="E259:E280 D2:E258">
    <cfRule type="containsText" dxfId="100" priority="7" operator="containsText" text="Выезд с территории">
      <formula>NOT(ISERROR(SEARCH("Выезд с территории",D2)))</formula>
    </cfRule>
  </conditionalFormatting>
  <conditionalFormatting sqref="D2:D258">
    <cfRule type="containsText" dxfId="9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8">
    <cfRule type="containsText" dxfId="9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80">
    <cfRule type="containsText" dxfId="97" priority="2" operator="containsText" text="Газель базы">
      <formula>NOT(ISERROR(SEARCH("Газель базы",E2)))</formula>
    </cfRule>
    <cfRule type="containsText" dxfId="96" priority="3" operator="containsText" text="Погрузчик базы">
      <formula>NOT(ISERROR(SEARCH("Погрузчик базы",E2)))</formula>
    </cfRule>
  </conditionalFormatting>
  <conditionalFormatting sqref="E2:E280">
    <cfRule type="containsText" dxfId="9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65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12652</v>
      </c>
      <c r="K2" t="s">
        <v>12653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12652</v>
      </c>
      <c r="K3" t="s">
        <v>12654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12652</v>
      </c>
      <c r="K4" t="s">
        <v>12655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12652</v>
      </c>
      <c r="K6" t="s">
        <v>12656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12652</v>
      </c>
      <c r="K7" t="s">
        <v>12657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12652</v>
      </c>
      <c r="K8" t="s">
        <v>12658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12652</v>
      </c>
      <c r="K9" t="s">
        <v>12659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12652</v>
      </c>
      <c r="K10" t="s">
        <v>12660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12652</v>
      </c>
      <c r="K11" t="s">
        <v>12661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12652</v>
      </c>
      <c r="K12" t="s">
        <v>12662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12652</v>
      </c>
      <c r="K13" t="s">
        <v>12663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12652</v>
      </c>
      <c r="K14" t="s">
        <v>12664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12652</v>
      </c>
      <c r="K15" t="s">
        <v>12665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12652</v>
      </c>
      <c r="K16" t="s">
        <v>12666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12652</v>
      </c>
      <c r="K17" t="s">
        <v>12667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12652</v>
      </c>
      <c r="K18" t="s">
        <v>12668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12652</v>
      </c>
      <c r="K19" t="s">
        <v>12669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12652</v>
      </c>
      <c r="K20" t="s">
        <v>12670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12652</v>
      </c>
      <c r="K21" t="s">
        <v>12671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12652</v>
      </c>
      <c r="K22" t="s">
        <v>12672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12652</v>
      </c>
      <c r="K23" t="s">
        <v>12673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12652</v>
      </c>
      <c r="K24" t="s">
        <v>12674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12652</v>
      </c>
      <c r="K25" t="s">
        <v>12675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12652</v>
      </c>
      <c r="K26" t="s">
        <v>12676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12652</v>
      </c>
      <c r="K27" t="s">
        <v>12677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12652</v>
      </c>
      <c r="K28" t="s">
        <v>12678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12652</v>
      </c>
      <c r="K29" t="s">
        <v>12679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12652</v>
      </c>
      <c r="K30" t="s">
        <v>12680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12652</v>
      </c>
      <c r="K31" t="s">
        <v>12681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12652</v>
      </c>
      <c r="K32" t="s">
        <v>12682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12652</v>
      </c>
      <c r="K33" t="s">
        <v>12683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12652</v>
      </c>
      <c r="K34" t="s">
        <v>12684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12652</v>
      </c>
      <c r="K35" t="s">
        <v>12685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12652</v>
      </c>
      <c r="K36" t="s">
        <v>12686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12652</v>
      </c>
      <c r="K37" t="s">
        <v>12687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12652</v>
      </c>
      <c r="K38" t="s">
        <v>12688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12652</v>
      </c>
      <c r="K39" t="s">
        <v>12689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12652</v>
      </c>
      <c r="K40" t="s">
        <v>12690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12652</v>
      </c>
      <c r="K41" t="s">
        <v>12691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12652</v>
      </c>
      <c r="K42" t="s">
        <v>12692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12652</v>
      </c>
      <c r="K43" t="s">
        <v>12693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12652</v>
      </c>
      <c r="K44" t="s">
        <v>12694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12652</v>
      </c>
      <c r="K45" t="s">
        <v>12695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12652</v>
      </c>
      <c r="K46" t="s">
        <v>12696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12652</v>
      </c>
      <c r="K47" t="s">
        <v>12697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12652</v>
      </c>
      <c r="K48" t="s">
        <v>12698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12652</v>
      </c>
      <c r="K49" t="s">
        <v>12699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12652</v>
      </c>
      <c r="K50" t="s">
        <v>12700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12652</v>
      </c>
      <c r="K51" t="s">
        <v>12701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12652</v>
      </c>
      <c r="K52" t="s">
        <v>12702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12652</v>
      </c>
      <c r="K53" t="s">
        <v>12703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12652</v>
      </c>
      <c r="K54" t="s">
        <v>12704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12652</v>
      </c>
      <c r="K55" t="s">
        <v>12705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12652</v>
      </c>
      <c r="K56" t="s">
        <v>12706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12652</v>
      </c>
      <c r="K57" t="s">
        <v>12707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12652</v>
      </c>
      <c r="K58" t="s">
        <v>12708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12652</v>
      </c>
      <c r="K59" t="s">
        <v>12709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12652</v>
      </c>
      <c r="K60" t="s">
        <v>12710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12652</v>
      </c>
      <c r="K61" t="s">
        <v>12711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12652</v>
      </c>
      <c r="K62" t="s">
        <v>12712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12652</v>
      </c>
      <c r="K63" t="s">
        <v>12713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12652</v>
      </c>
      <c r="K64" t="s">
        <v>12714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12652</v>
      </c>
      <c r="K65" t="s">
        <v>12715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12652</v>
      </c>
      <c r="K66" t="s">
        <v>12716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12652</v>
      </c>
      <c r="K67" t="s">
        <v>12717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12652</v>
      </c>
      <c r="K68" t="s">
        <v>12718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12652</v>
      </c>
      <c r="K69" t="s">
        <v>12719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12652</v>
      </c>
      <c r="K70" t="s">
        <v>12720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12652</v>
      </c>
      <c r="K71" t="s">
        <v>12721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12652</v>
      </c>
      <c r="K72" t="s">
        <v>12722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12652</v>
      </c>
      <c r="K73" t="s">
        <v>12723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12652</v>
      </c>
      <c r="K74" t="s">
        <v>12724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12652</v>
      </c>
      <c r="K75" t="s">
        <v>12725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12652</v>
      </c>
      <c r="K76" t="s">
        <v>12726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12652</v>
      </c>
      <c r="K77" t="s">
        <v>12727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12652</v>
      </c>
      <c r="K78" t="s">
        <v>12728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12652</v>
      </c>
      <c r="K79" t="s">
        <v>12729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12652</v>
      </c>
      <c r="K80" t="s">
        <v>12730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12652</v>
      </c>
      <c r="K81" t="s">
        <v>12731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12652</v>
      </c>
      <c r="K82" t="s">
        <v>12732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12652</v>
      </c>
      <c r="K83" t="s">
        <v>12733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12652</v>
      </c>
      <c r="K84" t="s">
        <v>12734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12652</v>
      </c>
      <c r="K85" t="s">
        <v>12735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12652</v>
      </c>
      <c r="K86" t="s">
        <v>12736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12652</v>
      </c>
      <c r="K87" t="s">
        <v>12737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12652</v>
      </c>
      <c r="K88" t="s">
        <v>12738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12652</v>
      </c>
      <c r="K89" t="s">
        <v>12739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12652</v>
      </c>
      <c r="K90" t="s">
        <v>12740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12652</v>
      </c>
      <c r="K91" t="s">
        <v>12741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12652</v>
      </c>
      <c r="K92" t="s">
        <v>12742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12652</v>
      </c>
      <c r="K93" t="s">
        <v>12743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12652</v>
      </c>
      <c r="K94" t="s">
        <v>12744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12652</v>
      </c>
      <c r="K95" t="s">
        <v>12745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12652</v>
      </c>
      <c r="K96" t="s">
        <v>12746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12652</v>
      </c>
      <c r="K97" t="s">
        <v>12747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12652</v>
      </c>
      <c r="K98" t="s">
        <v>12748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12652</v>
      </c>
      <c r="K99" t="s">
        <v>12749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12652</v>
      </c>
      <c r="K100" t="s">
        <v>12750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12652</v>
      </c>
      <c r="K101" t="s">
        <v>12751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12652</v>
      </c>
      <c r="K102" t="s">
        <v>12752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12652</v>
      </c>
      <c r="K103" t="s">
        <v>12753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12652</v>
      </c>
      <c r="K104" t="s">
        <v>12754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12652</v>
      </c>
      <c r="K105" t="s">
        <v>12755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12652</v>
      </c>
      <c r="K106" t="s">
        <v>12756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12652</v>
      </c>
      <c r="K107" t="s">
        <v>12757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12652</v>
      </c>
      <c r="K108" t="s">
        <v>12758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12652</v>
      </c>
      <c r="K109" t="s">
        <v>12759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12652</v>
      </c>
      <c r="K110" t="s">
        <v>12760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12652</v>
      </c>
      <c r="K111" t="s">
        <v>12761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12652</v>
      </c>
      <c r="K112" t="s">
        <v>12762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12652</v>
      </c>
      <c r="K113" t="s">
        <v>12763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12652</v>
      </c>
      <c r="K114" t="s">
        <v>12764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12652</v>
      </c>
      <c r="K115" t="s">
        <v>12765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12652</v>
      </c>
      <c r="K116" t="s">
        <v>12766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12652</v>
      </c>
      <c r="K117" t="s">
        <v>12767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12652</v>
      </c>
      <c r="K118" t="s">
        <v>12768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12652</v>
      </c>
      <c r="K119" t="s">
        <v>12769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12652</v>
      </c>
      <c r="K120" t="s">
        <v>12770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12652</v>
      </c>
      <c r="K121" t="s">
        <v>12771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12652</v>
      </c>
      <c r="K122" t="s">
        <v>12772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12652</v>
      </c>
      <c r="K123" t="s">
        <v>12773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12652</v>
      </c>
      <c r="K124" t="s">
        <v>12774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12652</v>
      </c>
      <c r="K125" t="s">
        <v>12775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12652</v>
      </c>
      <c r="K126" t="s">
        <v>12776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12652</v>
      </c>
      <c r="K127" t="s">
        <v>12777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12652</v>
      </c>
      <c r="K128" t="s">
        <v>12778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12652</v>
      </c>
      <c r="K129" t="s">
        <v>12779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12652</v>
      </c>
      <c r="K130" t="s">
        <v>12780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12652</v>
      </c>
      <c r="K131" t="s">
        <v>12781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12652</v>
      </c>
      <c r="K132" t="s">
        <v>12782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12652</v>
      </c>
      <c r="K133" t="s">
        <v>12783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12652</v>
      </c>
      <c r="K134" t="s">
        <v>12784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12652</v>
      </c>
      <c r="K135" t="s">
        <v>12785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12652</v>
      </c>
      <c r="K136" t="s">
        <v>12786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12652</v>
      </c>
      <c r="K137" t="s">
        <v>12787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12652</v>
      </c>
      <c r="K138" t="s">
        <v>12788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12652</v>
      </c>
      <c r="K139" t="s">
        <v>12789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12652</v>
      </c>
      <c r="K140" t="s">
        <v>12790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12652</v>
      </c>
      <c r="K141" t="s">
        <v>12791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12652</v>
      </c>
      <c r="K142" t="s">
        <v>12792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11072</v>
      </c>
      <c r="F158" t="s">
        <v>165</v>
      </c>
      <c r="I158" t="s">
        <v>10588</v>
      </c>
      <c r="J158" t="s">
        <v>12652</v>
      </c>
      <c r="K158" t="s">
        <v>12793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11073</v>
      </c>
      <c r="F159" t="s">
        <v>60</v>
      </c>
      <c r="I159" t="s">
        <v>10590</v>
      </c>
      <c r="J159" t="s">
        <v>12652</v>
      </c>
      <c r="K159" t="s">
        <v>12794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11072</v>
      </c>
      <c r="I160" t="s">
        <v>10584</v>
      </c>
      <c r="J160" t="s">
        <v>12652</v>
      </c>
      <c r="K160" t="s">
        <v>12795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11071</v>
      </c>
      <c r="F161" t="s">
        <v>4070</v>
      </c>
      <c r="H161" t="s">
        <v>11074</v>
      </c>
      <c r="I161" t="s">
        <v>10586</v>
      </c>
      <c r="J161" t="s">
        <v>12652</v>
      </c>
      <c r="K161" t="s">
        <v>12796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11071</v>
      </c>
      <c r="F162" t="s">
        <v>4070</v>
      </c>
      <c r="I162" t="s">
        <v>10596</v>
      </c>
      <c r="J162" t="s">
        <v>12652</v>
      </c>
      <c r="K162" t="s">
        <v>12797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11075</v>
      </c>
      <c r="F163" t="s">
        <v>58</v>
      </c>
      <c r="G163">
        <v>3</v>
      </c>
      <c r="H163" t="s">
        <v>7461</v>
      </c>
      <c r="I163" t="s">
        <v>10598</v>
      </c>
      <c r="J163" t="s">
        <v>12652</v>
      </c>
      <c r="K163" t="s">
        <v>12798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11071</v>
      </c>
      <c r="F164" t="s">
        <v>4070</v>
      </c>
      <c r="I164" t="s">
        <v>10592</v>
      </c>
      <c r="J164" t="s">
        <v>12652</v>
      </c>
      <c r="K164" t="s">
        <v>12799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11073</v>
      </c>
      <c r="F165" t="s">
        <v>51</v>
      </c>
      <c r="I165" t="s">
        <v>10594</v>
      </c>
      <c r="J165" t="s">
        <v>12652</v>
      </c>
      <c r="K165" t="s">
        <v>12800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</sheetData>
  <conditionalFormatting sqref="E166:E187 D2:E165">
    <cfRule type="containsText" dxfId="92" priority="6" operator="containsText" text="Выезд с территории">
      <formula>NOT(ISERROR(SEARCH("Выезд с территории",D2)))</formula>
    </cfRule>
  </conditionalFormatting>
  <conditionalFormatting sqref="D2:D165">
    <cfRule type="containsText" dxfId="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5">
    <cfRule type="containsText" dxfId="9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87">
    <cfRule type="containsText" dxfId="89" priority="2" operator="containsText" text="Газель базы">
      <formula>NOT(ISERROR(SEARCH("Газель базы",E2)))</formula>
    </cfRule>
    <cfRule type="containsText" dxfId="88" priority="3" operator="containsText" text="Погрузчик базы">
      <formula>NOT(ISERROR(SEARCH("Погрузчик базы",E2)))</formula>
    </cfRule>
  </conditionalFormatting>
  <conditionalFormatting sqref="E2:E187">
    <cfRule type="containsText" dxfId="8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2026-02-27T07:04:09Z</dcterms:modified>
</cp:coreProperties>
</file>