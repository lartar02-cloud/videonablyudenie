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92F83020-AA11-4B15-A795-2CA15500AC2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state="hidden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базу'!$A$1:$L$264</definedName>
    <definedName name="ExternalData_1" localSheetId="9" hidden="1">'10 Въезд ангар'!$A$1:$L$646</definedName>
    <definedName name="ExternalData_1" localSheetId="10" hidden="1">'11 Навес пилмат'!$A$1:$L$317</definedName>
    <definedName name="ExternalData_1" localSheetId="11" hidden="1">'12 Площадка 3 кран'!$A$1:$L$260</definedName>
    <definedName name="ExternalData_1" localSheetId="12" hidden="1">'13 Склад хол'!$A$1:$L$215</definedName>
    <definedName name="ExternalData_1" localSheetId="13" hidden="1">'14 На гаражи'!$A$1:$L$52</definedName>
    <definedName name="ExternalData_1" localSheetId="14" hidden="1">'15 Вход столярка'!$A$1:$L$15</definedName>
    <definedName name="ExternalData_1" localSheetId="15" hidden="1">'16 Столярка'!$A$1:$L$13</definedName>
    <definedName name="ExternalData_1" localSheetId="16" hidden="1">'17 Площадка с навесом'!$A$1:$L$43</definedName>
    <definedName name="ExternalData_1" localSheetId="18" hidden="1">'19 Хронометраж'!$A$1:$L$39</definedName>
    <definedName name="ExternalData_1" localSheetId="1" hidden="1">'2 Поката пилорама'!$A$1:$L$286</definedName>
    <definedName name="ExternalData_1" localSheetId="2" hidden="1">'3 Парковка офиса'!$A$1:$L$167</definedName>
    <definedName name="ExternalData_1" localSheetId="3" hidden="1">'4 Крыльцо офиса'!$A$1:$L$271</definedName>
    <definedName name="ExternalData_1" localSheetId="4" hidden="1">'5 Крыльцо общага'!$A$1:$L$363</definedName>
    <definedName name="ExternalData_1" localSheetId="5" hidden="1">'6 Площадка 1 общага'!$A$1:$L$213</definedName>
    <definedName name="ExternalData_1" localSheetId="6" hidden="1">'7 Площадка 2 бетонщики'!$A$1:$L$332</definedName>
    <definedName name="ExternalData_1" localSheetId="7" hidden="1">'8 Ангар вход'!$A$1:$L$316</definedName>
    <definedName name="ExternalData_1" localSheetId="8" hidden="1">'9 Ангар рейсмус'!$A$1:$L$626</definedName>
    <definedName name="ExternalData_1" localSheetId="19" hidden="1">Загрузка!$A$1:$L$258</definedName>
    <definedName name="ExternalData_1" localSheetId="20" hidden="1">'Стороний транспорт'!$A$1:$L$168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2" i="43"/>
  <c r="M3" i="43"/>
  <c r="M4" i="43"/>
  <c r="M5" i="43"/>
  <c r="M6" i="43"/>
  <c r="M7" i="43"/>
  <c r="M8" i="43"/>
  <c r="M9" i="43"/>
  <c r="M10" i="43"/>
  <c r="M11" i="43"/>
  <c r="M12" i="43"/>
  <c r="M13" i="43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<sst xmlns="http://schemas.openxmlformats.org/spreadsheetml/2006/main" count="57486" uniqueCount="14079">
  <si>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</si>
  <si>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</si>
  <si>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</si>
  <si>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</si>
  <si>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</si>
  <si>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</si>
  <si>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</si>
  <si>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</si>
  <si>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</si>
  <si>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</si>
  <si>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</si>
  <si>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</si>
  <si>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</si>
  <si>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</si>
  <si>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</si>
  <si>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</si>
  <si>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</si>
  <si>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</si>
  <si>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</si>
  <si>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</si>
  <si>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</si>
  <si>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</si>
  <si>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</si>
  <si>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</si>
  <si>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</si>
  <si>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</si>
  <si>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</si>
  <si>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</si>
  <si>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</si>
  <si>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</si>
  <si>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</si>
  <si>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</si>
  <si>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</si>
  <si>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</si>
  <si>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</si>
  <si>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</si>
  <si>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</si>
  <si>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</si>
  <si>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</si>
  <si>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</si>
  <si>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</si>
  <si>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</si>
  <si>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</si>
  <si>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</si>
  <si>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</si>
  <si>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</si>
  <si>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</si>
  <si>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</si>
  <si>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</si>
  <si>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</si>
  <si>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</si>
  <si>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</si>
  <si>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</si>
  <si>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</si>
  <si>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</si>
  <si>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</si>
  <si>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</si>
  <si>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</si>
  <si>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</si>
  <si>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</si>
  <si>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</si>
  <si>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</si>
  <si>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</si>
  <si>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</si>
  <si>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</si>
  <si>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</si>
  <si>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</si>
  <si>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</si>
  <si>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</si>
  <si>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</si>
  <si>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</si>
  <si>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</si>
  <si>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</si>
  <si>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</si>
  <si>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</si>
  <si>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</si>
  <si>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</si>
  <si>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</si>
  <si>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</si>
  <si>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</si>
  <si>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</si>
  <si>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</si>
  <si>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</si>
  <si>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</si>
  <si>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</si>
  <si>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</si>
  <si>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</si>
  <si>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</si>
  <si>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</si>
  <si>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</si>
  <si>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</si>
  <si>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</si>
  <si>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</si>
  <si>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</si>
  <si>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</si>
  <si>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</si>
  <si>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</si>
  <si>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</si>
  <si>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</si>
  <si>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</si>
  <si>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</si>
  <si>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</si>
  <si>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</si>
  <si>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</si>
  <si>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</si>
  <si>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</si>
  <si>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</si>
  <si>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</si>
  <si>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</si>
  <si>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</si>
  <si>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</si>
  <si>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</si>
  <si>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</si>
  <si>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</si>
  <si>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</si>
  <si>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</si>
  <si>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</si>
  <si>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</si>
  <si>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</si>
  <si>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</si>
  <si>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</si>
  <si>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</si>
  <si>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</si>
  <si>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</si>
  <si>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</si>
  <si>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</si>
  <si>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</si>
  <si>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</si>
  <si>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</si>
  <si>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</si>
  <si>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</si>
  <si>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</si>
  <si>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</si>
  <si>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</si>
  <si>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</si>
  <si>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</si>
  <si>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</si>
  <si>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</si>
  <si>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</si>
  <si>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</si>
  <si>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</si>
  <si>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</si>
  <si>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</si>
  <si>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</si>
  <si>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</si>
  <si>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</si>
  <si>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</si>
  <si>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</si>
  <si>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</si>
  <si>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</si>
  <si>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</si>
  <si>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</si>
  <si>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</si>
  <si>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</si>
  <si>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</si>
  <si>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</si>
  <si>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</si>
  <si>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</si>
  <si>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</si>
  <si>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</si>
  <si>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</si>
  <si>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</si>
  <si>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</si>
  <si>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</si>
  <si>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</si>
  <si>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</si>
  <si>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</si>
  <si>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</si>
  <si>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</si>
  <si>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</si>
  <si>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</si>
  <si>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</si>
  <si>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</si>
  <si>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</si>
  <si>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</si>
  <si>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</si>
  <si>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</si>
  <si>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</si>
  <si>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</si>
  <si>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</si>
  <si>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</si>
  <si>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</si>
  <si>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</si>
  <si>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</si>
  <si>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</si>
  <si>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</si>
  <si>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</si>
  <si>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</si>
  <si>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</si>
  <si>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</si>
  <si>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</si>
  <si>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</si>
  <si>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</si>
  <si>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</si>
  <si>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</si>
  <si>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</si>
  <si>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</si>
  <si>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</si>
  <si>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</si>
  <si>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</si>
  <si>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</si>
  <si>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</si>
  <si>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</si>
  <si>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</si>
  <si>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</si>
  <si>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</si>
  <si>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</si>
  <si>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</si>
  <si>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</si>
  <si>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</si>
  <si>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</si>
  <si>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</si>
  <si>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</si>
  <si>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</si>
  <si>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</si>
  <si>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</si>
  <si>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</si>
  <si>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</si>
  <si>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</si>
  <si>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</si>
  <si>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</si>
  <si>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</si>
  <si>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</si>
  <si>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</si>
  <si>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</si>
  <si>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</si>
  <si>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</si>
  <si>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</si>
  <si>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</si>
  <si>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</si>
  <si>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</si>
  <si>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</si>
  <si>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</si>
  <si>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</si>
  <si>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</si>
  <si>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</si>
  <si>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</si>
  <si>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</si>
  <si>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</si>
  <si>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</si>
  <si>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</si>
  <si>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</si>
  <si>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</si>
  <si>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</si>
  <si>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</si>
  <si>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</si>
  <si>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</si>
  <si>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</si>
  <si>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</si>
  <si>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</si>
  <si>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</si>
  <si>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</si>
  <si>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</si>
  <si>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</si>
  <si>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</si>
  <si>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</si>
  <si>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</si>
  <si>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</si>
  <si>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</si>
  <si>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</si>
  <si>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</si>
  <si>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</si>
  <si>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</si>
  <si>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</si>
  <si>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</si>
  <si>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</si>
  <si>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</si>
  <si>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</si>
  <si>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</si>
  <si>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</si>
  <si>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</si>
  <si>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</si>
  <si>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</si>
  <si>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</si>
  <si>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</si>
  <si>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</si>
  <si>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</si>
  <si>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</si>
  <si>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</si>
  <si>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</si>
  <si>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</si>
  <si>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</si>
  <si>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</si>
  <si>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</si>
  <si>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</si>
  <si>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</si>
  <si>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</si>
  <si>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</si>
  <si>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</si>
  <si>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</si>
  <si>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</si>
  <si>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</si>
  <si>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</si>
  <si>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</si>
  <si>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</si>
  <si>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</si>
  <si>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</si>
  <si>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</si>
  <si>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</si>
  <si>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</si>
  <si>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</si>
  <si>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</si>
  <si>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</si>
  <si>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</si>
  <si>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</si>
  <si>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</si>
  <si>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</si>
  <si>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</si>
  <si>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</si>
  <si>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</si>
  <si>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</si>
  <si>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</si>
  <si>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</si>
  <si>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</si>
  <si>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</si>
  <si>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</si>
  <si>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</si>
  <si>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</si>
  <si>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</si>
  <si>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</si>
  <si>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</si>
  <si>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</si>
  <si>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</si>
  <si>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</si>
  <si>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</si>
  <si>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</si>
  <si>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</si>
  <si>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</si>
  <si>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</si>
  <si>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</si>
  <si>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</si>
  <si>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</si>
  <si>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</si>
  <si>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</si>
  <si>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</si>
  <si>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</si>
  <si>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</si>
  <si>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</si>
  <si>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</si>
  <si>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</si>
  <si>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</si>
  <si>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</si>
  <si>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</si>
  <si>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</si>
  <si>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</si>
  <si>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</si>
  <si>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</si>
  <si>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</si>
  <si>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</si>
  <si>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</si>
  <si>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</si>
  <si>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</si>
  <si>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</si>
  <si>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</si>
  <si>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</si>
  <si>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</si>
  <si>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</si>
  <si>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</si>
  <si>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</si>
  <si>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</si>
  <si>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</si>
  <si>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</si>
  <si>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</si>
  <si>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</si>
  <si>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</si>
  <si>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</si>
  <si>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</si>
  <si>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</si>
  <si>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</si>
  <si>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</si>
  <si>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</si>
  <si>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</si>
  <si>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</si>
  <si>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</si>
  <si>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</si>
  <si>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</si>
  <si>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</si>
  <si>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</si>
  <si>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</si>
  <si>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</si>
  <si>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</si>
  <si>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</si>
  <si>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</si>
  <si>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</si>
  <si>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</si>
  <si>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</si>
  <si>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</si>
  <si>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</si>
  <si>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</si>
  <si>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</si>
  <si>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</si>
  <si>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</si>
  <si>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</si>
  <si>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</si>
  <si>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</si>
  <si>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</si>
  <si>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</si>
  <si>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</si>
  <si>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</si>
  <si>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</si>
  <si>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</si>
  <si>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</si>
  <si>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</si>
  <si>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</si>
  <si>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</si>
  <si>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</si>
  <si>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</si>
  <si>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</si>
  <si>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</si>
  <si>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</si>
  <si>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</si>
  <si>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</si>
  <si>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</si>
  <si>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</si>
  <si>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</si>
  <si>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</si>
  <si>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</si>
  <si>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</si>
  <si>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</si>
  <si>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</si>
  <si>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</si>
  <si>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</si>
  <si>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</si>
  <si>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</si>
  <si>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</si>
  <si>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</si>
  <si>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</si>
  <si>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</si>
  <si>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</si>
  <si>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</si>
  <si>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</si>
  <si>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</si>
  <si>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</si>
  <si>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</si>
  <si>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</si>
  <si>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</si>
  <si>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</si>
  <si>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</si>
  <si>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</si>
  <si>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</si>
  <si>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</si>
  <si>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</si>
  <si>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</si>
  <si>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</si>
  <si>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</si>
  <si>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</si>
  <si>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</si>
  <si>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</si>
  <si>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</si>
  <si>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</si>
  <si>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</si>
  <si>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</si>
  <si>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</si>
  <si>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</si>
  <si>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</si>
  <si>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</si>
  <si>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</si>
  <si>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</si>
  <si>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</si>
  <si>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</si>
  <si>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</si>
  <si>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</si>
  <si>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</si>
  <si>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</si>
  <si>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</si>
  <si>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</si>
  <si>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</si>
  <si>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</si>
  <si>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</si>
  <si>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</si>
  <si>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</si>
  <si>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</si>
  <si>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</si>
  <si>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</si>
  <si>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</si>
  <si>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</si>
  <si>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</si>
  <si>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</si>
  <si>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</si>
  <si>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</si>
  <si>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</si>
  <si>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</si>
  <si>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</si>
  <si>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</si>
  <si>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</si>
  <si>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</si>
  <si>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</si>
  <si>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</si>
  <si>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</si>
  <si>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</si>
  <si>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</si>
  <si>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</si>
  <si>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</si>
  <si>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</si>
  <si>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</si>
  <si>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</si>
  <si>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</si>
  <si>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</si>
  <si>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</si>
  <si>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</si>
  <si>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</si>
  <si>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</si>
  <si>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</si>
  <si>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</si>
  <si>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</si>
  <si>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</si>
  <si>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</si>
  <si>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</si>
  <si>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</si>
  <si>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</si>
  <si>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</si>
  <si>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</si>
  <si>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</si>
  <si>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</si>
  <si>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</si>
  <si>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</si>
  <si>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</si>
  <si>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</si>
  <si>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</si>
  <si>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</si>
  <si>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</si>
  <si>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</si>
  <si>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</si>
  <si>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</si>
  <si>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</si>
  <si>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</si>
  <si>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</si>
  <si>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</si>
  <si>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</si>
  <si>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</si>
  <si>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</si>
  <si>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</si>
  <si>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</si>
  <si>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</si>
  <si>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</si>
  <si>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</si>
  <si>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</si>
  <si>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</si>
  <si>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</si>
  <si>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</si>
  <si>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</si>
  <si>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</si>
  <si>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</si>
  <si>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</si>
  <si>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</si>
  <si>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</si>
  <si>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</si>
  <si>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</si>
  <si>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</si>
  <si>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</si>
  <si>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</si>
  <si>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</si>
  <si>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</si>
  <si>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</si>
  <si>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</si>
  <si>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</si>
  <si>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</si>
  <si>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</si>
  <si>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</si>
  <si>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</si>
  <si>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</si>
  <si>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</si>
  <si>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</si>
  <si>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</si>
  <si>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</si>
  <si>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</si>
  <si>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</si>
  <si>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</si>
  <si>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</si>
  <si>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</si>
  <si>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</si>
  <si>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</si>
  <si>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</si>
  <si>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</si>
  <si>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</si>
  <si>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</si>
  <si>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</si>
  <si>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</si>
  <si>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</si>
  <si>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</si>
  <si>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</si>
  <si>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</si>
  <si>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</si>
  <si>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</si>
  <si>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</si>
  <si>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</si>
  <si>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</si>
  <si>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</si>
  <si>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</si>
  <si>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</si>
  <si>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</si>
  <si>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</si>
  <si>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</si>
  <si>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</si>
  <si>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</si>
  <si>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</si>
  <si>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</si>
  <si>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</si>
  <si>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</si>
  <si>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</si>
  <si>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</si>
  <si>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</si>
  <si>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</si>
  <si>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</si>
  <si>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</si>
  <si>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</si>
  <si>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</si>
  <si>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</si>
  <si>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</si>
  <si>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</si>
  <si>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</si>
  <si>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</si>
  <si>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</si>
  <si>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</si>
  <si>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</si>
  <si>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</si>
  <si>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</si>
  <si>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</si>
  <si>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</si>
  <si>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</si>
  <si>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</si>
  <si>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</si>
  <si>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</si>
  <si>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</si>
  <si>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</si>
  <si>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</si>
  <si>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</si>
  <si>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</si>
  <si>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</si>
  <si>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</si>
  <si>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</si>
  <si>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</si>
  <si>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</si>
  <si>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</si>
  <si>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</si>
  <si>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</si>
  <si>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</si>
  <si>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</si>
  <si>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</si>
  <si>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</si>
  <si>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</si>
  <si>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</si>
  <si>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</si>
  <si>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</si>
  <si>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</si>
  <si>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</si>
  <si>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</si>
  <si>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</si>
  <si>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</si>
  <si>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</si>
  <si>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</si>
  <si>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</si>
  <si>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</si>
  <si>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</si>
  <si>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</si>
  <si>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</si>
  <si>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</si>
  <si>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</si>
  <si>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</si>
  <si>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</si>
  <si>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</si>
  <si>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</si>
  <si>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</si>
  <si>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</si>
  <si>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</si>
  <si>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</si>
  <si>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</si>
  <si>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</si>
  <si>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</si>
  <si>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</si>
  <si>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</si>
  <si>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</si>
  <si>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</si>
  <si>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</si>
  <si>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</si>
  <si>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</si>
  <si>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</si>
  <si>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</si>
  <si>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</si>
  <si>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</si>
  <si>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</si>
  <si>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</si>
  <si>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</si>
  <si>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</si>
  <si>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</si>
  <si>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</si>
  <si>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</si>
  <si>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</si>
  <si>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</si>
  <si>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</si>
  <si>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</si>
  <si>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</si>
  <si>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</si>
  <si>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</si>
  <si>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</si>
  <si>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</si>
  <si>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</si>
  <si>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</si>
  <si>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</si>
  <si>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</si>
  <si>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</si>
  <si>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</si>
  <si>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</si>
  <si>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</si>
  <si>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</si>
  <si>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</si>
  <si>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</si>
  <si>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</si>
  <si>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</si>
  <si>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</si>
  <si>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</si>
  <si>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</si>
  <si>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</si>
  <si>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</si>
  <si>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</si>
  <si>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</si>
  <si>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</si>
  <si>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</si>
  <si>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</si>
  <si>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</si>
  <si>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</si>
  <si>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</si>
  <si>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</si>
  <si>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</si>
  <si>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</si>
  <si>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</si>
  <si>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</si>
  <si>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</si>
  <si>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</si>
  <si>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</si>
  <si>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</si>
  <si>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</si>
  <si>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</si>
  <si>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</si>
  <si>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</si>
  <si>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</si>
  <si>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</si>
  <si>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</si>
  <si>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</si>
  <si>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</si>
  <si>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</si>
  <si>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</si>
  <si>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</si>
  <si>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</si>
  <si>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</si>
  <si>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</si>
  <si>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</si>
  <si>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</si>
  <si>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</si>
  <si>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</si>
  <si>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</si>
  <si>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</si>
  <si>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</si>
  <si>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</si>
  <si>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</si>
  <si>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</si>
  <si>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</si>
  <si>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</si>
  <si>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</si>
  <si>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</si>
  <si>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</si>
  <si>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</si>
  <si>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</si>
  <si>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</si>
  <si>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</si>
  <si>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</si>
  <si>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</si>
  <si>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</si>
  <si>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</si>
  <si>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</si>
  <si>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</si>
  <si>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</si>
  <si>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</si>
  <si>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</si>
  <si>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</si>
  <si>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</si>
  <si>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</si>
  <si>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</si>
  <si>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</si>
  <si>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</si>
  <si>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</si>
  <si>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</si>
  <si>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</si>
  <si>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</si>
  <si>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</si>
  <si>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</si>
  <si>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</si>
  <si>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</si>
  <si>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</si>
  <si>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</si>
  <si>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</si>
  <si>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</si>
  <si>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</si>
  <si>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</si>
  <si>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</si>
  <si>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</si>
  <si>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</si>
  <si>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</si>
  <si>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</si>
  <si>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</si>
  <si>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</si>
  <si>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</si>
  <si>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</si>
  <si>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</si>
  <si>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</si>
  <si>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</si>
  <si>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</si>
  <si>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</si>
  <si>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</si>
  <si>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</si>
  <si>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</si>
  <si>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</si>
  <si>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</si>
  <si>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</si>
  <si>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</si>
  <si>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</si>
  <si>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</si>
  <si>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</si>
  <si>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</si>
  <si>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</si>
  <si>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</si>
  <si>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</si>
  <si>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</si>
  <si>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</si>
  <si>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</si>
  <si>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</si>
  <si>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</si>
  <si>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</si>
  <si>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</si>
  <si>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</si>
  <si>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</si>
  <si>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</si>
  <si>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</si>
  <si>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</si>
  <si>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</si>
  <si>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</si>
  <si>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</si>
  <si>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</si>
  <si>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</si>
  <si>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</si>
  <si>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</si>
  <si>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</si>
  <si>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</si>
  <si>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</si>
  <si>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</si>
  <si>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</si>
  <si>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</si>
  <si>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</si>
  <si>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</si>
  <si>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</si>
  <si>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</si>
  <si>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</si>
  <si>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</si>
  <si>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</si>
  <si>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</si>
  <si>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</si>
  <si>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</si>
  <si>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</si>
  <si>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</si>
  <si>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</si>
  <si>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</si>
  <si>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</si>
  <si>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</si>
  <si>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</si>
  <si>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</si>
  <si>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</si>
  <si>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</si>
  <si>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</si>
  <si>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</si>
  <si>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</si>
  <si>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</si>
  <si>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</si>
  <si>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</si>
  <si>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</si>
  <si>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</si>
  <si>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</si>
  <si>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</si>
  <si>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</si>
  <si>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</si>
  <si>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</si>
  <si>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</si>
  <si>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</si>
  <si>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</si>
  <si>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</si>
  <si>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</si>
  <si>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</si>
  <si>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</si>
  <si>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</si>
  <si>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</si>
  <si>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</si>
  <si>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</si>
  <si>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</si>
  <si>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</si>
  <si>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</si>
  <si>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</si>
  <si>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</si>
  <si>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</si>
  <si>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</si>
  <si>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</si>
  <si>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</si>
  <si>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</si>
  <si>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</si>
  <si>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</si>
  <si>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</si>
  <si>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</si>
  <si>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</si>
  <si>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</si>
  <si>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</si>
  <si>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</si>
  <si>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</si>
  <si>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</si>
  <si>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</si>
  <si>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</si>
  <si>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</si>
  <si>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</si>
  <si>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</si>
  <si>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</si>
  <si>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</si>
  <si>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</si>
  <si>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</si>
  <si>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</si>
  <si>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</si>
  <si>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</si>
  <si>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</si>
  <si>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</si>
  <si>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</si>
  <si>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</si>
  <si>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</si>
  <si>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</si>
  <si>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</si>
  <si>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</si>
  <si>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</si>
  <si>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</si>
  <si>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</si>
  <si>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</si>
  <si>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</si>
  <si>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</si>
  <si>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</si>
  <si>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</si>
  <si>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</si>
  <si>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</si>
  <si>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</si>
  <si>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</si>
  <si>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</si>
  <si>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</si>
  <si>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</si>
  <si>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</si>
  <si>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</si>
  <si>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</si>
  <si>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</si>
  <si>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</si>
  <si>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</si>
  <si>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</si>
  <si>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</si>
  <si>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</si>
  <si>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</si>
  <si>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</si>
  <si>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</si>
  <si>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</si>
  <si>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</si>
  <si>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</si>
  <si>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</si>
  <si>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</si>
  <si>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</si>
  <si>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</si>
  <si>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</si>
  <si>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</si>
  <si>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</si>
  <si>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</si>
  <si>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</si>
  <si>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</si>
  <si>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</si>
  <si>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</si>
  <si>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</si>
  <si>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</si>
  <si>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</si>
  <si>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</si>
  <si>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</si>
  <si>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</si>
  <si>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</si>
  <si>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</si>
  <si>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</si>
  <si>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</si>
  <si>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</si>
  <si>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</si>
  <si>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</si>
  <si>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</si>
  <si>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</si>
  <si>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</si>
  <si>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</si>
  <si>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</si>
  <si>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</si>
  <si>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</si>
  <si>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</si>
  <si>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</si>
  <si>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</si>
  <si>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</si>
  <si>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</si>
  <si>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</si>
  <si>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</si>
  <si>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</si>
  <si>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</si>
  <si>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</si>
  <si>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</si>
  <si>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</si>
  <si>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</si>
  <si>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</si>
  <si>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</si>
  <si>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</si>
  <si>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</si>
  <si>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</si>
  <si>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</si>
  <si>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</si>
  <si>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</si>
  <si>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</si>
  <si>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</si>
  <si>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</si>
  <si>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</si>
  <si>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</si>
  <si>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</si>
  <si>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</si>
  <si>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</si>
  <si>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</si>
  <si>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</si>
  <si>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</si>
  <si>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</si>
  <si>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</si>
  <si>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</si>
  <si>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</si>
  <si>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</si>
  <si>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</si>
  <si>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</si>
  <si>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</si>
  <si>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</si>
  <si>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</si>
  <si>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</si>
  <si>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</si>
  <si>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</si>
  <si>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</si>
  <si>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</si>
  <si>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</si>
  <si>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</si>
  <si>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</si>
  <si>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</si>
  <si>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</si>
  <si>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</si>
  <si>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</si>
  <si>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</si>
  <si>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</si>
  <si>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</si>
  <si>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</si>
  <si>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</si>
  <si>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</si>
  <si>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</si>
  <si>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</si>
  <si>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</si>
  <si>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</si>
  <si>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</si>
  <si>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</si>
  <si>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</si>
  <si>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</si>
  <si>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</si>
  <si>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</si>
  <si>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</si>
  <si>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</si>
  <si>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</si>
  <si>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</si>
  <si>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</si>
  <si>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</si>
  <si>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</si>
  <si>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</si>
  <si>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</si>
  <si>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</si>
  <si>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</si>
  <si>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</si>
  <si>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</si>
  <si>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</si>
  <si>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</si>
  <si>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</si>
  <si>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</si>
  <si>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</si>
  <si>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</si>
  <si>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</si>
  <si>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</si>
  <si>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</si>
  <si>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</si>
  <si>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</si>
  <si>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</si>
  <si>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</si>
  <si>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</si>
  <si>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</si>
  <si>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</si>
  <si>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</si>
  <si>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</si>
  <si>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</si>
  <si>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</si>
  <si>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</si>
  <si>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</si>
  <si>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</si>
  <si>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</si>
  <si>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</si>
  <si>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</si>
  <si>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</si>
  <si>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</si>
  <si>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</si>
  <si>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</si>
  <si>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</si>
  <si>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</si>
  <si>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</si>
  <si>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</si>
  <si>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</si>
  <si>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</si>
  <si>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</si>
  <si>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</si>
  <si>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</si>
  <si>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</si>
  <si>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</si>
  <si>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</si>
  <si>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</si>
  <si>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</si>
  <si>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</si>
  <si>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</si>
  <si>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</si>
  <si>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</si>
  <si>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</si>
  <si>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</si>
  <si>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</si>
  <si>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</si>
  <si>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</si>
  <si>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</si>
  <si>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</si>
  <si>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</si>
  <si>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</si>
  <si>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</si>
  <si>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</si>
  <si>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</si>
  <si>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</si>
  <si>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</si>
  <si>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</si>
  <si>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</si>
  <si>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</si>
  <si>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</si>
  <si>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</si>
  <si>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</si>
  <si>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</si>
  <si>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</si>
  <si>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</si>
  <si>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</si>
  <si>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</si>
  <si>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</si>
  <si>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</si>
  <si>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</si>
  <si>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</si>
  <si>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</si>
  <si>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</si>
  <si>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</si>
  <si>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</si>
  <si>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</si>
  <si>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</si>
  <si>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</si>
  <si>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</si>
  <si>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</si>
  <si>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</si>
  <si>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</si>
  <si>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</si>
  <si>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</si>
  <si>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</si>
  <si>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</si>
  <si>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</si>
  <si>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</si>
  <si>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</si>
  <si>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</si>
  <si>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</si>
  <si>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</si>
  <si>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</si>
  <si>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</si>
  <si>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</si>
  <si>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</si>
  <si>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</si>
  <si>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</si>
  <si>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</si>
  <si>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</si>
  <si>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</si>
  <si>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</si>
  <si>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</si>
  <si>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</si>
  <si>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</si>
  <si>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</si>
  <si>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</si>
  <si>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</si>
  <si>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</si>
  <si>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</si>
  <si>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</si>
  <si>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</si>
  <si>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</si>
  <si>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</si>
  <si>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</si>
  <si>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</si>
  <si>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</si>
  <si>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</si>
  <si>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</si>
  <si>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</si>
  <si>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</si>
  <si>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</si>
  <si>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</si>
  <si>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</si>
  <si>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</si>
  <si>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</si>
  <si>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</si>
  <si>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</si>
  <si>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</si>
  <si>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</si>
  <si>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</si>
  <si>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</si>
  <si>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</si>
  <si>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</si>
  <si>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</si>
  <si>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</si>
  <si>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</si>
  <si>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</si>
  <si>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</si>
  <si>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</si>
  <si>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</si>
  <si>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</si>
  <si>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</si>
  <si>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</si>
  <si>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</si>
  <si>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</si>
  <si>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</si>
  <si>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</si>
  <si>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</si>
  <si>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</si>
  <si>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</si>
  <si>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</si>
  <si>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</si>
  <si>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</si>
  <si>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</si>
  <si>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</si>
  <si>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</si>
  <si>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</si>
  <si>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</si>
  <si>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</si>
  <si>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</si>
  <si>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</si>
  <si>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</si>
  <si>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</si>
  <si>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</si>
  <si>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</si>
  <si>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</si>
  <si>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</si>
  <si>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</si>
  <si>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</si>
  <si>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</si>
  <si>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</si>
  <si>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</si>
  <si>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</si>
  <si>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</si>
  <si>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</si>
  <si>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</si>
  <si>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</si>
  <si>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</si>
  <si>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</si>
  <si>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</si>
  <si>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</si>
  <si>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</si>
  <si>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</si>
  <si>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</si>
  <si>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</si>
  <si>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</si>
  <si>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</si>
  <si>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</si>
  <si>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</si>
  <si>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</si>
  <si>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</si>
  <si>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</si>
  <si>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</si>
  <si>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</si>
  <si>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</si>
  <si>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</si>
  <si>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</si>
  <si>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</si>
  <si>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</si>
  <si>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</si>
  <si>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</si>
  <si>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</si>
  <si>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</si>
  <si>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</si>
  <si>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</si>
  <si>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</si>
  <si>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</si>
  <si>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</si>
  <si>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</si>
  <si>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</si>
  <si>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</si>
  <si>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</si>
  <si>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</si>
  <si>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</si>
  <si>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</si>
  <si>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</si>
  <si>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</si>
  <si>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</si>
  <si>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</si>
  <si>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</si>
  <si>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</si>
  <si>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</si>
  <si>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</si>
  <si>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</si>
  <si>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</si>
  <si>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</si>
  <si>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</si>
  <si>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</si>
  <si>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</si>
  <si>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</si>
  <si>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</si>
  <si>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</si>
  <si>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</si>
  <si>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</si>
  <si>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</si>
  <si>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</si>
  <si>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</si>
  <si>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</si>
  <si>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</si>
  <si>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</si>
  <si>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</si>
  <si>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</si>
  <si>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</si>
  <si>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</si>
  <si>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</si>
  <si>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</si>
  <si>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</si>
  <si>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</si>
  <si>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</si>
  <si>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</si>
  <si>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</si>
  <si>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</si>
  <si>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</si>
  <si>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</si>
  <si>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</si>
  <si>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</si>
  <si>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</si>
  <si>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</si>
  <si>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</si>
  <si>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</si>
  <si>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</si>
  <si>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</si>
  <si>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</si>
  <si>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</si>
  <si>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</si>
  <si>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</si>
  <si>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</si>
  <si>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</si>
  <si>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</si>
  <si>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</si>
  <si>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</si>
  <si>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</si>
  <si>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</si>
  <si>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</si>
  <si>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</si>
  <si>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</si>
  <si>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</si>
  <si>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</si>
  <si>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</si>
  <si>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</si>
  <si>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</si>
  <si>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</si>
  <si>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</si>
  <si>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</si>
  <si>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</si>
  <si>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</si>
  <si>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</si>
  <si>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</si>
  <si>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</si>
  <si>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</si>
  <si>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</si>
  <si>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</si>
  <si>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</si>
  <si>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</si>
  <si>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</si>
  <si>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</si>
  <si>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</si>
  <si>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</si>
  <si>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</si>
  <si>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</si>
  <si>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</si>
  <si>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</si>
  <si>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</si>
  <si>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</si>
  <si>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</si>
  <si>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</si>
  <si>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</si>
  <si>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</si>
  <si>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</si>
  <si>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</si>
  <si>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</si>
  <si>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</si>
  <si>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</si>
  <si>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</si>
  <si>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</si>
  <si>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</si>
  <si>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</si>
  <si>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</si>
  <si>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</si>
  <si>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</si>
  <si>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</si>
  <si>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</si>
  <si>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</si>
  <si>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</si>
  <si>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</si>
  <si>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</si>
  <si>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</si>
  <si>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</si>
  <si>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</si>
  <si>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</si>
  <si>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</si>
  <si>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</si>
  <si>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</si>
  <si>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</si>
  <si>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</si>
  <si>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</si>
  <si>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</si>
  <si>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</si>
  <si>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</si>
  <si>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</si>
  <si>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</si>
  <si>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</si>
  <si>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</si>
  <si>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</si>
  <si>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</si>
  <si>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</si>
  <si>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</si>
  <si>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</si>
  <si>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</si>
  <si>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</si>
  <si>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</si>
  <si>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</si>
  <si>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</si>
  <si>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</si>
  <si>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</si>
  <si>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</si>
  <si>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</si>
  <si>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</si>
  <si>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</si>
  <si>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</si>
  <si>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</si>
  <si>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</si>
  <si>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</si>
  <si>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</si>
  <si>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</si>
  <si>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</si>
  <si>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</si>
  <si>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</si>
  <si>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</si>
  <si>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</si>
  <si>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</si>
  <si>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</si>
  <si>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</si>
  <si>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</si>
  <si>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</si>
  <si>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</si>
  <si>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</si>
  <si>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</si>
  <si>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</si>
  <si>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</si>
  <si>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</si>
  <si>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</si>
  <si>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</si>
  <si>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</si>
  <si>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</si>
  <si>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</si>
  <si>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</si>
  <si>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</si>
  <si>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</si>
  <si>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</si>
  <si>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</si>
  <si>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</si>
  <si>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</si>
  <si>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</si>
  <si>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</si>
  <si>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</si>
  <si>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</si>
  <si>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</si>
  <si>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</si>
  <si>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</si>
  <si>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</si>
  <si>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</si>
  <si>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</si>
  <si>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</si>
  <si>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</si>
  <si>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</si>
  <si>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</si>
  <si>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</si>
  <si>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</si>
  <si>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</si>
  <si>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</si>
  <si>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</si>
  <si>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</si>
  <si>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</si>
  <si>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</si>
  <si>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</si>
  <si>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</si>
  <si>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</si>
  <si>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</si>
  <si>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</si>
  <si>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</si>
  <si>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</si>
  <si>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</si>
  <si>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</si>
  <si>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</si>
  <si>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</si>
  <si>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</si>
  <si>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</si>
  <si>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</si>
  <si>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</si>
  <si>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</si>
  <si>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</si>
  <si>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</si>
  <si>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</si>
  <si>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</si>
  <si>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</si>
  <si>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</si>
  <si>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</si>
  <si>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</si>
  <si>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</si>
  <si>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</si>
  <si>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</si>
  <si>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</si>
  <si>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</si>
  <si>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</si>
  <si>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</si>
  <si>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</si>
  <si>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</si>
  <si>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</si>
  <si>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</si>
  <si>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</si>
  <si>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</si>
  <si>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</si>
  <si>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</si>
  <si>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</si>
  <si>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</si>
  <si>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</si>
  <si>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</si>
  <si>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</si>
  <si>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</si>
  <si>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</si>
  <si>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</si>
  <si>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</si>
  <si>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</si>
  <si>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</si>
  <si>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</si>
  <si>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</si>
  <si>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</si>
  <si>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</si>
  <si>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</si>
  <si>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</si>
  <si>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</si>
  <si>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</si>
  <si>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</si>
  <si>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</si>
  <si>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</si>
  <si>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</si>
  <si>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</si>
  <si>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</si>
  <si>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</si>
  <si>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</si>
  <si>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</si>
  <si>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</si>
  <si>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</si>
  <si>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</si>
  <si>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</si>
  <si>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</si>
  <si>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</si>
  <si>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</si>
  <si>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</si>
  <si>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</si>
  <si>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</si>
  <si>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</si>
  <si>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</si>
  <si>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</si>
  <si>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</si>
  <si>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</si>
  <si>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</si>
  <si>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</si>
  <si>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</si>
  <si>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</si>
  <si>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</si>
  <si>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</si>
  <si>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</si>
  <si>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</si>
  <si>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</si>
  <si>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</si>
  <si>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</si>
  <si>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</si>
  <si>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</si>
  <si>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</si>
  <si>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</si>
  <si>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</si>
  <si>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</si>
  <si>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</si>
  <si>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</si>
  <si>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</si>
  <si>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</si>
  <si>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</si>
  <si>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</si>
  <si>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</si>
  <si>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</si>
  <si>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</si>
  <si>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</si>
  <si>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</si>
  <si>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</si>
  <si>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</si>
  <si>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</si>
  <si>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</si>
  <si>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</si>
  <si>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</si>
  <si>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</si>
  <si>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</si>
  <si>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</si>
  <si>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</si>
  <si>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</si>
  <si>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</si>
  <si>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</si>
  <si>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</si>
  <si>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</si>
  <si>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</si>
  <si>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</si>
  <si>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</si>
  <si>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</si>
  <si>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</si>
  <si>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</si>
  <si>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</si>
  <si>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</si>
  <si>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</si>
  <si>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</si>
  <si>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</si>
  <si>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</si>
  <si>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</si>
  <si>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</si>
  <si>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</si>
  <si>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</si>
  <si>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</si>
  <si>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</si>
  <si>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</si>
  <si>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</si>
  <si>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</si>
  <si>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</si>
  <si>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</si>
  <si>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</si>
  <si>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</si>
  <si>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</si>
  <si>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</si>
  <si>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</si>
  <si>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</si>
  <si>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</si>
  <si>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</si>
  <si>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</si>
  <si>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</si>
  <si>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</si>
  <si>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</si>
  <si>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</si>
  <si>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</si>
  <si>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</si>
  <si>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</si>
  <si>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</si>
  <si>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</si>
  <si>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</si>
  <si>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</si>
  <si>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</si>
  <si>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</si>
  <si>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</si>
  <si>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</si>
  <si>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</si>
  <si>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</si>
  <si>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</si>
  <si>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</si>
  <si>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</si>
  <si>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</si>
  <si>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</si>
  <si>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</si>
  <si>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</si>
  <si>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</si>
  <si>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</si>
  <si>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</si>
  <si>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</si>
  <si>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</si>
  <si>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</si>
  <si>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</si>
  <si>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</si>
  <si>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</si>
  <si>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</si>
  <si>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</si>
  <si>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</si>
  <si>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</si>
  <si>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</si>
  <si>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</si>
  <si>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</si>
  <si>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</si>
  <si>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</si>
  <si>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</si>
  <si>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</si>
  <si>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</si>
  <si>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</si>
  <si>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</si>
  <si>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</si>
  <si>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</si>
  <si>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</si>
  <si>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</si>
  <si>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</si>
  <si>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</si>
  <si>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</si>
  <si>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</si>
  <si>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</si>
  <si>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</si>
  <si>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</si>
  <si>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</si>
  <si>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</si>
  <si>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</si>
  <si>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</si>
  <si>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</si>
  <si>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</si>
  <si>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</si>
  <si>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</si>
  <si>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</si>
  <si>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</si>
  <si>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</si>
  <si>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</si>
  <si>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</si>
  <si>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</si>
  <si>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</si>
  <si>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</si>
  <si>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</si>
  <si>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</si>
  <si>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</si>
  <si>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</si>
  <si>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</si>
  <si>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</si>
  <si>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</si>
  <si>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</si>
  <si>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</si>
  <si>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</si>
  <si>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</si>
  <si>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</si>
  <si>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</si>
  <si>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</si>
  <si>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</si>
  <si>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</si>
  <si>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</si>
  <si>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</si>
  <si>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</si>
  <si>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</si>
  <si>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</si>
  <si>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</si>
  <si>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</si>
  <si>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</si>
  <si>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</si>
  <si>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</si>
  <si>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</si>
  <si>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</si>
  <si>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</si>
  <si>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</si>
  <si>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</si>
  <si>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</si>
  <si>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</si>
  <si>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</si>
  <si>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</si>
  <si>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</si>
  <si>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</si>
  <si>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</si>
  <si>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</si>
  <si>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</si>
  <si>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</si>
  <si>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</si>
  <si>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</si>
  <si>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</si>
  <si>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</si>
  <si>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</si>
  <si>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</si>
  <si>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</si>
  <si>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</si>
  <si>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</si>
  <si>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</si>
  <si>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</si>
  <si>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</si>
  <si>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</si>
  <si>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</si>
  <si>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</si>
  <si>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</si>
  <si>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</si>
  <si>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</si>
  <si>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</si>
  <si>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</si>
  <si>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</si>
  <si>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</si>
  <si>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</si>
  <si>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</si>
  <si>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</si>
  <si>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</si>
  <si>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</si>
  <si>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</si>
  <si>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</si>
  <si>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</si>
  <si>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</si>
  <si>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</si>
  <si>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</si>
  <si>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</si>
  <si>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</si>
  <si>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</si>
  <si>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</si>
  <si>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</si>
  <si>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</si>
  <si>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</si>
  <si>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</si>
  <si>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</si>
  <si>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</si>
  <si>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</si>
  <si>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</si>
  <si>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</si>
  <si>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</si>
  <si>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</si>
  <si>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</si>
  <si>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</si>
  <si>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</si>
  <si>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</si>
  <si>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</si>
  <si>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</si>
  <si>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</si>
  <si>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</si>
  <si>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</si>
  <si>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</si>
  <si>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</si>
  <si>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</si>
  <si>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</si>
  <si>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</si>
  <si>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</si>
  <si>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</si>
  <si>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</si>
  <si>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</si>
  <si>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</si>
  <si>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</si>
  <si>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</si>
  <si>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</si>
  <si>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</si>
  <si>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</si>
  <si>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</si>
  <si>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</si>
  <si>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</si>
  <si>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</si>
  <si>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</si>
  <si>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</si>
  <si>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</si>
  <si>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</si>
  <si>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</si>
  <si>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</si>
  <si>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</si>
  <si>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</si>
  <si>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</si>
  <si>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</si>
  <si>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</si>
  <si>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</si>
  <si>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</si>
  <si>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</si>
  <si>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</si>
  <si>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</si>
  <si>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</si>
  <si>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</si>
  <si>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</si>
  <si>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</si>
  <si>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</si>
  <si>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</si>
  <si>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</si>
  <si>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</si>
  <si>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</si>
  <si>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</si>
  <si>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</si>
  <si>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</si>
  <si>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</si>
  <si>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</si>
  <si>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</si>
  <si>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</si>
  <si>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</si>
  <si>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</si>
  <si>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</si>
  <si>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</si>
  <si>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</si>
  <si>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</si>
  <si>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</si>
  <si>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</si>
  <si>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</si>
  <si>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</si>
  <si>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</si>
  <si>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</si>
  <si>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</si>
  <si>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</si>
  <si>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</si>
  <si>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</si>
  <si>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</si>
  <si>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</si>
  <si>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</si>
  <si>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</si>
  <si>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</si>
  <si>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</si>
  <si>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</si>
  <si>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</si>
  <si>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</si>
  <si>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</si>
  <si>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</si>
  <si>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</si>
  <si>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</si>
  <si>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</si>
  <si>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</si>
  <si>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</si>
  <si>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</si>
  <si>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</si>
  <si>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</si>
  <si>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</si>
  <si>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</si>
  <si>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</si>
  <si>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</si>
  <si>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</si>
  <si>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</si>
  <si>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</si>
  <si>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</si>
  <si>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</si>
  <si>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</si>
  <si>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</si>
  <si>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</si>
  <si>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</si>
  <si>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</si>
  <si>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</si>
  <si>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</si>
  <si>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</si>
  <si>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</si>
  <si>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</si>
  <si>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</si>
  <si>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</si>
  <si>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</si>
  <si>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</si>
  <si>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</si>
  <si>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</si>
  <si>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</si>
  <si>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</si>
  <si>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</si>
  <si>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</si>
  <si>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</si>
  <si>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</si>
  <si>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</si>
  <si>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</si>
  <si>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</si>
  <si>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</si>
  <si>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</si>
  <si>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</si>
  <si>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</si>
  <si>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</si>
  <si>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</si>
  <si>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</si>
  <si>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</si>
  <si>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</si>
  <si>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</si>
  <si>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</si>
  <si>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</si>
  <si>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</si>
  <si>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</si>
  <si>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</si>
  <si>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</si>
  <si>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</si>
  <si>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</si>
  <si>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</si>
  <si>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</si>
  <si>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</si>
  <si>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</si>
  <si>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</si>
  <si>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</si>
  <si>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</si>
  <si>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</si>
  <si>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</si>
  <si>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</si>
  <si>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</si>
  <si>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</si>
  <si>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</si>
  <si>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</si>
  <si>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</si>
  <si>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</si>
  <si>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</si>
  <si>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</si>
  <si>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</si>
  <si>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</si>
  <si>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</si>
  <si>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</si>
  <si>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</si>
  <si>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</si>
  <si>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</si>
  <si>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</si>
  <si>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</si>
  <si>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</si>
  <si>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</si>
  <si>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</si>
  <si>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</si>
  <si>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</si>
  <si>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</si>
  <si>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</si>
  <si>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</si>
  <si>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</si>
  <si>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</si>
  <si>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</si>
  <si>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</si>
  <si>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</si>
  <si>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</si>
  <si>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</si>
  <si>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</si>
  <si>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</si>
  <si>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</si>
  <si>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</si>
  <si>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</si>
  <si>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</si>
  <si>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</si>
  <si>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</si>
  <si>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</si>
  <si>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</si>
  <si>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</si>
  <si>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</si>
  <si>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</si>
  <si>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</si>
  <si>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</si>
  <si>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</si>
  <si>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</si>
  <si>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</si>
  <si>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</si>
  <si>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</si>
  <si>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</si>
  <si>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</si>
  <si>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</si>
  <si>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</si>
  <si>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</si>
  <si>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</si>
  <si>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</si>
  <si>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</si>
  <si>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</si>
  <si>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</si>
  <si>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</si>
  <si>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</si>
  <si>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</si>
  <si>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</si>
  <si>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</si>
  <si>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</si>
  <si>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</si>
  <si>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</si>
  <si>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</si>
  <si>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</si>
  <si>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</si>
  <si>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</si>
  <si>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</si>
  <si>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</si>
  <si>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</si>
  <si>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</si>
  <si>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</si>
  <si>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</si>
  <si>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</si>
  <si>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</si>
  <si>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</si>
  <si>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</si>
  <si>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</si>
  <si>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</si>
  <si>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</si>
  <si>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</si>
  <si>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</si>
  <si>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</si>
  <si>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</si>
  <si>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</si>
  <si>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</si>
  <si>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</si>
  <si>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</si>
  <si>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</si>
  <si>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</si>
  <si>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</si>
  <si>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</si>
  <si>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</si>
  <si>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</si>
  <si>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</si>
  <si>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</si>
  <si>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</si>
  <si>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</si>
  <si>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</si>
  <si>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</si>
  <si>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</si>
  <si>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</si>
  <si>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</si>
  <si>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</si>
  <si>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</si>
  <si>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</si>
  <si>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</si>
  <si>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</si>
  <si>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</si>
  <si>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</si>
  <si>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</si>
  <si>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</si>
  <si>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</si>
  <si>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</si>
  <si>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</si>
  <si>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</si>
  <si>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</si>
  <si>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</si>
  <si>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</si>
  <si>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</si>
  <si>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</si>
  <si>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</si>
  <si>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</si>
  <si>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</si>
  <si>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</si>
  <si>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</si>
  <si>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</si>
  <si>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</si>
  <si>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</si>
  <si>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</si>
  <si>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</si>
  <si>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</si>
  <si>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</si>
  <si>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</si>
  <si>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</si>
  <si>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</si>
  <si>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</si>
  <si>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</si>
  <si>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</si>
  <si>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</si>
  <si>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</si>
  <si>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</si>
  <si>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</si>
  <si>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</si>
  <si>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</si>
  <si>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</si>
  <si>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</si>
  <si>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</si>
  <si>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</si>
  <si>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</si>
  <si>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</si>
  <si>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</si>
  <si>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</si>
  <si>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</si>
  <si>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</si>
  <si>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</si>
  <si>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</si>
  <si>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</si>
  <si>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</si>
  <si>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</si>
  <si>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</si>
  <si>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</si>
  <si>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</si>
  <si>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</si>
  <si>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</si>
  <si>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</si>
  <si>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</si>
  <si>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</si>
  <si>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</si>
  <si>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</si>
  <si>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</si>
  <si>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</si>
  <si>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</si>
  <si>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</si>
  <si>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</si>
  <si>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</si>
  <si>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</si>
  <si>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</si>
  <si>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</si>
  <si>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</si>
  <si>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</si>
  <si>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</si>
  <si>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</si>
  <si>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</si>
  <si>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</si>
  <si>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</si>
  <si>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</si>
  <si>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</si>
  <si>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</si>
  <si>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</si>
  <si>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</si>
  <si>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</si>
  <si>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</si>
  <si>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</si>
  <si>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</si>
  <si>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</si>
  <si>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</si>
  <si>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</si>
  <si>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</si>
  <si>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</si>
  <si>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</si>
  <si>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</si>
  <si>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</si>
  <si>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</si>
  <si>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</si>
  <si>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</si>
  <si>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</si>
  <si>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</si>
  <si>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</si>
  <si>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</si>
  <si>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</si>
  <si>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</si>
  <si>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</si>
  <si>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</si>
  <si>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</si>
  <si>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</si>
  <si>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</si>
  <si>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</si>
  <si>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</si>
  <si>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</si>
  <si>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</si>
  <si>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</si>
  <si>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</si>
  <si>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</si>
  <si>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</si>
  <si>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</si>
  <si>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</si>
  <si>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</si>
  <si>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</si>
  <si>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</si>
  <si>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</si>
  <si>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</si>
  <si>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</si>
  <si>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</si>
  <si>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</si>
  <si>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</si>
  <si>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</si>
  <si>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</si>
  <si>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</si>
  <si>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</si>
  <si>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</si>
  <si>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</si>
  <si>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</si>
  <si>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</si>
  <si>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</si>
  <si>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</si>
  <si>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</si>
  <si>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</si>
  <si>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</si>
  <si>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</si>
  <si>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</si>
  <si>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</si>
  <si>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</si>
  <si>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</si>
  <si>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</si>
  <si>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</si>
  <si>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</si>
  <si>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</si>
  <si>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</si>
  <si>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</si>
  <si>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</si>
  <si>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</si>
  <si>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</si>
  <si>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</si>
  <si>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</si>
  <si>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</si>
  <si>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</si>
  <si>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</si>
  <si>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</si>
  <si>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</si>
  <si>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</si>
  <si>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</si>
  <si>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</si>
  <si>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</si>
  <si>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</si>
  <si>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</si>
  <si>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</si>
  <si>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</si>
  <si>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</si>
  <si>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</si>
  <si>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</si>
  <si>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</si>
  <si>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</si>
  <si>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</si>
  <si>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</si>
  <si>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</si>
  <si>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</si>
  <si>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</si>
  <si>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</si>
  <si>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</si>
  <si>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</si>
  <si>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</si>
  <si>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</si>
  <si>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</si>
  <si>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</si>
  <si>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</si>
  <si>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</si>
  <si>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</si>
  <si>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</si>
  <si>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</si>
  <si>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</si>
  <si>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</si>
  <si>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</si>
  <si>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</si>
  <si>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</si>
  <si>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</si>
  <si>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</si>
  <si>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</si>
  <si>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</si>
  <si>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</si>
  <si>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</si>
  <si>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</si>
  <si>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</si>
  <si>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</si>
  <si>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</si>
  <si>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</si>
  <si>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</si>
  <si>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</si>
  <si>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</si>
  <si>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</si>
  <si>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</si>
  <si>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</si>
  <si>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</si>
  <si>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</si>
  <si>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</si>
  <si>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</si>
  <si>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</si>
  <si>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</si>
  <si>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</si>
  <si>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</si>
  <si>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</si>
  <si>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</si>
  <si>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</si>
  <si>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</si>
  <si>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</si>
  <si>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</si>
  <si>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</si>
  <si>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</si>
  <si>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</si>
  <si>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</si>
  <si>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</si>
  <si>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</si>
  <si>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</si>
  <si>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</si>
  <si>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</si>
  <si>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</si>
  <si>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</si>
  <si>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</si>
  <si>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</si>
  <si>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</si>
  <si>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</si>
  <si>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</si>
  <si>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</si>
  <si>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</si>
  <si>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</si>
  <si>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</si>
  <si>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</si>
  <si>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</si>
  <si>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</si>
  <si>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</si>
  <si>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</si>
  <si>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</si>
  <si>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</si>
  <si>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</si>
  <si>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</si>
  <si>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</si>
  <si>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</si>
  <si>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</si>
  <si>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</si>
  <si>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</si>
  <si>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</si>
  <si>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</si>
  <si>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</si>
  <si>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</si>
  <si>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</si>
  <si>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</si>
  <si>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</si>
  <si>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</si>
  <si>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</si>
  <si>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</si>
  <si>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</si>
  <si>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</si>
  <si>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</si>
  <si>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</si>
  <si>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</si>
  <si>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</si>
  <si>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</si>
  <si>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</si>
  <si>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</si>
  <si>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</si>
  <si>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</si>
  <si>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</si>
  <si>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</si>
  <si>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</si>
  <si>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</si>
  <si>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</si>
  <si>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</si>
  <si>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</si>
  <si>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</si>
  <si>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</si>
  <si>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</si>
  <si>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</si>
  <si>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</si>
  <si>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</si>
  <si>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</si>
  <si>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</si>
  <si>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</si>
  <si>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</si>
  <si>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</si>
  <si>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</si>
  <si>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</si>
  <si>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</si>
  <si>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</si>
  <si>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</si>
  <si>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</si>
  <si>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</si>
  <si>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</si>
  <si>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</si>
  <si>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</si>
  <si>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</si>
  <si>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</si>
  <si>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</si>
  <si>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</si>
  <si>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</si>
  <si>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</si>
  <si>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</si>
  <si>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</si>
  <si>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</si>
  <si>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</si>
  <si>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</si>
  <si>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</si>
  <si>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</si>
  <si>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</si>
  <si>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</si>
  <si>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</si>
  <si>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</si>
  <si>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</si>
  <si>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</si>
  <si>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</si>
  <si>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</si>
  <si>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</si>
  <si>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</si>
  <si>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</si>
  <si>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</si>
  <si>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</si>
  <si>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</si>
  <si>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</si>
  <si>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</si>
  <si>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</si>
  <si>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</si>
  <si>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</si>
  <si>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</si>
  <si>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</si>
  <si>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</si>
  <si>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</si>
  <si>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</si>
  <si>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</si>
  <si>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</si>
  <si>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</si>
  <si>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</si>
  <si>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</si>
  <si>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</si>
  <si>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</si>
  <si>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</si>
  <si>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</si>
  <si>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</si>
  <si>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</si>
  <si>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</si>
  <si>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</si>
  <si>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</si>
  <si>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</si>
  <si>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</si>
  <si>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</si>
  <si>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</si>
  <si>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</si>
  <si>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</si>
  <si>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</si>
  <si>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</si>
  <si>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</si>
  <si>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</si>
  <si>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</si>
  <si>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</si>
  <si>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</si>
  <si>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</si>
  <si>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</si>
  <si>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</si>
  <si>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</si>
  <si>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</si>
  <si>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</si>
  <si>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</si>
  <si>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</si>
  <si>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</si>
  <si>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</si>
  <si>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</si>
  <si>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</si>
  <si>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</si>
  <si>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</si>
  <si>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</si>
  <si>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</si>
  <si>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</si>
  <si>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</si>
  <si>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</si>
  <si>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</si>
  <si>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</si>
  <si>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</si>
  <si>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</si>
  <si>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</si>
  <si>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</si>
  <si>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</si>
  <si>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</si>
  <si>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</si>
  <si>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</si>
  <si>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</si>
  <si>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</si>
  <si>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</si>
  <si>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</si>
  <si>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</si>
  <si>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</si>
  <si>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</si>
  <si>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</si>
  <si>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</si>
  <si>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</si>
  <si>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</si>
  <si>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</si>
  <si>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</si>
  <si>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</si>
  <si>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</si>
  <si>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</si>
  <si>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</si>
  <si>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</si>
  <si>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</si>
  <si>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</si>
  <si>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</si>
  <si>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</si>
  <si>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</si>
  <si>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</si>
  <si>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</si>
  <si>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</si>
  <si>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</si>
  <si>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</si>
  <si>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</si>
  <si>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</si>
  <si>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</si>
  <si>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</si>
  <si>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</si>
  <si>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</si>
  <si>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</si>
  <si>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</si>
  <si>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</si>
  <si>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</si>
  <si>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</si>
  <si>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</si>
  <si>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</si>
  <si>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</si>
  <si>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</si>
  <si>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</si>
  <si>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</si>
  <si>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</si>
  <si>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</si>
  <si>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</si>
  <si>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</si>
  <si>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</si>
  <si>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</si>
  <si>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</si>
  <si>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</si>
  <si>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</si>
  <si>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</si>
  <si>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</si>
  <si>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</si>
  <si>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</si>
  <si>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</si>
  <si>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</si>
  <si>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</si>
  <si>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</si>
  <si>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</si>
  <si>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</si>
  <si>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</si>
  <si>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</si>
  <si>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</si>
  <si>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</si>
  <si>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</si>
  <si>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</si>
  <si>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</si>
  <si>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</si>
  <si>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</si>
  <si>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</si>
  <si>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</si>
  <si>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</si>
  <si>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</si>
  <si>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</si>
  <si>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</si>
  <si>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</si>
  <si>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</si>
  <si>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</si>
  <si>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</si>
  <si>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</si>
  <si>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</si>
  <si>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</si>
  <si>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</si>
  <si>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</si>
  <si>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</si>
  <si>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</si>
  <si>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</si>
  <si>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</si>
  <si>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</si>
  <si>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</si>
  <si>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</si>
  <si>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</si>
  <si>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</si>
  <si>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</si>
  <si>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</si>
  <si>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</si>
  <si>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</si>
  <si>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</si>
  <si>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</si>
  <si>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</si>
  <si>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</si>
  <si>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</si>
  <si>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</si>
  <si>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</si>
  <si>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</si>
  <si>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</si>
  <si>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</si>
  <si>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</si>
  <si>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</si>
  <si>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</si>
  <si>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</si>
  <si>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</si>
  <si>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</si>
  <si>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</si>
  <si>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</si>
  <si>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</si>
  <si>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</si>
  <si>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</si>
  <si>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</si>
  <si>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</si>
  <si>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</si>
  <si>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</si>
  <si>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</si>
  <si>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</si>
  <si>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</si>
  <si>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</si>
  <si>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</si>
  <si>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</si>
  <si>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</si>
  <si>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</si>
  <si>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</si>
  <si>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</si>
  <si>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</si>
  <si>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</si>
  <si>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</si>
  <si>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</si>
  <si>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</si>
  <si>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</si>
  <si>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</si>
  <si>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</si>
  <si>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</si>
  <si>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</si>
  <si>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</si>
  <si>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</si>
  <si>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</si>
  <si>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</si>
  <si>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</si>
  <si>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</si>
  <si>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</si>
  <si>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</si>
  <si>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</si>
  <si>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</si>
  <si>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</si>
  <si>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</si>
  <si>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</si>
  <si>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</si>
  <si>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</si>
  <si>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</si>
  <si>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</si>
  <si>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</si>
  <si>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</si>
  <si>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</si>
  <si>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</si>
  <si>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</si>
  <si>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</si>
  <si>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</si>
  <si>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</si>
  <si>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</si>
  <si>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</si>
  <si>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</si>
  <si>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</si>
  <si>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</si>
  <si>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</si>
  <si>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</si>
  <si>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</si>
  <si>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</si>
  <si>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</si>
  <si>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</si>
  <si>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</si>
  <si>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</si>
  <si>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</si>
  <si>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</si>
  <si>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</si>
  <si>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</si>
  <si>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</si>
  <si>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</si>
  <si>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</si>
  <si>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</si>
  <si>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</si>
  <si>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</si>
  <si>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</si>
  <si>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</si>
  <si>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</si>
  <si>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</si>
  <si>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</si>
  <si>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</si>
  <si>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</si>
  <si>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</si>
  <si>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</si>
  <si>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</si>
  <si>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</si>
  <si>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</si>
  <si>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</si>
  <si>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</si>
  <si>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</si>
  <si>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</si>
  <si>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</si>
  <si>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</si>
  <si>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</si>
  <si>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</si>
  <si>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</si>
  <si>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</si>
  <si>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</si>
  <si>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</si>
  <si>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</si>
  <si>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</si>
  <si>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</si>
  <si>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</si>
  <si>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</si>
  <si>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</si>
  <si>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</si>
  <si>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</si>
  <si>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</si>
  <si>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</si>
  <si>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</si>
  <si>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</si>
  <si>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</si>
  <si>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</si>
  <si>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</si>
  <si>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</si>
  <si>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</si>
  <si>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</si>
  <si>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</si>
  <si>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</si>
  <si>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</si>
  <si>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</si>
  <si>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</si>
  <si>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</si>
  <si>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</si>
  <si>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</si>
  <si>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</si>
  <si>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</si>
  <si>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</si>
  <si>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</si>
  <si>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</si>
  <si>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</si>
  <si>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</si>
  <si>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</si>
  <si>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</si>
  <si>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</si>
  <si>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</si>
  <si>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</si>
  <si>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</si>
  <si>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</si>
  <si>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</si>
  <si>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</si>
  <si>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</si>
  <si>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</si>
  <si>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</si>
  <si>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</si>
  <si>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</si>
  <si>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</si>
  <si>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</si>
  <si>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</si>
  <si>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</si>
  <si>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</si>
  <si>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</si>
  <si>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</si>
  <si>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</si>
  <si>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</si>
  <si>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</si>
  <si>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</si>
  <si>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</si>
  <si>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</si>
  <si>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</si>
  <si>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</si>
  <si>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</si>
  <si>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</si>
  <si>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</si>
  <si>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</si>
  <si>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</si>
  <si>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</si>
  <si>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</si>
  <si>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</si>
  <si>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</si>
  <si>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</si>
  <si>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</si>
  <si>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</si>
  <si>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</si>
  <si>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</si>
  <si>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</si>
  <si>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</si>
  <si>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</si>
  <si>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</si>
  <si>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</si>
  <si>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</si>
  <si>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</si>
  <si>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</si>
  <si>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</si>
  <si>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</si>
  <si>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</si>
  <si>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</si>
  <si>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</si>
  <si>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</si>
  <si>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</si>
  <si>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</si>
  <si>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</si>
  <si>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</si>
  <si>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</si>
  <si>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</si>
  <si>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</si>
  <si>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</si>
  <si>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</si>
  <si>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</si>
  <si>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</si>
  <si>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</si>
  <si>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</si>
  <si>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</si>
  <si>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</si>
  <si>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</si>
  <si>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</si>
  <si>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</si>
  <si>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</si>
  <si>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</si>
  <si>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</si>
  <si>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</si>
  <si>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</si>
  <si>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</si>
  <si>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</si>
  <si>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</si>
  <si>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</si>
  <si>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</si>
  <si>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</si>
  <si>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</si>
  <si>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</si>
  <si>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</si>
  <si>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</si>
  <si>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</si>
  <si>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</si>
  <si>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</si>
  <si>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</si>
  <si>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</si>
  <si>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</si>
  <si>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</si>
  <si>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</si>
  <si>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</si>
  <si>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</si>
  <si>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</si>
  <si>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</si>
  <si>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</si>
  <si>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</si>
  <si>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</si>
  <si>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</si>
  <si>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</si>
  <si>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</si>
  <si>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</si>
  <si>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</si>
  <si>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</si>
  <si>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</si>
  <si>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</si>
  <si>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</si>
  <si>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</si>
  <si>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</si>
  <si>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</si>
  <si>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</si>
  <si>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</si>
  <si>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</si>
  <si>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</si>
  <si>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</si>
  <si>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</si>
  <si>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</si>
  <si>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</si>
  <si>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</si>
  <si>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</si>
  <si>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</si>
  <si>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</si>
  <si>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</si>
  <si>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</si>
  <si>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</si>
  <si>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</si>
  <si>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</si>
  <si>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</si>
  <si>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</si>
  <si>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</si>
  <si>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</si>
  <si>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</si>
  <si>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</si>
  <si>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</si>
  <si>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</si>
  <si>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</si>
  <si>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</si>
  <si>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</si>
  <si>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</si>
  <si>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</si>
  <si>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</si>
  <si>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</si>
  <si>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</si>
  <si>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</si>
  <si>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</si>
  <si>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</si>
  <si>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</si>
  <si>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</si>
  <si>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</si>
  <si>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</si>
  <si>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</si>
  <si>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</si>
  <si>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</si>
  <si>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</si>
  <si>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</si>
  <si>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</si>
  <si>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</si>
  <si>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</si>
  <si>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</si>
  <si>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</si>
  <si>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</si>
  <si>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</si>
  <si>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</si>
  <si>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</si>
  <si>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</si>
  <si>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</si>
  <si>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</si>
  <si>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</si>
  <si>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</si>
  <si>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</si>
  <si>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</si>
  <si>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</si>
  <si>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</si>
  <si>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</si>
  <si>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</si>
  <si>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</si>
  <si>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</si>
  <si>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</si>
  <si>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</si>
  <si>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</si>
  <si>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</si>
  <si>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</si>
  <si>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</si>
  <si>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</si>
  <si>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</si>
  <si>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</si>
  <si>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</si>
  <si>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</si>
  <si>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</si>
  <si>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</si>
  <si>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</si>
  <si>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</si>
  <si>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</si>
  <si>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</si>
  <si>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</si>
  <si>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</si>
  <si>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</si>
  <si>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</si>
  <si>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</si>
  <si>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</si>
  <si>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</si>
  <si>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</si>
  <si>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</si>
  <si>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</si>
  <si>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</si>
  <si>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</si>
  <si>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</si>
  <si>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</si>
  <si>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</si>
  <si>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</si>
  <si>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</si>
  <si>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</si>
  <si>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</si>
  <si>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</si>
  <si>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</si>
  <si>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</si>
  <si>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</si>
  <si>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</si>
  <si>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</si>
  <si>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</si>
  <si>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</si>
  <si>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</si>
  <si>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</si>
  <si>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</si>
  <si>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</si>
  <si>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</si>
  <si>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</si>
  <si>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</si>
  <si>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</si>
  <si>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</si>
  <si>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</si>
  <si>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</si>
  <si>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</si>
  <si>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</si>
  <si>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</si>
  <si>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</si>
  <si>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</si>
  <si>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</si>
  <si>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</si>
  <si>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</si>
  <si>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</si>
  <si>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</si>
  <si>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</si>
  <si>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</si>
  <si>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</si>
  <si>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</si>
  <si>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</si>
  <si>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</si>
  <si>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</si>
  <si>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</si>
  <si>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</si>
  <si>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</si>
  <si>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</si>
  <si>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</si>
  <si>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</si>
  <si>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</si>
  <si>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</si>
  <si>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</si>
  <si>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</si>
  <si>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</si>
  <si>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</si>
  <si>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</si>
  <si>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</si>
  <si>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</si>
  <si>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</si>
  <si>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</si>
  <si>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</si>
  <si>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</si>
  <si>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</si>
  <si>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</si>
  <si>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</si>
  <si>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</si>
  <si>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</si>
  <si>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</si>
  <si>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</si>
  <si>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</si>
  <si>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</si>
  <si>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</si>
  <si>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</si>
  <si>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</si>
  <si>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</si>
  <si>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</si>
  <si>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</si>
  <si>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</si>
  <si>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</si>
  <si>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</si>
  <si>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</si>
  <si>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</si>
  <si>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</si>
  <si>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</si>
  <si>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</si>
  <si>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</si>
  <si>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</si>
  <si>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</si>
  <si>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</si>
  <si>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</si>
  <si>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</si>
  <si>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</si>
  <si>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</si>
  <si>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</si>
  <si>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</si>
  <si>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</si>
  <si>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</si>
  <si>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</si>
  <si>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</si>
  <si>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</si>
  <si>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</si>
  <si>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</si>
  <si>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</si>
  <si>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</si>
  <si>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</si>
  <si>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</si>
  <si>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</si>
  <si>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</si>
  <si>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</si>
  <si>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</si>
  <si>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</si>
  <si>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</si>
  <si>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</si>
  <si>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</si>
  <si>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</si>
  <si>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</si>
  <si>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</si>
  <si>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</si>
  <si>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</si>
  <si>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</si>
  <si>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</si>
  <si>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</si>
  <si>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</si>
  <si>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</si>
  <si>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</si>
  <si>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</si>
  <si>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</si>
  <si>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</si>
  <si>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</si>
  <si>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</si>
  <si>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</si>
  <si>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</si>
  <si>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</si>
  <si>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</si>
  <si>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</si>
  <si>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</si>
  <si>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</si>
  <si>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</si>
  <si>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</si>
  <si>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</si>
  <si>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</si>
  <si>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</si>
  <si>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</si>
  <si>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</si>
  <si>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</si>
  <si>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</si>
  <si>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</si>
  <si>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</si>
  <si>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</si>
  <si>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</si>
  <si>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</si>
  <si>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</si>
  <si>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</si>
  <si>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</si>
  <si>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</si>
  <si>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</si>
  <si>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</si>
  <si>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</si>
  <si>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</si>
  <si>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</si>
  <si>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</si>
  <si>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</si>
  <si>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</si>
  <si>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</si>
  <si>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</si>
  <si>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</si>
  <si>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</si>
  <si>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</si>
  <si>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</si>
  <si>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</si>
  <si>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</si>
  <si>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</si>
  <si>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</si>
  <si>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</si>
  <si>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</si>
  <si>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</si>
  <si>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</si>
  <si>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</si>
  <si>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</si>
  <si>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</si>
  <si>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</si>
  <si>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</si>
  <si>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</si>
  <si>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</si>
  <si>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</si>
  <si>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</si>
  <si>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</si>
  <si>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</si>
  <si>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</si>
  <si>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</si>
  <si>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</si>
  <si>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</si>
  <si>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</si>
  <si>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</si>
  <si>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</si>
  <si>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</si>
  <si>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</si>
  <si>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</si>
  <si>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</si>
  <si>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</si>
  <si>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</si>
  <si>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</si>
  <si>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</si>
  <si>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</si>
  <si>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</si>
  <si>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</si>
  <si>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</si>
  <si>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</si>
  <si>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</si>
  <si>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</si>
  <si>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</si>
  <si>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</si>
  <si>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</si>
  <si>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</si>
  <si>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</si>
  <si>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</si>
  <si>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</si>
  <si>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</si>
  <si>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</si>
  <si>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</si>
  <si>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</si>
  <si>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</si>
  <si>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</si>
  <si>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</si>
  <si>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</si>
  <si>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</si>
  <si>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</si>
  <si>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</si>
  <si>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</si>
  <si>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</si>
  <si>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</si>
  <si>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</si>
  <si>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</si>
  <si>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</si>
  <si>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</si>
  <si>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</si>
  <si>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</si>
  <si>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</si>
  <si>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</si>
  <si>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</si>
  <si>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</si>
  <si>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</si>
  <si>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</si>
  <si>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</si>
  <si>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</si>
  <si>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</si>
  <si>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</si>
  <si>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</si>
  <si>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</si>
  <si>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</si>
  <si>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</si>
  <si>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</si>
  <si>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</si>
  <si>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</si>
  <si>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</si>
  <si>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</si>
  <si>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</si>
  <si>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</si>
  <si>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</si>
  <si>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</si>
  <si>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</si>
  <si>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</si>
  <si>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</si>
  <si>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</si>
  <si>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</si>
  <si>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</si>
  <si>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</si>
  <si>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</si>
  <si>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</si>
  <si>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</si>
  <si>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</si>
  <si>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</si>
  <si>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</si>
  <si>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</si>
  <si>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</si>
  <si>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</si>
  <si>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</si>
  <si>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</si>
  <si>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</si>
  <si>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</si>
  <si>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</si>
  <si>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</si>
  <si>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</si>
  <si>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</si>
  <si>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</si>
  <si>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</si>
  <si>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</si>
  <si>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</si>
  <si>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</si>
  <si>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</si>
  <si>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</si>
  <si>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</si>
  <si>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</si>
  <si>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</si>
  <si>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</si>
  <si>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</si>
  <si>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</si>
  <si>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</si>
  <si>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</si>
  <si>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</si>
  <si>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</si>
  <si>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</si>
  <si>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</si>
  <si>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</si>
  <si>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</si>
  <si>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</si>
  <si>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</si>
  <si>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</si>
  <si>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</si>
  <si>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</si>
  <si>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</si>
  <si>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</si>
  <si>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</si>
  <si>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</si>
  <si>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</si>
  <si>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</si>
  <si>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</si>
  <si>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</si>
  <si>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</si>
  <si>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</si>
  <si>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</si>
  <si>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</si>
  <si>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</si>
  <si>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</si>
  <si>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</si>
  <si>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</si>
  <si>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</si>
  <si>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</si>
  <si>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</si>
  <si>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</si>
  <si>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</si>
  <si>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</si>
  <si>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</si>
  <si>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</si>
  <si>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</si>
  <si>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</si>
  <si>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</si>
  <si>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</si>
  <si>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</si>
  <si>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</si>
  <si>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</si>
  <si>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</si>
  <si>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</si>
  <si>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</si>
  <si>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</si>
  <si>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</si>
  <si>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</si>
  <si>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</si>
  <si>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</si>
  <si>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</si>
  <si>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</si>
  <si>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</si>
  <si>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</si>
  <si>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</si>
  <si>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</si>
  <si>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</si>
  <si>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</si>
  <si>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</si>
  <si>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</si>
  <si>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</si>
  <si>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</si>
  <si>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</si>
  <si>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</si>
  <si>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</si>
  <si>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</si>
  <si>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</si>
  <si>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</si>
  <si>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</si>
  <si>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</si>
  <si>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</si>
  <si>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</si>
  <si>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</si>
  <si>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</si>
  <si>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</si>
  <si>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</si>
  <si>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</si>
  <si>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</si>
  <si>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</si>
  <si>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</si>
  <si>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</si>
  <si>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</si>
  <si>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</si>
  <si>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</si>
  <si>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</si>
  <si>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</si>
  <si>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</si>
  <si>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</si>
  <si>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</si>
  <si>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</si>
  <si>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</si>
  <si>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</si>
  <si>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</si>
  <si>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</si>
  <si>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</si>
  <si>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</si>
  <si>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</si>
  <si>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</si>
  <si>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</si>
  <si>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</si>
  <si>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</si>
  <si>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</si>
  <si>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</si>
  <si>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</si>
  <si>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</si>
  <si>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</si>
  <si>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</si>
  <si>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</si>
  <si>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</si>
  <si>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</si>
  <si>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</si>
  <si>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</si>
  <si>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</si>
  <si>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</si>
  <si>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</si>
  <si>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</si>
  <si>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</si>
  <si>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</si>
  <si>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</si>
  <si>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</si>
  <si>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</si>
  <si>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</si>
  <si>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</si>
  <si>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</si>
  <si>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</si>
  <si>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</si>
  <si>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</si>
  <si>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</si>
  <si>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</si>
  <si>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</si>
  <si>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</si>
  <si>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</si>
  <si>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</si>
  <si>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</si>
  <si>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</si>
  <si>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</si>
  <si>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</si>
  <si>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</si>
  <si>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</si>
  <si>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</si>
  <si>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</si>
  <si>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</si>
  <si>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</si>
  <si>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</si>
  <si>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</si>
  <si>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</si>
  <si>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</si>
  <si>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</si>
  <si>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</si>
  <si>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</si>
  <si>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</si>
  <si>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</si>
  <si>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</si>
  <si>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</si>
  <si>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</si>
  <si>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</si>
  <si>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</si>
  <si>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</si>
  <si>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</si>
  <si>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</si>
  <si>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</si>
  <si>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</si>
  <si>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</si>
  <si>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</si>
  <si>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</si>
  <si>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</si>
  <si>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</si>
  <si>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</si>
  <si>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</si>
  <si>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</si>
  <si>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</si>
  <si>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</si>
  <si>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</si>
  <si>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</si>
  <si>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</si>
  <si>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</si>
  <si>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</si>
  <si>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</si>
  <si>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</si>
  <si>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</si>
  <si>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</si>
  <si>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</si>
  <si>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</si>
  <si>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</si>
  <si>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</si>
  <si>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</si>
  <si>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</si>
  <si>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</si>
  <si>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</si>
  <si>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</si>
  <si>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</si>
  <si>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</si>
  <si>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</si>
  <si>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</si>
  <si>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</si>
  <si>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</si>
  <si>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</si>
  <si>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</si>
  <si>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</si>
  <si>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</si>
  <si>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</si>
  <si>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</si>
  <si>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</si>
  <si>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</si>
  <si>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</si>
  <si>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</si>
  <si>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</si>
  <si>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</si>
  <si>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</si>
  <si>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</si>
  <si>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</si>
  <si>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</si>
  <si>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</si>
  <si>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</si>
  <si>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</si>
  <si>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</si>
  <si>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</si>
  <si>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</si>
  <si>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</si>
  <si>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</si>
  <si>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</si>
  <si>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</si>
  <si>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</si>
  <si>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</si>
  <si>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</si>
  <si>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</si>
  <si>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</si>
  <si>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</si>
  <si>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</si>
  <si>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</si>
  <si>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</si>
  <si>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</si>
  <si>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</si>
  <si>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</si>
  <si>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</si>
  <si>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</si>
  <si>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</si>
  <si>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</si>
  <si>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</si>
  <si>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</si>
  <si>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</si>
  <si>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</si>
  <si>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</si>
  <si>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</si>
  <si>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</si>
  <si>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</si>
  <si>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</si>
  <si>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</si>
  <si>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</si>
  <si>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</si>
  <si>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</si>
  <si>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</si>
  <si>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</si>
  <si>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</si>
  <si>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</si>
  <si>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</si>
  <si>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</si>
  <si>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</si>
  <si>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</si>
  <si>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</si>
  <si>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</si>
  <si>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</si>
  <si>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</si>
  <si>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</si>
  <si>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</si>
  <si>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</si>
  <si>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</si>
  <si>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</si>
  <si>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</si>
  <si>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</si>
  <si>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</si>
  <si>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</si>
  <si>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</si>
  <si>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</si>
  <si>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</si>
  <si>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</si>
  <si>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</si>
  <si>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</si>
  <si>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</si>
  <si>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</si>
  <si>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</si>
  <si>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</si>
  <si>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</si>
  <si>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</si>
  <si>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</si>
  <si>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</si>
  <si>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</si>
  <si>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</si>
  <si>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</si>
  <si>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</si>
  <si>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</si>
  <si>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</si>
  <si>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</si>
  <si>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</si>
  <si>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</si>
  <si>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</si>
  <si>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</si>
  <si>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</si>
  <si>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</si>
  <si>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</si>
  <si>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</si>
  <si>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</si>
  <si>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</si>
  <si>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</si>
  <si>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</si>
  <si>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</si>
  <si>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</si>
  <si>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</si>
  <si>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</si>
  <si>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</si>
  <si>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</si>
  <si>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</si>
  <si>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</si>
  <si>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</si>
  <si>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</si>
  <si>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</si>
  <si>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</si>
  <si>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</si>
  <si>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</si>
  <si>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</si>
  <si>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</si>
  <si>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</si>
  <si>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</si>
  <si>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</si>
  <si>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</si>
  <si>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</si>
  <si>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</si>
  <si>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</si>
  <si>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</si>
  <si>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</si>
  <si>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</si>
  <si>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</si>
  <si>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</si>
  <si>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</si>
  <si>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</si>
  <si>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</si>
  <si>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</si>
  <si>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</si>
  <si>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</si>
  <si>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</si>
  <si>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</si>
  <si>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</si>
  <si>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</si>
  <si>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</si>
  <si>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</si>
  <si>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</si>
  <si>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</si>
  <si>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</si>
  <si>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</si>
  <si>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</si>
  <si>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</si>
  <si>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</si>
  <si>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</si>
  <si>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</si>
  <si>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</si>
  <si>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</si>
  <si>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</si>
  <si>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</si>
  <si>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</si>
  <si>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</si>
  <si>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</si>
  <si>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</si>
  <si>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</si>
  <si>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</si>
  <si>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</si>
  <si>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</si>
  <si>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</si>
  <si>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</si>
  <si>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</si>
  <si>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</si>
  <si>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</si>
  <si>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</si>
  <si>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</si>
  <si>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</si>
  <si>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</si>
  <si>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</si>
  <si>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</si>
  <si>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</si>
  <si>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</si>
  <si>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</si>
  <si>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</si>
  <si>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</si>
  <si>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</si>
  <si>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</si>
  <si>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</si>
  <si>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</si>
  <si>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</si>
  <si>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</si>
  <si>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</si>
  <si>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</si>
  <si>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</si>
  <si>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</si>
  <si>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</si>
  <si>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</si>
  <si>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</si>
  <si>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</si>
  <si>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</si>
  <si>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</si>
  <si>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</si>
  <si>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</si>
  <si>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</si>
  <si>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</si>
  <si>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</si>
  <si>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</si>
  <si>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</si>
  <si>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</si>
  <si>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</si>
  <si>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</si>
  <si>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</si>
  <si>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</si>
  <si>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</si>
  <si>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</si>
  <si>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</si>
  <si>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</si>
  <si>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</si>
  <si>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</si>
  <si>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</si>
  <si>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</si>
  <si>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</si>
  <si>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</si>
  <si>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</si>
  <si>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</si>
  <si>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</si>
  <si>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</si>
  <si>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</si>
  <si>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</si>
  <si>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</si>
  <si>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</si>
  <si>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</si>
  <si>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</si>
  <si>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</si>
  <si>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</si>
  <si>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</si>
  <si>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</si>
  <si>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</si>
  <si>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</si>
  <si>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</si>
  <si>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</si>
  <si>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</si>
  <si>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</si>
  <si>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</si>
  <si>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</si>
  <si>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</si>
  <si>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</si>
  <si>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</si>
  <si>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</si>
  <si>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</si>
  <si>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</si>
  <si>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</si>
  <si>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</si>
  <si>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</si>
  <si>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</si>
  <si>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</si>
  <si>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</si>
  <si>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</si>
  <si>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</si>
  <si>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</si>
  <si>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</si>
  <si>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</si>
  <si>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</si>
  <si>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</si>
  <si>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</si>
  <si>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</si>
  <si>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</si>
  <si>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</si>
  <si>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</si>
  <si>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</si>
  <si>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</si>
  <si>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</si>
  <si>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</si>
  <si>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</si>
  <si>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</si>
  <si>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</si>
  <si>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</si>
  <si>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</si>
  <si>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</si>
  <si>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</si>
  <si>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</si>
  <si>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</si>
  <si>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</si>
  <si>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</si>
  <si>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</si>
  <si>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</si>
  <si>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</si>
  <si>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</si>
  <si>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</si>
  <si>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</si>
  <si>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</si>
  <si>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</si>
  <si>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</si>
  <si>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</si>
  <si>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</si>
  <si>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</si>
  <si>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</si>
  <si>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</si>
  <si>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</si>
  <si>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</si>
  <si>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</si>
  <si>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</si>
  <si>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</si>
  <si>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</si>
  <si>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</si>
  <si>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</si>
  <si>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</si>
  <si>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</si>
  <si>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</si>
  <si>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</si>
  <si>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</si>
  <si>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</si>
  <si>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</si>
  <si>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</si>
  <si>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</si>
  <si>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</si>
  <si>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</si>
  <si>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</si>
  <si>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</si>
  <si>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</si>
  <si>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</si>
  <si>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</si>
  <si>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</si>
  <si>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</si>
  <si>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</si>
  <si>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</si>
  <si>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</si>
  <si>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</si>
  <si>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</si>
  <si>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</si>
  <si>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</si>
  <si>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</si>
  <si>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</si>
  <si>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</si>
  <si>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</si>
  <si>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</si>
  <si>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</si>
  <si>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</si>
  <si>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</si>
  <si>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</si>
  <si>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</si>
  <si>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</si>
  <si>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</si>
  <si>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</si>
  <si>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</si>
  <si>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</si>
  <si>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</si>
  <si>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</si>
  <si>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</si>
  <si>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</si>
  <si>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</si>
  <si>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</si>
  <si>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</si>
  <si>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</si>
  <si>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</si>
  <si>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</si>
  <si>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</si>
  <si>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</si>
  <si>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</si>
  <si>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</si>
  <si>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</si>
  <si>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</si>
  <si>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</si>
  <si>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</si>
  <si>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</si>
  <si>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</si>
  <si>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</si>
  <si>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</si>
  <si>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</si>
  <si>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</si>
  <si>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</si>
  <si>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</si>
  <si>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</si>
  <si>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</si>
  <si>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</si>
  <si>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</si>
  <si>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</si>
  <si>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</si>
  <si>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</si>
  <si>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</si>
  <si>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</si>
  <si>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</si>
  <si>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</si>
  <si>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</si>
  <si>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</si>
  <si>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</si>
  <si>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</si>
  <si>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</si>
  <si>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</si>
  <si>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</si>
  <si>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</si>
  <si>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</si>
  <si>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</si>
  <si>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</si>
  <si>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</si>
  <si>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</si>
  <si>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</si>
  <si>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</si>
  <si>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</si>
  <si>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</si>
  <si>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</si>
  <si>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</si>
  <si>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</si>
  <si>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</si>
  <si>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</si>
  <si>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</si>
  <si>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</si>
  <si>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</si>
  <si>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</si>
  <si>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</si>
  <si>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</si>
  <si>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</si>
  <si>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</si>
  <si>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</si>
  <si>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</si>
  <si>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</si>
  <si>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</si>
  <si>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</si>
  <si>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</si>
  <si>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</si>
  <si>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</si>
  <si>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</si>
  <si>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</si>
  <si>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</si>
  <si>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</si>
  <si>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</si>
  <si>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</si>
  <si>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</si>
  <si>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</si>
  <si>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</si>
  <si>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</si>
  <si>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</si>
  <si>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</si>
  <si>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</si>
  <si>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</si>
  <si>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</si>
  <si>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</si>
  <si>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</si>
  <si>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</si>
  <si>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</si>
  <si>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</si>
  <si>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</si>
  <si>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</si>
  <si>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</si>
  <si>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</si>
  <si>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</si>
  <si>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</si>
  <si>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</si>
  <si>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</si>
  <si>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</si>
  <si>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</si>
  <si>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</si>
  <si>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</si>
  <si>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</si>
  <si>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</si>
  <si>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</si>
  <si>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</si>
  <si>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</si>
  <si>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</si>
  <si>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</si>
  <si>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</si>
  <si>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</si>
  <si>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</si>
  <si>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</si>
  <si>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</si>
  <si>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</si>
  <si>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</si>
  <si>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</si>
  <si>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</si>
  <si>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</si>
  <si>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</si>
  <si>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</si>
  <si>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</si>
  <si>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</si>
  <si>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</si>
  <si>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</si>
  <si>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</si>
  <si>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</si>
  <si>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</si>
  <si>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</si>
  <si>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</si>
  <si>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</si>
  <si>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</si>
  <si>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</si>
  <si>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</si>
  <si>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</si>
  <si>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</si>
  <si>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</si>
  <si>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</si>
  <si>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</si>
  <si>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</si>
  <si>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</si>
  <si>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</si>
  <si>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</si>
  <si>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</si>
  <si>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</si>
  <si>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</si>
  <si>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</si>
  <si>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</si>
  <si>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</si>
  <si>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</si>
  <si>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</si>
  <si>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</si>
  <si>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</si>
  <si>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</si>
  <si>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</si>
  <si>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</si>
  <si>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</si>
  <si>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</si>
  <si>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</si>
  <si>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</si>
  <si>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</si>
  <si>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</si>
  <si>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</si>
  <si>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</si>
  <si>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</si>
  <si>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</si>
  <si>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</si>
  <si>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</si>
  <si>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</si>
  <si>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</si>
  <si>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</si>
  <si>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</si>
  <si>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</si>
  <si>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</si>
  <si>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</si>
  <si>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</si>
  <si>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</si>
  <si>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</si>
  <si>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</si>
  <si>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</si>
  <si>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</si>
  <si>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</si>
  <si>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</si>
  <si>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</si>
  <si>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</si>
  <si>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</si>
  <si>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</si>
  <si>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</si>
  <si>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</si>
  <si>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</si>
  <si>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</si>
  <si>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</si>
  <si>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</si>
  <si>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</si>
  <si>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</si>
  <si>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</si>
  <si>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</si>
  <si>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</si>
  <si>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</si>
  <si>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</si>
  <si>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</si>
  <si>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</si>
  <si>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</si>
  <si>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</si>
  <si>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</si>
  <si>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</si>
  <si>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</si>
  <si>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</si>
  <si>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</si>
  <si>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</si>
  <si>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</si>
  <si>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</si>
  <si>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</si>
  <si>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</si>
  <si>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</si>
  <si>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</si>
  <si>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</si>
  <si>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</si>
  <si>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</si>
  <si>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</si>
  <si>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</si>
  <si>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</si>
  <si>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</si>
  <si>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</si>
  <si>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</si>
  <si>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</si>
  <si>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</si>
  <si>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</si>
  <si>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</si>
  <si>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</si>
  <si>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</si>
  <si>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</si>
  <si>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</si>
  <si>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</si>
  <si>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</si>
  <si>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</si>
  <si>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</si>
  <si>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</si>
  <si>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</si>
  <si>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</si>
  <si>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</si>
  <si>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</si>
  <si>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</si>
  <si>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</si>
  <si>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</si>
  <si>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</si>
  <si>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</si>
  <si>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</si>
  <si>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</si>
  <si>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</si>
  <si>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</si>
  <si>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</si>
  <si>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</si>
  <si>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</si>
  <si>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</si>
  <si>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</si>
  <si>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</si>
  <si>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</si>
  <si>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</si>
  <si>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</si>
  <si>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</si>
  <si>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</si>
  <si>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</si>
  <si>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</si>
  <si>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</si>
  <si>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</si>
  <si>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</si>
  <si>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</si>
  <si>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</si>
  <si>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</si>
  <si>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</si>
  <si>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</si>
  <si>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</si>
  <si>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</si>
  <si>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</si>
  <si>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</si>
  <si>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</si>
  <si>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</si>
  <si>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</si>
  <si>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</si>
  <si>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</si>
  <si>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</si>
  <si>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</si>
  <si>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</si>
  <si>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</si>
  <si>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</si>
  <si>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</si>
  <si>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</si>
  <si>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</si>
  <si>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</si>
  <si>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</si>
  <si>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</si>
  <si>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</si>
  <si>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</si>
  <si>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</si>
  <si>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</si>
  <si>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</si>
  <si>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</si>
  <si>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</si>
  <si>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</si>
  <si>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</si>
  <si>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</si>
  <si>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</si>
  <si>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</si>
  <si>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</si>
  <si>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</si>
  <si>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</si>
  <si>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</si>
  <si>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</si>
  <si>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</si>
  <si>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</si>
  <si>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</si>
  <si>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</si>
  <si>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</si>
  <si>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</si>
  <si>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</si>
  <si>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</si>
  <si>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</si>
  <si>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</si>
  <si>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</si>
  <si>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</si>
  <si>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</si>
  <si>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</si>
  <si>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</si>
  <si>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</si>
  <si>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</si>
  <si>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</si>
  <si>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</si>
  <si>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</si>
  <si>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</si>
  <si>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</si>
  <si>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</si>
  <si>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</si>
  <si>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</si>
  <si>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</si>
  <si>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</si>
  <si>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</si>
  <si>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</si>
  <si>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</si>
  <si>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</si>
  <si>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</si>
  <si>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</si>
  <si>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</si>
  <si>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</si>
  <si>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</si>
  <si>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</si>
  <si>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</si>
  <si>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</si>
  <si>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</si>
  <si>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</si>
  <si>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</si>
  <si>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</si>
  <si>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</si>
  <si>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</si>
  <si>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</si>
  <si>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</si>
  <si>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</si>
  <si>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</si>
  <si>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</si>
  <si>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</si>
  <si>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</si>
  <si>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</si>
  <si>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</si>
  <si>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</si>
  <si>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</si>
  <si>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</si>
  <si>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</si>
  <si>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</si>
  <si>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</si>
  <si>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</si>
  <si>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</si>
  <si>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</si>
  <si>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</si>
  <si>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</si>
  <si>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</si>
  <si>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</si>
  <si>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</si>
  <si>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</si>
  <si>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</si>
  <si>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</si>
  <si>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</si>
  <si>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</si>
  <si>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</si>
  <si>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</si>
  <si>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</si>
  <si>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</si>
  <si>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</si>
  <si>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</si>
  <si>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</si>
  <si>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</si>
  <si>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</si>
  <si>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</si>
  <si>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</si>
  <si>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</si>
  <si>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</si>
  <si>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</si>
  <si>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</si>
  <si>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</si>
  <si>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</si>
  <si>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</si>
  <si>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</si>
  <si>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</si>
  <si>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</si>
  <si>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</si>
  <si>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</si>
  <si>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</si>
  <si>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</si>
  <si>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</si>
  <si>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</si>
  <si>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</si>
  <si>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</si>
  <si>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</si>
  <si>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</si>
  <si>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</si>
  <si>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</si>
  <si>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</si>
  <si>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</si>
  <si>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</si>
  <si>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</si>
  <si>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</si>
  <si>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</si>
  <si>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</si>
  <si>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</si>
  <si>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</si>
  <si>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</si>
  <si>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</si>
  <si>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</si>
  <si>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</si>
  <si>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</si>
  <si>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</si>
  <si>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</si>
  <si>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</si>
  <si>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</si>
  <si>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</si>
  <si>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</si>
  <si>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</si>
  <si>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</si>
  <si>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</si>
  <si>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</si>
  <si>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</si>
  <si>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</si>
  <si>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</si>
  <si>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</si>
  <si>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</si>
  <si>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</si>
  <si>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</si>
  <si>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</si>
  <si>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</si>
  <si>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</si>
  <si>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</si>
  <si>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</si>
  <si>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</si>
  <si>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</si>
  <si>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</si>
  <si>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</si>
  <si>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</si>
  <si>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</si>
  <si>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</si>
  <si>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</si>
  <si>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</si>
  <si>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</si>
  <si>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</si>
  <si>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</si>
  <si>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</si>
  <si>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</si>
  <si>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</si>
  <si>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</si>
  <si>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</si>
  <si>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</si>
  <si>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</si>
  <si>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</si>
  <si>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</si>
  <si>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</si>
  <si>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</si>
  <si>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</si>
  <si>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</si>
  <si>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</si>
  <si>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</si>
  <si>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</si>
  <si>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</si>
  <si>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</si>
  <si>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</si>
  <si>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</si>
  <si>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</si>
  <si>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</si>
  <si>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</si>
  <si>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</si>
  <si>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</si>
  <si>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</si>
  <si>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</si>
  <si>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</si>
  <si>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</si>
  <si>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</si>
  <si>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</si>
  <si>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</si>
  <si>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</si>
  <si>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</si>
  <si>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</si>
  <si>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</si>
  <si>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</si>
  <si>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</si>
  <si>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</si>
  <si>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</si>
  <si>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</si>
  <si>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</si>
  <si>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</si>
  <si>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</si>
  <si>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</si>
  <si>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</si>
  <si>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</si>
  <si>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</si>
  <si>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</si>
  <si>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</si>
  <si>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</si>
  <si>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</si>
  <si>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</si>
  <si>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</si>
  <si>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</si>
  <si>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</si>
  <si>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</si>
  <si>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</si>
  <si>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</si>
  <si>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</si>
  <si>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</si>
  <si>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</si>
  <si>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</si>
  <si>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</si>
  <si>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</si>
  <si>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</si>
  <si>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</si>
  <si>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</si>
  <si>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</si>
  <si>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</si>
  <si>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</si>
  <si>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</si>
  <si>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</si>
  <si>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</si>
  <si>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</si>
  <si>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</si>
  <si>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</si>
  <si>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</si>
  <si>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</si>
  <si>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</si>
  <si>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</si>
  <si>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</si>
  <si>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</si>
  <si>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</si>
  <si>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</si>
  <si>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</si>
  <si>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</si>
  <si>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</si>
  <si>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</si>
  <si>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</si>
  <si>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</si>
  <si>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</si>
  <si>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</si>
  <si>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</si>
  <si>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</si>
  <si>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</si>
  <si>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</si>
  <si>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</si>
  <si>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</si>
  <si>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</si>
  <si>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</si>
  <si>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</si>
  <si>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</si>
  <si>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</si>
  <si>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</si>
  <si>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</si>
  <si>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</si>
  <si>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</si>
  <si>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</si>
  <si>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</si>
  <si>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</si>
  <si>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</si>
  <si>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</si>
  <si>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</si>
  <si>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</si>
  <si>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</si>
  <si>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</si>
  <si>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</si>
  <si>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</si>
  <si>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</si>
  <si>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</si>
  <si>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</si>
  <si>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</si>
  <si>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</si>
  <si>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</si>
  <si>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</si>
  <si>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</si>
  <si>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</si>
  <si>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</si>
  <si>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</si>
  <si>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</si>
  <si>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</si>
  <si>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</si>
  <si>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</si>
  <si>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</si>
  <si>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</si>
  <si>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</si>
  <si>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</si>
  <si>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</si>
  <si>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</si>
  <si>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</si>
  <si>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</si>
  <si>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</si>
  <si>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</si>
  <si>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</si>
  <si>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</si>
  <si>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</si>
  <si>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</si>
  <si>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</si>
  <si>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</si>
  <si>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</si>
  <si>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</si>
  <si>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</si>
  <si>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</si>
  <si>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</si>
  <si>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</si>
  <si>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</si>
  <si>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</si>
  <si>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</si>
  <si>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</si>
  <si>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</si>
  <si>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</si>
  <si>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</si>
  <si>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</si>
  <si>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</si>
  <si>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</si>
  <si>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</si>
  <si>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</si>
  <si>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</si>
  <si>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</si>
  <si>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</si>
  <si>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</si>
  <si>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</si>
  <si>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</si>
  <si>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</si>
  <si>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</si>
  <si>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</si>
  <si>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</si>
  <si>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</si>
  <si>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</si>
  <si>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</si>
  <si>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</si>
  <si>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</si>
  <si>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</si>
  <si>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</si>
  <si>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</si>
  <si>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</si>
  <si>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</si>
  <si>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</si>
  <si>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</si>
  <si>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</si>
  <si>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</si>
  <si>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</si>
  <si>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</si>
  <si>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</si>
  <si>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</si>
  <si>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</si>
  <si>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</si>
  <si>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</si>
  <si>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</si>
  <si>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</si>
  <si>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</si>
  <si>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</si>
  <si>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</si>
  <si>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</si>
  <si>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</si>
  <si>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</si>
  <si>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</si>
  <si>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</si>
  <si>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</si>
  <si>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</si>
  <si>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</si>
  <si>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</si>
  <si>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</si>
  <si>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</si>
  <si>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</si>
  <si>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</si>
  <si>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</si>
  <si>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</si>
  <si>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</si>
  <si>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</si>
  <si>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</si>
  <si>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</si>
  <si>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</si>
  <si>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</si>
  <si>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</si>
  <si>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</si>
  <si>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</si>
  <si>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</si>
  <si>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</si>
  <si>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</si>
  <si>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</si>
  <si>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</si>
  <si>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</si>
  <si>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</si>
  <si>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</si>
  <si>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</si>
  <si>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</si>
  <si>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</si>
  <si>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</si>
  <si>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</si>
  <si>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</si>
  <si>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</si>
  <si>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</si>
  <si>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</si>
  <si>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</si>
  <si>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</si>
  <si>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</si>
  <si>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</si>
  <si>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</si>
  <si>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</si>
  <si>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</si>
  <si>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</si>
  <si>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</si>
  <si>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</si>
  <si>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</si>
  <si>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</si>
  <si>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</si>
  <si>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</si>
  <si>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</si>
  <si>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</si>
  <si>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</si>
  <si>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</si>
  <si>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</si>
  <si>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</si>
  <si>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</si>
  <si>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</si>
  <si>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</si>
  <si>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</si>
  <si>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</si>
  <si>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</si>
  <si>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</si>
  <si>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</si>
  <si>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</si>
  <si>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</si>
  <si>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</si>
  <si>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</si>
  <si>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</si>
  <si>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</si>
  <si>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</si>
  <si>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</si>
  <si>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</si>
  <si>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</si>
  <si>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</si>
  <si>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</si>
  <si>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</si>
  <si>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</si>
  <si>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</si>
  <si>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</si>
  <si>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</si>
  <si>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</si>
  <si>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</si>
  <si>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</si>
  <si>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</si>
  <si>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</si>
  <si>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</si>
  <si>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</si>
  <si>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</si>
  <si>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</si>
  <si>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</si>
  <si>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</si>
  <si>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</si>
  <si>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</si>
  <si>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</si>
  <si>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</si>
  <si>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</si>
  <si>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</si>
  <si>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</si>
  <si>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</si>
  <si>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</si>
  <si>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</si>
  <si>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</si>
  <si>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</si>
  <si>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</si>
  <si>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</si>
  <si>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</si>
  <si>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</si>
  <si>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</si>
  <si>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</si>
  <si>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</si>
  <si>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</si>
  <si>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</si>
  <si>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</si>
  <si>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</si>
  <si>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</si>
  <si>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</si>
  <si>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</si>
  <si>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</si>
  <si>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</si>
  <si>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</si>
  <si>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</si>
  <si>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</si>
  <si>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</si>
  <si>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</si>
  <si>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</si>
  <si>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</si>
  <si>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</si>
  <si>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</si>
  <si>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</si>
  <si>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</si>
  <si>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</si>
  <si>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</si>
  <si>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</si>
  <si>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</si>
  <si>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</si>
  <si>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</si>
  <si>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</si>
  <si>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</si>
  <si>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</si>
  <si>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</si>
  <si>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</si>
  <si>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</si>
  <si>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</si>
  <si>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</si>
  <si>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</si>
  <si>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</si>
  <si>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</si>
  <si>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</si>
  <si>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</si>
  <si>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</si>
  <si>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</si>
  <si>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</si>
  <si>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</si>
  <si>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</si>
  <si>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</si>
  <si>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</si>
  <si>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</si>
  <si>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</si>
  <si>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</si>
  <si>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</si>
  <si>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</si>
  <si>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</si>
  <si>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</si>
  <si>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</si>
  <si>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</si>
  <si>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</si>
  <si>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</si>
  <si>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</si>
  <si>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</si>
  <si>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</si>
  <si>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</si>
  <si>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</si>
  <si>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</si>
  <si>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</si>
  <si>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</si>
  <si>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</si>
  <si>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</si>
  <si>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</si>
  <si>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</si>
  <si>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</si>
  <si>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</si>
  <si>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</si>
  <si>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</si>
  <si>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</si>
  <si>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</si>
  <si>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</si>
  <si>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</si>
  <si>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</si>
  <si>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</si>
  <si>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</si>
  <si>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</si>
  <si>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</si>
  <si>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</si>
  <si>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</si>
  <si>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</si>
  <si>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</si>
  <si>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</si>
  <si>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</si>
  <si>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</si>
  <si>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</si>
  <si>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</si>
  <si>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</si>
  <si>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</si>
  <si>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</si>
  <si>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</si>
  <si>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</si>
  <si>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</si>
  <si>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</si>
  <si>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</si>
  <si>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</si>
  <si>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</si>
  <si>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</si>
  <si>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</si>
  <si>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</si>
  <si>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</si>
  <si>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</si>
  <si>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</si>
  <si>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</si>
  <si>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</si>
  <si>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</si>
  <si>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</si>
  <si>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</si>
  <si>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</si>
  <si>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</si>
  <si>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</si>
  <si>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</si>
  <si>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</si>
  <si>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</si>
  <si>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</si>
  <si>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</si>
  <si>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</si>
  <si>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</si>
  <si>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</si>
  <si>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</si>
  <si>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</si>
  <si>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</si>
  <si>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</si>
  <si>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</si>
  <si>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</si>
  <si>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</si>
  <si>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</si>
  <si>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</si>
  <si>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</si>
  <si>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</si>
  <si>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</si>
  <si>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</si>
  <si>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</si>
  <si>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</si>
  <si>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</si>
  <si>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</si>
  <si>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</si>
  <si>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</si>
  <si>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</si>
  <si>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</si>
  <si>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</si>
  <si>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</si>
  <si>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</si>
  <si>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</si>
  <si>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</si>
  <si>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</si>
  <si>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</si>
  <si>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</si>
  <si>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</si>
  <si>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</si>
  <si>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</si>
  <si>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</si>
  <si>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</si>
  <si>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</si>
  <si>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</si>
  <si>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</si>
  <si>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</si>
  <si>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</si>
  <si>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</si>
  <si>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</si>
  <si>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</si>
  <si>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</si>
  <si>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</si>
  <si>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</si>
  <si>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</si>
  <si>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</si>
  <si>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</si>
  <si>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</si>
  <si>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</si>
  <si>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</si>
  <si>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</si>
  <si>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</si>
  <si>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</si>
  <si>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</si>
  <si>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</si>
  <si>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</si>
  <si>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</si>
  <si>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</si>
  <si>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</si>
  <si>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</si>
  <si>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</si>
  <si>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</si>
  <si>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</si>
  <si>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</si>
  <si>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</si>
  <si>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</si>
  <si>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</si>
  <si>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</si>
  <si>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</si>
  <si>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</si>
  <si>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</si>
  <si>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</si>
  <si>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</si>
  <si>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</si>
  <si>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</si>
  <si>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</si>
  <si>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</si>
  <si>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</si>
  <si>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</si>
  <si>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</si>
  <si>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</si>
  <si>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</si>
  <si>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</si>
  <si>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</si>
  <si>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</si>
  <si>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</si>
  <si>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</si>
  <si>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</si>
  <si>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</si>
  <si>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</si>
  <si>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</si>
  <si>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</si>
  <si>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</si>
  <si>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</si>
  <si>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</si>
  <si>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</si>
  <si>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</si>
  <si>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</si>
  <si>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</si>
  <si>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</si>
  <si>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</si>
  <si>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</si>
  <si>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</si>
  <si>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</si>
  <si>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</si>
  <si>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</si>
  <si>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</si>
  <si>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</si>
  <si>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</si>
  <si>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</si>
  <si>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</si>
  <si>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</si>
  <si>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</si>
  <si>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</si>
  <si>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</si>
  <si>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</si>
  <si>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</si>
  <si>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</si>
  <si>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</si>
  <si>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</si>
  <si>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</si>
  <si>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</si>
  <si>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</si>
  <si>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</si>
  <si>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</si>
  <si>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</si>
  <si>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</si>
  <si>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</si>
  <si>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</si>
  <si>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</si>
  <si>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</si>
  <si>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</si>
  <si>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</si>
  <si>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</si>
  <si>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</si>
  <si>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</si>
  <si>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</si>
  <si>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</si>
  <si>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</si>
  <si>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</si>
  <si>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</si>
  <si>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</si>
  <si>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</si>
  <si>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</si>
  <si>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</si>
  <si>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</si>
  <si>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</si>
  <si>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</si>
  <si>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</si>
  <si>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</si>
  <si>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</si>
  <si>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</si>
  <si>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</si>
  <si>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</si>
  <si>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</si>
  <si>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</si>
  <si>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</si>
  <si>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</si>
  <si>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</si>
  <si>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</si>
  <si>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</si>
  <si>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</si>
  <si>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</si>
  <si>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</si>
  <si>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</si>
  <si>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</si>
  <si>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</si>
  <si>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</si>
  <si>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</si>
  <si>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</si>
  <si>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</si>
  <si>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</si>
  <si>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</si>
  <si>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</si>
  <si>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</si>
  <si>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</si>
  <si>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</si>
  <si>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</si>
  <si>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</si>
  <si>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</si>
  <si>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</si>
  <si>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</si>
  <si>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</si>
  <si>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</si>
  <si>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</si>
  <si>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</si>
  <si>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</si>
  <si>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</si>
  <si>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</si>
  <si>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</si>
  <si>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</si>
  <si>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</si>
  <si>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</si>
  <si>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</si>
  <si>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</si>
  <si>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</si>
  <si>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</si>
  <si>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</si>
  <si>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</si>
  <si>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</si>
  <si>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</si>
  <si>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</si>
  <si>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</si>
  <si>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</si>
  <si>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</si>
  <si>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</si>
  <si>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</si>
  <si>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</si>
  <si>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</si>
  <si>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</si>
  <si>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</si>
  <si>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</si>
  <si>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</si>
  <si>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</si>
  <si>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</si>
  <si>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</si>
  <si>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</si>
  <si>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</si>
  <si>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</si>
  <si>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</si>
  <si>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</si>
  <si>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</si>
  <si>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</si>
  <si>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</si>
  <si>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</si>
  <si>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</si>
  <si>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</si>
  <si>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</si>
  <si>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</si>
  <si>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</si>
  <si>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</si>
  <si>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</si>
  <si>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</si>
  <si>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</si>
  <si>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</si>
  <si>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</si>
  <si>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</si>
  <si>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</si>
  <si>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</si>
  <si>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</si>
  <si>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</si>
  <si>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</si>
  <si>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</si>
  <si>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</si>
  <si>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</si>
  <si>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</si>
  <si>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</si>
  <si>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</si>
  <si>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</si>
  <si>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</si>
  <si>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</si>
  <si>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</si>
  <si>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</si>
  <si>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</si>
  <si>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</si>
  <si>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</si>
  <si>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</si>
  <si>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</si>
  <si>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</si>
  <si>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</si>
  <si>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</si>
  <si>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</si>
  <si>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</si>
  <si>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</si>
  <si>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</si>
  <si>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</si>
  <si>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</si>
  <si>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</si>
  <si>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</si>
  <si>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</si>
  <si>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</si>
  <si>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</si>
  <si>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</si>
  <si>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</si>
  <si>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</si>
  <si>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</si>
  <si>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</si>
  <si>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</si>
  <si>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</si>
  <si>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</si>
  <si>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</si>
  <si>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</si>
  <si>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</si>
  <si>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</si>
  <si>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</si>
  <si>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</si>
  <si>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</si>
  <si>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</si>
  <si>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</si>
  <si>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</si>
  <si>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</si>
  <si>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</si>
  <si>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</si>
  <si>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</si>
  <si>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</si>
  <si>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</si>
  <si>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</si>
  <si>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</si>
  <si>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</si>
  <si>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</si>
  <si>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</si>
  <si>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</si>
  <si>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</si>
  <si>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</si>
  <si>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</si>
  <si>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</si>
  <si>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</si>
  <si>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</si>
  <si>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</si>
  <si>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</si>
  <si>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</si>
  <si>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</si>
  <si>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</si>
  <si>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</si>
  <si>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</si>
  <si>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</si>
  <si>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</si>
  <si>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</si>
  <si>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</si>
  <si>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</si>
  <si>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</si>
  <si>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</si>
  <si>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</si>
  <si>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</si>
  <si>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</si>
  <si>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</si>
  <si>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</si>
  <si>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</si>
  <si>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</si>
  <si>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</si>
  <si>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</si>
  <si>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</si>
  <si>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</si>
  <si>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</si>
  <si>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</si>
  <si>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</si>
  <si>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</si>
  <si>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</si>
  <si>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</si>
  <si>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</si>
  <si>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</si>
  <si>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</si>
  <si>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</si>
  <si>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</si>
  <si>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</si>
  <si>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</si>
  <si>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</si>
  <si>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</si>
  <si>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</si>
  <si>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</si>
  <si>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</si>
  <si>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</si>
  <si>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</si>
  <si>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</si>
  <si>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</si>
  <si>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</si>
  <si>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</si>
  <si>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</si>
  <si>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</si>
  <si>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</si>
  <si>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</si>
  <si>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</si>
  <si>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</si>
  <si>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</si>
  <si>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</si>
  <si>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</si>
  <si>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</si>
  <si>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</si>
  <si>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</si>
  <si>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</si>
  <si>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</si>
  <si>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</si>
  <si>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</si>
  <si>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</si>
  <si>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</si>
  <si>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</si>
  <si>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</si>
  <si>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</si>
  <si>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</si>
  <si>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</si>
  <si>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</si>
  <si>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</si>
  <si>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</si>
  <si>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</si>
  <si>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</si>
  <si>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</si>
  <si>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</si>
  <si>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</si>
  <si>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</si>
  <si>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</si>
  <si>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</si>
  <si>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</si>
  <si>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</si>
  <si>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</si>
  <si>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</si>
  <si>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</si>
  <si>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</si>
  <si>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</si>
  <si>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</si>
  <si>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</si>
  <si>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</si>
  <si>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</si>
  <si>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</si>
  <si>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</si>
  <si>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</si>
  <si>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</si>
  <si>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</si>
  <si>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</si>
  <si>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</si>
  <si>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</si>
  <si>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</si>
  <si>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</si>
  <si>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</si>
  <si>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</si>
  <si>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</si>
  <si>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</si>
  <si>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</si>
  <si>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</si>
  <si>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</si>
  <si>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</si>
  <si>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</si>
  <si>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</si>
  <si>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</si>
  <si>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</si>
  <si>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</si>
  <si>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</si>
  <si>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</si>
  <si>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</si>
  <si>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</si>
  <si>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</si>
  <si>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</si>
  <si>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</si>
  <si>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</si>
  <si>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</si>
  <si>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</si>
  <si>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</si>
  <si>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</si>
  <si>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</si>
  <si>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</si>
  <si>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</si>
  <si>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</si>
  <si>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</si>
  <si>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</si>
  <si>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</si>
  <si>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</si>
  <si>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</si>
  <si>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</si>
  <si>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</si>
  <si>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</si>
  <si>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</si>
  <si>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</si>
  <si>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</si>
  <si>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</si>
  <si>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</si>
  <si>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</si>
  <si>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</si>
  <si>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</si>
  <si>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</si>
  <si>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</si>
  <si>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</si>
  <si>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</si>
  <si>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</si>
  <si>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</si>
  <si>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</si>
  <si>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</si>
  <si>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</si>
  <si>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</si>
  <si>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</si>
  <si>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</si>
  <si>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</si>
  <si>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</si>
  <si>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</si>
  <si>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</si>
  <si>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</si>
  <si>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</si>
  <si>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</si>
  <si>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</si>
  <si>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</si>
  <si>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</si>
  <si>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</si>
  <si>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</si>
  <si>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</si>
  <si>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</si>
  <si>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</si>
  <si>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</si>
  <si>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</si>
  <si>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</si>
  <si>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</si>
  <si>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</si>
  <si>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</si>
  <si>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</si>
  <si>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</si>
  <si>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</si>
  <si>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</si>
  <si>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</si>
  <si>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</si>
  <si>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</si>
  <si>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</si>
  <si>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</si>
  <si>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</si>
  <si>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</si>
  <si>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</si>
  <si>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</si>
  <si>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</si>
  <si>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</si>
  <si>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</si>
  <si>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</si>
  <si>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</si>
  <si>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</si>
  <si>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</si>
  <si>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</si>
  <si>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</si>
  <si>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</si>
  <si>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</si>
  <si>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</si>
  <si>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</si>
  <si>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</si>
  <si>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</si>
  <si>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</si>
  <si>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</si>
  <si>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</si>
  <si>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</si>
  <si>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</si>
  <si>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</si>
  <si>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</si>
  <si>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</si>
  <si>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</si>
  <si>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</si>
  <si>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</si>
  <si>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</si>
  <si>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</si>
  <si>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</si>
  <si>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</si>
  <si>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</si>
  <si>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</si>
  <si>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</si>
  <si>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</si>
  <si>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</si>
  <si>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</si>
  <si>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</si>
  <si>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</si>
  <si>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</si>
  <si>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</si>
  <si>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</si>
  <si>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</si>
  <si>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</si>
  <si>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</si>
  <si>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</si>
  <si>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</si>
  <si>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</si>
  <si>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</si>
  <si>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</si>
  <si>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</si>
  <si>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</si>
  <si>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</si>
  <si>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</si>
  <si>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</si>
  <si>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</si>
  <si>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</si>
  <si>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</si>
  <si>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</si>
  <si>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</si>
  <si>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</si>
  <si>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</si>
  <si>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</si>
  <si>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</si>
  <si>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</si>
  <si>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</si>
  <si>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</si>
  <si>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</si>
  <si>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</si>
  <si>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</si>
  <si>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</si>
  <si>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</si>
  <si>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</si>
  <si>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</si>
  <si>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</si>
  <si>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</si>
  <si>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</si>
  <si>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</si>
  <si>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</si>
  <si>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</si>
  <si>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</si>
  <si>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</si>
  <si>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</si>
  <si>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</si>
  <si>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</si>
  <si>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</si>
  <si>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</si>
  <si>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</si>
  <si>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</si>
  <si>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</si>
  <si>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</si>
  <si>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</si>
  <si>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</si>
  <si>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</si>
  <si>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</si>
  <si>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</si>
  <si>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</si>
  <si>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</si>
  <si>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</si>
  <si>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</si>
  <si>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</si>
  <si>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</si>
  <si>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</si>
  <si>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</si>
  <si>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</si>
  <si>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</si>
  <si>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</si>
  <si>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</si>
  <si>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</si>
  <si>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</si>
  <si>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</si>
  <si>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</si>
  <si>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</si>
  <si>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</si>
  <si>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</si>
  <si>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</si>
  <si>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</si>
  <si>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</si>
  <si>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</si>
  <si>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</si>
  <si>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</si>
  <si>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</si>
  <si>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</si>
  <si>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</si>
  <si>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</si>
  <si>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</si>
  <si>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</si>
  <si>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</si>
  <si>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</si>
  <si>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</si>
  <si>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</si>
  <si>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</si>
  <si>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</si>
  <si>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</si>
  <si>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</si>
  <si>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</si>
  <si>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</si>
  <si>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</si>
  <si>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</si>
  <si>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</si>
  <si>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</si>
  <si>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</si>
  <si>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</si>
  <si>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</si>
  <si>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</si>
  <si>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</si>
  <si>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</si>
  <si>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</si>
  <si>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</si>
  <si>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</si>
  <si>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</si>
  <si>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</si>
  <si>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</si>
  <si>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</si>
  <si>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</si>
  <si>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</si>
  <si>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</si>
  <si>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</si>
  <si>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</si>
  <si>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</si>
  <si>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</si>
  <si>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</si>
  <si>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</si>
  <si>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</si>
  <si>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</si>
  <si>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</si>
  <si>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</si>
  <si>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</si>
  <si>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</si>
  <si>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</si>
  <si>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</si>
  <si>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</si>
  <si>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</si>
  <si>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</si>
  <si>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</si>
  <si>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</si>
  <si>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</si>
  <si>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</si>
  <si>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</si>
  <si>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</si>
  <si>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</si>
  <si>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</si>
  <si>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</si>
  <si>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</si>
  <si>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</si>
  <si>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</si>
  <si>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</si>
  <si>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</si>
  <si>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</si>
  <si>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</si>
  <si>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</si>
  <si>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</si>
  <si>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</si>
  <si>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</si>
  <si>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</si>
  <si>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</si>
  <si>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</si>
  <si>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</si>
  <si>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</si>
  <si>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</si>
  <si>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</si>
  <si>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</si>
  <si>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</si>
  <si>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</si>
  <si>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</si>
  <si>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</si>
  <si>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</si>
  <si>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</si>
  <si>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</si>
  <si>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</si>
  <si>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</si>
  <si>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</si>
  <si>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</si>
  <si>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</si>
  <si>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</si>
  <si>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</si>
  <si>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</si>
  <si>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</si>
  <si>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</si>
  <si>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</si>
  <si>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</si>
  <si>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</si>
  <si>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</si>
  <si>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</si>
  <si>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</si>
  <si>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</si>
  <si>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</si>
  <si>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</si>
  <si>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</si>
  <si>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</si>
  <si>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</si>
  <si>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</si>
  <si>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</si>
  <si>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</si>
  <si>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</si>
  <si>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</si>
  <si>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</si>
  <si>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</si>
  <si>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</si>
  <si>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</si>
  <si>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</si>
  <si>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</si>
  <si>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</si>
  <si>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</si>
  <si>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</si>
  <si>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</si>
  <si>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</si>
  <si>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</si>
  <si>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</si>
  <si>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</si>
  <si>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</si>
  <si>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</si>
  <si>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</si>
  <si>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</si>
  <si>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</si>
  <si>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</si>
  <si>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</si>
  <si>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</si>
  <si>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</si>
  <si>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</si>
  <si>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</si>
  <si>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</si>
  <si>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</si>
  <si>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</si>
  <si>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</si>
  <si>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</si>
  <si>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</si>
  <si>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</si>
  <si>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</si>
  <si>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</si>
  <si>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</si>
  <si>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</si>
  <si>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</si>
  <si>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</si>
  <si>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</si>
  <si>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</si>
  <si>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</si>
  <si>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</si>
  <si>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</si>
  <si>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</si>
  <si>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</si>
  <si>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</si>
  <si>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</si>
  <si>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</si>
  <si>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</si>
  <si>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</si>
  <si>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</si>
  <si>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</si>
  <si>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</si>
  <si>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</si>
  <si>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</si>
  <si>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</si>
  <si>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</si>
  <si>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</si>
  <si>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</si>
  <si>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</si>
  <si>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</si>
  <si>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</si>
  <si>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</si>
  <si>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</si>
  <si>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</si>
  <si>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</si>
  <si>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</si>
  <si>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</si>
  <si>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</si>
  <si>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</si>
  <si>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</si>
  <si>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</si>
  <si>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</si>
  <si>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</si>
  <si>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</si>
  <si>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</si>
  <si>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</si>
  <si>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</si>
  <si>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</si>
  <si>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</si>
  <si>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</si>
  <si>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</si>
  <si>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</si>
  <si>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</si>
  <si>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</si>
  <si>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</si>
  <si>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</si>
  <si>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</si>
  <si>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</si>
  <si>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</si>
  <si>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</si>
  <si>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</si>
  <si>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</si>
  <si>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</si>
  <si>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</si>
  <si>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</si>
  <si>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</si>
  <si>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</si>
  <si>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</si>
  <si>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</si>
  <si>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</si>
  <si>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</si>
  <si>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</si>
  <si>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</si>
  <si>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</si>
  <si>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</si>
  <si>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</si>
  <si>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</si>
  <si>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</si>
  <si>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</si>
  <si>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</si>
  <si>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</si>
  <si>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</si>
  <si>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</si>
  <si>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</si>
  <si>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</si>
  <si>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</si>
  <si>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</si>
  <si>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</si>
  <si>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</si>
  <si>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</si>
  <si>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</si>
  <si>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</si>
  <si>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</si>
  <si>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</si>
  <si>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</si>
  <si>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</si>
  <si>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</si>
  <si>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</si>
  <si>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</si>
  <si>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</si>
  <si>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</si>
  <si>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</si>
  <si>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</si>
  <si>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</si>
  <si>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</si>
  <si>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</si>
  <si>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</si>
  <si>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</si>
  <si>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</si>
  <si>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</si>
  <si>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</si>
  <si>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</si>
  <si>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</si>
  <si>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</si>
  <si>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</si>
  <si>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</si>
  <si>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</si>
  <si>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</si>
  <si>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</si>
  <si>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</si>
  <si>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</si>
  <si>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</si>
  <si>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</si>
  <si>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</si>
  <si>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</si>
  <si>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</si>
  <si>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</si>
  <si>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</si>
  <si>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</si>
  <si>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</si>
  <si>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</si>
  <si>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</si>
  <si>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</si>
  <si>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</si>
  <si>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</si>
  <si>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</si>
  <si>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</si>
  <si>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</si>
  <si>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</si>
  <si>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</si>
  <si>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</si>
  <si>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</si>
  <si>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</si>
  <si>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</si>
  <si>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</si>
  <si>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</si>
  <si>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</si>
  <si>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</si>
  <si>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</si>
  <si>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</si>
  <si>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</si>
  <si>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</si>
  <si>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</si>
  <si>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</si>
  <si>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</si>
  <si>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</si>
  <si>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</si>
  <si>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</si>
  <si>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</si>
  <si>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</si>
  <si>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</si>
  <si>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</si>
  <si>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</si>
  <si>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</si>
  <si>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</si>
  <si>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</si>
  <si>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</si>
  <si>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</si>
  <si>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</si>
  <si>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</si>
  <si>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</si>
  <si>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</si>
  <si>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</si>
  <si>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</si>
  <si>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</si>
  <si>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</si>
  <si>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</si>
  <si>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</si>
  <si>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</si>
  <si>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</si>
  <si>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</si>
  <si>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</si>
  <si>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</si>
  <si>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</si>
  <si>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</si>
  <si>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</si>
  <si>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</si>
  <si>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</si>
  <si>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</si>
  <si>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</si>
  <si>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</si>
  <si>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</si>
  <si>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</si>
  <si>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</si>
  <si>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</si>
  <si>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</si>
  <si>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</si>
  <si>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</si>
  <si>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</si>
  <si>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</si>
  <si>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</si>
  <si>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</si>
  <si>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</si>
  <si>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</si>
  <si>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</si>
  <si>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</si>
  <si>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</si>
  <si>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</si>
  <si>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</si>
  <si>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</si>
  <si>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</si>
  <si>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</si>
  <si>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</si>
  <si>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</si>
  <si>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</si>
  <si>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</si>
  <si>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</si>
  <si>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</si>
  <si>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</si>
  <si>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</si>
  <si>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</si>
  <si>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</si>
  <si>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</si>
  <si>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</si>
  <si>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</si>
  <si>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</si>
  <si>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</si>
  <si>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</si>
  <si>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</si>
  <si>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</si>
  <si>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</si>
  <si>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</si>
  <si>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</si>
  <si>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</si>
  <si>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</si>
  <si>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</si>
  <si>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</si>
  <si>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</si>
  <si>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</si>
  <si>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</si>
  <si>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</si>
  <si>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</si>
  <si>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</si>
  <si>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</si>
  <si>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</si>
  <si>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</si>
  <si>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</si>
  <si>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</si>
  <si>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</si>
  <si>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</si>
  <si>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</si>
  <si>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</si>
  <si>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</si>
  <si>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</si>
  <si>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</si>
  <si>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</si>
  <si>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</si>
  <si>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</si>
  <si>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</si>
  <si>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</si>
  <si>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</si>
  <si>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</si>
  <si>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</si>
  <si>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</si>
  <si>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</si>
  <si>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</si>
  <si>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</si>
  <si>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</si>
  <si>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</si>
  <si>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</si>
  <si>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</si>
  <si>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</si>
  <si>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</si>
  <si>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</si>
  <si>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</si>
  <si>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</si>
  <si>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</si>
  <si>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</si>
  <si>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</si>
  <si>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</si>
  <si>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</si>
  <si>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</si>
  <si>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</si>
  <si>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</si>
  <si>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</si>
  <si>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</si>
  <si>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</si>
  <si>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</si>
  <si>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</si>
  <si>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</si>
  <si>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</si>
  <si>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</si>
  <si>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</si>
  <si>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</si>
  <si>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</si>
  <si>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</si>
  <si>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</si>
  <si>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</si>
  <si>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</si>
  <si>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</si>
  <si>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</si>
  <si>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</si>
  <si>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</si>
  <si>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</si>
  <si>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</si>
  <si>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</si>
  <si>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</si>
  <si>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</si>
  <si>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</si>
  <si>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</si>
  <si>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</si>
  <si>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</si>
  <si>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</si>
  <si>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</si>
  <si>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</si>
  <si>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</si>
  <si>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</si>
  <si>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</si>
  <si>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</si>
  <si>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</si>
  <si>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</si>
  <si>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</si>
  <si>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</si>
  <si>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</si>
  <si>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</si>
  <si>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</si>
  <si>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</si>
  <si>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</si>
  <si>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</si>
  <si>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</si>
  <si>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</si>
  <si>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</si>
  <si>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</si>
  <si>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</si>
  <si>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</si>
  <si>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</si>
  <si>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</si>
  <si>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</si>
  <si>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</si>
  <si>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</si>
  <si>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</si>
  <si>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</si>
  <si>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</si>
  <si>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</si>
  <si>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</si>
  <si>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</si>
  <si>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</si>
  <si>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</si>
  <si>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</si>
  <si>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</si>
  <si>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</si>
  <si>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</si>
  <si>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</si>
  <si>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</si>
  <si>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</si>
  <si>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</si>
  <si>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</si>
  <si>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</si>
  <si>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</si>
  <si>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</si>
  <si>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</si>
  <si>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</si>
  <si>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</si>
  <si>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</si>
  <si>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</si>
  <si>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</si>
  <si>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</si>
  <si>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</si>
  <si>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</si>
  <si>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</si>
  <si>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</si>
  <si>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</si>
  <si>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</si>
  <si>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</si>
  <si>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</si>
  <si>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</si>
  <si>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</si>
  <si>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</si>
  <si>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</si>
  <si>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</si>
  <si>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</si>
  <si>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</si>
  <si>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</si>
  <si>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</si>
  <si>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</si>
  <si>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</si>
  <si>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</si>
  <si>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</si>
  <si>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</si>
  <si>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</si>
  <si>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</si>
  <si>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</si>
  <si>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</si>
  <si>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</si>
  <si>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</si>
  <si>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</si>
  <si>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</si>
  <si>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</si>
  <si>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</si>
  <si>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</si>
  <si>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</si>
  <si>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</si>
  <si>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</si>
  <si>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</si>
  <si>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</si>
  <si>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</si>
  <si>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</si>
  <si>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</si>
  <si>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</si>
  <si>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</si>
  <si>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</si>
  <si>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</si>
  <si>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</si>
  <si>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</si>
  <si>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</si>
  <si>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</si>
  <si>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</si>
  <si>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</si>
  <si>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</si>
  <si>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</si>
  <si>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</si>
  <si>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</si>
  <si>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</si>
  <si>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</si>
  <si>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</si>
  <si>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</si>
  <si>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</si>
  <si>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</si>
  <si>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</si>
  <si>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</si>
  <si>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</si>
  <si>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</si>
  <si>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</si>
  <si>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</si>
  <si>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</si>
  <si>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</si>
  <si>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</si>
  <si>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</si>
  <si>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</si>
  <si>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</si>
  <si>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</si>
  <si>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</si>
  <si>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</si>
  <si>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</si>
  <si>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</si>
  <si>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</si>
  <si>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</si>
  <si>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</si>
  <si>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</si>
  <si>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</si>
  <si>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</si>
  <si>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</si>
  <si>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</si>
  <si>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</si>
  <si>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</si>
  <si>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</si>
  <si>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</si>
  <si>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</si>
  <si>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</si>
  <si>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</si>
  <si>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</si>
  <si>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</si>
  <si>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</si>
  <si>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</si>
  <si>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</si>
  <si>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</si>
  <si>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</si>
  <si>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</si>
  <si>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</si>
  <si>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</si>
  <si>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</si>
  <si>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</si>
  <si>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</si>
  <si>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</si>
  <si>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</si>
  <si>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</si>
  <si>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</si>
  <si>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</si>
  <si>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</si>
  <si>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</si>
  <si>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</si>
  <si>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</si>
  <si>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</si>
  <si>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</si>
  <si>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</si>
  <si>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</si>
  <si>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</si>
  <si>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</si>
  <si>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</si>
  <si>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</si>
  <si>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</si>
  <si>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</si>
  <si>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</si>
  <si>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</si>
  <si>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</si>
  <si>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</si>
  <si>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</si>
  <si>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</si>
  <si>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</si>
  <si>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</si>
  <si>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</si>
  <si>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</si>
  <si>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</si>
  <si>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</si>
  <si>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</si>
  <si>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</si>
  <si>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</si>
  <si>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</si>
  <si>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</si>
  <si>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</si>
  <si>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</si>
  <si>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</si>
  <si>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</si>
  <si>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</si>
  <si>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</si>
  <si>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</si>
  <si>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</si>
  <si>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</si>
  <si>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</si>
  <si>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</si>
  <si>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</si>
  <si>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</si>
  <si>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</si>
  <si>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</si>
  <si>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</si>
  <si>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</si>
  <si>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</si>
  <si>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</si>
  <si>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</si>
  <si>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</si>
  <si>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</si>
  <si>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</si>
  <si>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</si>
  <si>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</si>
  <si>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</si>
  <si>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</si>
  <si>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</si>
  <si>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</si>
  <si>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</si>
  <si>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</si>
  <si>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</si>
  <si>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</si>
  <si>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</si>
  <si>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</si>
  <si>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</si>
  <si>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</si>
  <si>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</si>
  <si>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</si>
  <si>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</si>
  <si>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</si>
  <si>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</si>
  <si>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</si>
  <si>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</si>
  <si>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</si>
  <si>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</si>
  <si>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</si>
  <si>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</si>
  <si>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</si>
  <si>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</si>
  <si>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</si>
  <si>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</si>
  <si>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</si>
  <si>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</si>
  <si>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</si>
  <si>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</si>
  <si>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</si>
  <si>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</si>
  <si>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</si>
  <si>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</si>
  <si>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</si>
  <si>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</si>
  <si>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</si>
  <si>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</si>
  <si>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</si>
  <si>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</si>
  <si>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</si>
  <si>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</si>
  <si>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</si>
  <si>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</si>
  <si>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</si>
  <si>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</si>
  <si>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</si>
  <si>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</si>
  <si>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</si>
  <si>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</si>
  <si>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</si>
  <si>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</si>
  <si>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</si>
  <si>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</si>
  <si>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</si>
  <si>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</si>
  <si>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</si>
  <si>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</si>
  <si>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</si>
  <si>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</si>
  <si>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</si>
  <si>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</si>
  <si>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</si>
  <si>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</si>
  <si>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</si>
  <si>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</si>
  <si>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</si>
  <si>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</si>
  <si>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</si>
  <si>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</si>
  <si>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</si>
  <si>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</si>
  <si>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</si>
  <si>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</si>
  <si>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</si>
  <si>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</si>
  <si>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</si>
  <si>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</si>
  <si>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</si>
  <si>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</si>
  <si>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</si>
  <si>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</si>
  <si>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</si>
  <si>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</si>
  <si>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</si>
  <si>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</si>
  <si>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</si>
  <si>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</si>
  <si>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</si>
  <si>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</si>
  <si>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</si>
  <si>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</si>
  <si>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</si>
  <si>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</si>
  <si>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</si>
  <si>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</si>
  <si>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</si>
  <si>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</si>
  <si>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</si>
  <si>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</si>
  <si>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</si>
  <si>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</si>
  <si>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</si>
  <si>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</si>
  <si>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</si>
  <si>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</si>
  <si>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</si>
  <si>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</si>
  <si>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</si>
  <si>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</si>
  <si>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</si>
  <si>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</si>
  <si>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</si>
  <si>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</si>
  <si>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</si>
  <si>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</si>
  <si>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</si>
  <si>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</si>
  <si>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</si>
  <si>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</si>
  <si>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</si>
  <si>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</si>
  <si>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</si>
  <si>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</si>
  <si>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</si>
  <si>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</si>
  <si>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</si>
  <si>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</si>
  <si>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</si>
  <si>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</si>
  <si>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</si>
  <si>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</si>
  <si>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</si>
  <si>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</si>
  <si>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</si>
  <si>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</si>
  <si>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</si>
  <si>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</si>
  <si>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</si>
  <si>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</si>
  <si>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</si>
  <si>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</si>
  <si>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</si>
  <si>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</si>
  <si>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</si>
  <si>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</si>
  <si>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</si>
  <si>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</si>
  <si>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</si>
  <si>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</si>
  <si>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</si>
  <si>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</si>
  <si>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</si>
  <si>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</si>
  <si>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</si>
  <si>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</si>
  <si>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</si>
  <si>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</si>
  <si>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</si>
  <si>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</si>
  <si>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</si>
  <si>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</si>
  <si>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</si>
  <si>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</si>
  <si>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</si>
  <si>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</si>
  <si>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</si>
  <si>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</si>
  <si>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</si>
  <si>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</si>
  <si>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</si>
  <si>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</si>
  <si>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</si>
  <si>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</si>
  <si>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</si>
  <si>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</si>
  <si>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</si>
  <si>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</si>
  <si>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</si>
  <si>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</si>
  <si>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</si>
  <si>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</si>
  <si>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</si>
  <si>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</si>
  <si>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</si>
  <si>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</si>
  <si>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</si>
  <si>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</si>
  <si>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</si>
  <si>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</si>
  <si>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</si>
  <si>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</si>
  <si>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</si>
  <si>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</si>
  <si>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</si>
  <si>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</si>
  <si>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</si>
  <si>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</si>
  <si>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</si>
  <si>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</si>
  <si>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</si>
  <si>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</si>
  <si>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</si>
  <si>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</si>
  <si>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</si>
  <si>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</si>
  <si>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</si>
  <si>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</si>
  <si>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</si>
  <si>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</si>
  <si>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</si>
  <si>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</si>
  <si>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</si>
  <si>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</si>
  <si>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</si>
  <si>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</si>
  <si>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</si>
  <si>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</si>
  <si>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</si>
  <si>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</si>
  <si>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</si>
  <si>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</si>
  <si>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</si>
  <si>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</si>
  <si>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</si>
  <si>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</si>
  <si>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</si>
  <si>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</si>
  <si>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</si>
  <si>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</si>
  <si>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</si>
  <si>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</si>
  <si>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</si>
  <si>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</si>
  <si>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</si>
  <si>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</si>
  <si>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</si>
  <si>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</si>
  <si>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</si>
  <si>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</si>
  <si>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</si>
  <si>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</si>
  <si>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</si>
  <si>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</si>
  <si>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</si>
  <si>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</si>
  <si>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</si>
  <si>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</si>
  <si>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</si>
  <si>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</si>
  <si>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</si>
  <si>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</si>
  <si>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</si>
  <si>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</si>
  <si>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</si>
  <si>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</si>
  <si>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</si>
  <si>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</si>
  <si>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</si>
  <si>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</si>
  <si>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</si>
  <si>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</si>
  <si>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</si>
  <si>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</si>
  <si>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</si>
  <si>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</si>
  <si>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</si>
  <si>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</si>
  <si>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</si>
  <si>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</si>
  <si>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</si>
  <si>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</si>
  <si>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</si>
  <si>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</si>
  <si>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</si>
  <si>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</si>
  <si>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</si>
  <si>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</si>
  <si>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</si>
  <si>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</si>
  <si>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</si>
  <si>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</si>
  <si>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</si>
  <si>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</si>
  <si>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</si>
  <si>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</si>
  <si>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</si>
  <si>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</si>
  <si>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</si>
  <si>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</si>
  <si>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</si>
  <si>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</si>
  <si>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</si>
  <si>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</si>
  <si>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</si>
  <si>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</si>
  <si>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</si>
  <si>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</si>
  <si>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</si>
  <si>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</si>
  <si>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</si>
  <si>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</si>
  <si>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</si>
  <si>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</si>
  <si>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</si>
  <si>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</si>
  <si>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</si>
  <si>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</si>
  <si>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</si>
  <si>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</si>
  <si>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</si>
  <si>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</si>
  <si>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</si>
  <si>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</si>
  <si>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</si>
  <si>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</si>
  <si>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</si>
  <si>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</si>
  <si>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</si>
  <si>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</si>
  <si>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</si>
  <si>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</si>
  <si>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</si>
  <si>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</si>
  <si>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</si>
  <si>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</si>
  <si>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</si>
  <si>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</si>
  <si>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</si>
  <si>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</si>
  <si>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</si>
  <si>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</si>
  <si>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</si>
  <si>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</si>
  <si>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</si>
  <si>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</si>
  <si>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</si>
  <si>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</si>
  <si>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</si>
  <si>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</si>
  <si>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</si>
  <si>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</si>
  <si>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</si>
  <si>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</si>
  <si>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</si>
  <si>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</si>
  <si>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</si>
  <si>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</si>
  <si>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</si>
  <si>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</si>
  <si>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</si>
  <si>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</si>
  <si>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</si>
  <si>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</si>
  <si>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</si>
  <si>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</si>
  <si>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</si>
  <si>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</si>
  <si>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</si>
  <si>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</si>
  <si>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</si>
  <si>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</si>
  <si>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</si>
  <si>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</si>
  <si>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</si>
  <si>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</si>
  <si>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</si>
  <si>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</si>
  <si>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</si>
  <si>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</si>
  <si>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</si>
  <si>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</si>
  <si>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</si>
  <si>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</si>
  <si>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</si>
  <si>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</si>
  <si>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</si>
  <si>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</si>
  <si>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</si>
  <si>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</si>
  <si>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</si>
  <si>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</si>
  <si>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</si>
  <si>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</si>
  <si>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</si>
  <si>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</si>
  <si>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</si>
  <si>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</si>
  <si>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</si>
  <si>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</si>
  <si>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</si>
  <si>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</si>
  <si>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</si>
  <si>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</si>
  <si>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</si>
  <si>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</si>
  <si>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</si>
  <si>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</si>
  <si>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</si>
  <si>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</si>
  <si>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</si>
  <si>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</si>
  <si>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</si>
  <si>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</si>
  <si>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</si>
  <si>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</si>
  <si>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</si>
  <si>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</si>
  <si>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</si>
  <si>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</si>
  <si>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</si>
  <si>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</si>
  <si>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</si>
  <si>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</si>
  <si>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</si>
  <si>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</si>
  <si>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</si>
  <si>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</si>
  <si>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</si>
  <si>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</si>
  <si>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</si>
  <si>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</si>
  <si>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</si>
  <si>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</si>
  <si>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</si>
  <si>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</si>
  <si>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</si>
  <si>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</si>
  <si>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</si>
  <si>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</si>
  <si>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</si>
  <si>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</si>
  <si>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</si>
  <si>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</si>
  <si>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</si>
  <si>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</si>
  <si>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</si>
  <si>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</si>
  <si>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</si>
  <si>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</si>
  <si>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</si>
  <si>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</si>
  <si>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</si>
  <si>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</si>
  <si>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</si>
  <si>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</si>
  <si>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</si>
  <si>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</si>
  <si>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</si>
  <si>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</si>
  <si>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</si>
  <si>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</si>
  <si>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</si>
  <si>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</si>
  <si>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</si>
  <si>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</si>
  <si>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</si>
  <si>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</si>
  <si>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</si>
  <si>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</si>
  <si>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</si>
  <si>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</si>
  <si>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</si>
  <si>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</si>
  <si>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</si>
  <si>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</si>
  <si>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</si>
  <si>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</si>
  <si>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</si>
  <si>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</si>
  <si>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</si>
  <si>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</si>
  <si>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</si>
  <si>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</si>
  <si>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</si>
  <si>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</si>
  <si>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</si>
  <si>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</si>
  <si>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</si>
  <si>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</si>
  <si>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</si>
  <si>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</si>
  <si>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</si>
  <si>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</si>
  <si>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</si>
  <si>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</si>
  <si>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</si>
  <si>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</si>
  <si>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</si>
  <si>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</si>
  <si>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</si>
  <si>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</si>
  <si>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</si>
  <si>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</si>
  <si>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</si>
  <si>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</si>
  <si>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</si>
  <si>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</si>
  <si>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</si>
  <si>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</si>
  <si>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</si>
  <si>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</si>
  <si>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</si>
  <si>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</si>
  <si>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</si>
  <si>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</si>
  <si>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</si>
  <si>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</si>
  <si>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</si>
  <si>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</si>
  <si>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</si>
  <si>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</si>
  <si>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</si>
  <si>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</si>
  <si>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</si>
  <si>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</si>
  <si>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</si>
  <si>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</si>
  <si>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</si>
  <si>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</si>
  <si>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</si>
  <si>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</si>
  <si>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</si>
  <si>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</si>
  <si>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</si>
  <si>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</si>
  <si>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</si>
  <si>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</si>
  <si>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</si>
  <si>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</si>
  <si>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</si>
  <si>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</si>
  <si>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</si>
  <si>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</si>
  <si>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</si>
  <si>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</si>
  <si>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</si>
  <si>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</si>
  <si>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</si>
  <si>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</si>
  <si>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</si>
  <si>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</si>
  <si>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</si>
  <si>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</si>
  <si>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</si>
  <si>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</si>
  <si>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</si>
  <si>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</si>
  <si>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</si>
  <si>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</si>
  <si>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</si>
  <si>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</si>
  <si>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</si>
  <si>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</si>
  <si>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</si>
  <si>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</si>
  <si>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</si>
  <si>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</si>
  <si>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</si>
  <si>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</si>
  <si>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</si>
  <si>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</si>
  <si>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</si>
  <si>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</si>
  <si>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</si>
  <si>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</si>
  <si>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</si>
  <si>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</si>
  <si>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</si>
  <si>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</si>
  <si>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</si>
  <si>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</si>
  <si>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</si>
  <si>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</si>
  <si>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</si>
  <si>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</si>
  <si>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</si>
  <si>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</si>
  <si>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</si>
  <si>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</si>
  <si>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</si>
  <si>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</si>
  <si>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</si>
  <si>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</si>
  <si>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</si>
  <si>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</si>
  <si>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</si>
  <si>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</si>
  <si>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</si>
  <si>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</si>
  <si>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</si>
  <si>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</si>
  <si>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</si>
  <si>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</si>
  <si>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</si>
  <si>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</si>
  <si>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</si>
  <si>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</si>
  <si>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</si>
  <si>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</si>
  <si>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</si>
  <si>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</si>
  <si>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</si>
  <si>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</si>
  <si>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</si>
  <si>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</si>
  <si>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</si>
  <si>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</si>
  <si>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</si>
  <si>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</si>
  <si>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</si>
  <si>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</si>
  <si>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</si>
  <si>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</si>
  <si>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</si>
  <si>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</si>
  <si>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</si>
  <si>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</si>
  <si>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</si>
  <si>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</si>
  <si>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</si>
  <si>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</si>
  <si>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</si>
  <si>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</si>
  <si>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</si>
  <si>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</si>
  <si>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</si>
  <si>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</si>
  <si>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</si>
  <si>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</si>
  <si>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</si>
  <si>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</si>
  <si>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</si>
  <si>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</si>
  <si>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</si>
  <si>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</si>
  <si>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</si>
  <si>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</si>
  <si>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</si>
  <si>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</si>
  <si>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</si>
  <si>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</si>
  <si>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</si>
  <si>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</si>
  <si>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</si>
  <si>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</si>
  <si>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</si>
  <si>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</si>
  <si>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</si>
  <si>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</si>
  <si>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</si>
  <si>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</si>
  <si>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</si>
  <si>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</si>
  <si>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</si>
  <si>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</si>
  <si>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</si>
  <si>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</si>
  <si>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</si>
  <si>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</si>
  <si>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</si>
  <si>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</si>
  <si>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</si>
  <si>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</si>
  <si>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</si>
  <si>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</si>
  <si>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</si>
  <si>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</si>
  <si>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</si>
  <si>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</si>
  <si>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</si>
  <si>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</si>
  <si>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</si>
  <si>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</si>
  <si>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</si>
  <si>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</si>
  <si>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</si>
  <si>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</si>
  <si>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</si>
  <si>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</si>
  <si>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</si>
  <si>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</si>
  <si>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</si>
  <si>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</si>
  <si>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</si>
  <si>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</si>
  <si>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</si>
  <si>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</si>
  <si>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</si>
  <si>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</si>
  <si>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</si>
  <si>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</si>
  <si>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</si>
  <si>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</si>
  <si>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</si>
  <si>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</si>
  <si>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</si>
  <si>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</si>
  <si>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</si>
  <si>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</si>
  <si>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</si>
  <si>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</si>
  <si>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</si>
  <si>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</si>
  <si>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</si>
  <si>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</si>
  <si>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</si>
  <si>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</si>
  <si>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</si>
  <si>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</si>
  <si>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</si>
  <si>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</si>
  <si>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</si>
  <si>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</si>
  <si>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</si>
  <si>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</si>
  <si>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</si>
  <si>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</si>
  <si>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</si>
  <si>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</si>
  <si>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</si>
  <si>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</si>
  <si>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</si>
  <si>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</si>
  <si>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</si>
  <si>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</si>
  <si>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</si>
  <si>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</si>
  <si>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</si>
  <si>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</si>
  <si>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</si>
  <si>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</si>
  <si>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</si>
  <si>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</si>
  <si>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</si>
  <si>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</si>
  <si>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</si>
  <si>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</si>
  <si>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</si>
  <si>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</si>
  <si>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</si>
  <si>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</si>
  <si>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</si>
  <si>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</si>
  <si>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</si>
  <si>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</si>
  <si>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</si>
  <si>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</si>
  <si>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</si>
  <si>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</si>
  <si>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</si>
  <si>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</si>
  <si>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</si>
  <si>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</si>
  <si>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</si>
  <si>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</si>
  <si>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</si>
  <si>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</si>
  <si>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</si>
  <si>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</si>
  <si>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</si>
  <si>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</si>
  <si>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</si>
  <si>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</si>
  <si>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</si>
  <si>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</si>
  <si>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</si>
  <si>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</si>
  <si>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</si>
  <si>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</si>
  <si>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</si>
  <si>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</si>
  <si>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</si>
  <si>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</si>
  <si>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</si>
  <si>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</si>
  <si>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</si>
  <si>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</si>
  <si>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</si>
  <si>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</si>
  <si>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</si>
  <si>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</si>
  <si>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</si>
  <si>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</si>
  <si>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</si>
  <si>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</si>
  <si>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</si>
  <si>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</si>
  <si>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</si>
  <si>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</si>
  <si>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</si>
  <si>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</si>
  <si>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</si>
  <si>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</si>
  <si>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</si>
  <si>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</si>
  <si>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</si>
  <si>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</si>
  <si>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</si>
  <si>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</si>
  <si>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</si>
  <si>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</si>
  <si>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</si>
  <si>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</si>
  <si>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</si>
  <si>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</si>
  <si>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</si>
  <si>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</si>
  <si>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</si>
  <si>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</si>
  <si>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</si>
  <si>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</si>
  <si>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</si>
  <si>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</si>
  <si>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</si>
  <si>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</si>
  <si>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</si>
  <si>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</si>
  <si>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</si>
  <si>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</si>
  <si>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</si>
  <si>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</si>
  <si>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</si>
  <si>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</si>
  <si>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</si>
  <si>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</si>
  <si>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</si>
  <si>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</si>
  <si>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</si>
  <si>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</si>
  <si>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</si>
  <si>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</si>
  <si>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</si>
  <si>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</si>
  <si>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</si>
  <si>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</si>
  <si>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</si>
  <si>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</si>
  <si>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</si>
  <si>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</si>
  <si>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</si>
  <si>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</si>
  <si>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</si>
  <si>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</si>
  <si>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</si>
  <si>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</si>
  <si>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</si>
  <si>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</si>
  <si>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</si>
  <si>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</si>
  <si>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</si>
  <si>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</si>
  <si>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</si>
  <si>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</si>
  <si>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</si>
  <si>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</si>
  <si>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</si>
  <si>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</si>
  <si>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</si>
  <si>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</si>
  <si>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</si>
  <si>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</si>
  <si>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</si>
  <si>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</si>
  <si>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</si>
  <si>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</si>
  <si>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</si>
  <si>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</si>
  <si>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</si>
  <si>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</si>
  <si>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</si>
  <si>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</si>
  <si>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</si>
  <si>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</si>
  <si>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</si>
  <si>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</si>
  <si>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</si>
  <si>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</si>
  <si>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</si>
  <si>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</si>
  <si>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</si>
  <si>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</si>
  <si>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</si>
  <si>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</si>
  <si>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</si>
  <si>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</si>
  <si>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</si>
  <si>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</si>
  <si>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</si>
  <si>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</si>
  <si>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</si>
  <si>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</si>
  <si>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</si>
  <si>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</si>
  <si>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</si>
  <si>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</si>
  <si>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</si>
  <si>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</si>
  <si>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</si>
  <si>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</si>
  <si>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</si>
  <si>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</si>
  <si>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</si>
  <si>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</si>
  <si>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</si>
  <si>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</si>
  <si>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</si>
  <si>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</si>
  <si>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</si>
  <si>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</si>
  <si>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</si>
  <si>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</si>
  <si>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</si>
  <si>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</si>
  <si>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</si>
  <si>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</si>
  <si>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</si>
  <si>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</si>
  <si>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</si>
  <si>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</si>
  <si>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</si>
  <si>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</si>
  <si>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</si>
  <si>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</si>
  <si>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</si>
  <si>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</si>
  <si>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</si>
  <si>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</si>
  <si>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</si>
  <si>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</si>
  <si>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</si>
  <si>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</si>
  <si>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</si>
  <si>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</si>
  <si>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</si>
  <si>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</si>
  <si>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</si>
  <si>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</si>
  <si>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</si>
  <si>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</si>
  <si>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</si>
  <si>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</si>
  <si>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</si>
  <si>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</si>
  <si>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</si>
  <si>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</si>
  <si>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</si>
  <si>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</si>
  <si>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</si>
  <si>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</si>
  <si>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</si>
  <si>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</si>
  <si>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</si>
  <si>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</si>
  <si>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</si>
  <si>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</si>
  <si>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</si>
  <si>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</si>
  <si>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</si>
  <si>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</si>
  <si>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</si>
  <si>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</si>
  <si>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</si>
  <si>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</si>
  <si>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</si>
  <si>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</si>
  <si>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</si>
  <si>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</si>
  <si>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</si>
  <si>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</si>
  <si>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</si>
  <si>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</si>
  <si>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</si>
  <si>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</si>
  <si>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</si>
  <si>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</si>
  <si>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</si>
  <si>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</si>
  <si>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</si>
  <si>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</si>
  <si>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</si>
  <si>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</si>
  <si>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</si>
  <si>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</si>
  <si>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</si>
  <si>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</si>
  <si>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</si>
  <si>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</si>
  <si>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</si>
  <si>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</si>
  <si>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</si>
  <si>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</si>
  <si>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</si>
  <si>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</si>
  <si>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</si>
  <si>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</si>
  <si>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</si>
  <si>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</si>
  <si>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</si>
  <si>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</si>
  <si>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</si>
  <si>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</si>
  <si>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</si>
  <si>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</si>
  <si>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</si>
  <si>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</si>
  <si>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</si>
  <si>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</si>
  <si>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</si>
  <si>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</si>
  <si>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</si>
  <si>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</si>
  <si>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</si>
  <si>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</si>
  <si>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</si>
  <si>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</si>
  <si>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</si>
  <si>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</si>
  <si>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</si>
  <si>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</si>
  <si>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</si>
  <si>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</si>
  <si>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</si>
  <si>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</si>
  <si>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</si>
  <si>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</si>
  <si>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</si>
  <si>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</si>
  <si>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</si>
  <si>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</si>
  <si>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</si>
  <si>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</si>
  <si>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</si>
  <si>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</si>
  <si>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</si>
  <si>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</si>
  <si>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</si>
  <si>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</si>
  <si>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</si>
  <si>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</si>
  <si>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</si>
  <si>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</si>
  <si>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</si>
  <si>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</si>
  <si>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</si>
  <si>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</si>
  <si>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</si>
  <si>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</si>
  <si>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</si>
  <si>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</si>
  <si>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</si>
  <si>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</si>
  <si>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</si>
  <si>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</si>
  <si>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</si>
  <si>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</si>
  <si>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</si>
  <si>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</si>
  <si>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</si>
  <si>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</si>
  <si>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</si>
  <si>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</si>
  <si>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</si>
  <si>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</si>
  <si>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</si>
  <si>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</si>
  <si>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</si>
  <si>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</si>
  <si>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</si>
  <si>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</si>
  <si>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</si>
  <si>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</si>
  <si>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</si>
  <si>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</si>
  <si>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</si>
  <si>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</si>
  <si>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</si>
  <si>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</si>
  <si>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</si>
  <si>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</si>
  <si>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</si>
  <si>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</si>
  <si>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</si>
  <si>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</si>
  <si>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</si>
  <si>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</si>
  <si>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</si>
  <si>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</si>
  <si>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</si>
  <si>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</si>
  <si>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</si>
  <si>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</si>
  <si>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</si>
  <si>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</si>
  <si>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</si>
  <si>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</si>
  <si>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</si>
  <si>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</si>
  <si>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</si>
  <si>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</si>
  <si>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</si>
  <si>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</si>
  <si>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</si>
  <si>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</si>
  <si>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</si>
  <si>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</si>
  <si>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</si>
  <si>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</si>
  <si>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</si>
  <si>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</si>
  <si>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</si>
  <si>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</si>
  <si>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</si>
  <si>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</si>
  <si>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</si>
  <si>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</si>
  <si>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</si>
  <si>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</si>
  <si>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</si>
  <si>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</si>
  <si>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</si>
  <si>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</si>
  <si>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</si>
  <si>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</si>
  <si>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</si>
  <si>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</si>
  <si>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</si>
  <si>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</si>
  <si>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</si>
  <si>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</si>
  <si>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</si>
  <si>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</si>
  <si>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</si>
  <si>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</si>
  <si>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</si>
  <si>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</si>
  <si>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</si>
  <si>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</si>
  <si>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</si>
  <si>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</si>
  <si>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</si>
  <si>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</si>
  <si>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</si>
  <si>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</si>
  <si>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</si>
  <si>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</si>
  <si>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</si>
  <si>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</si>
  <si>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</si>
  <si>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</si>
  <si>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</si>
  <si>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</si>
  <si>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</si>
  <si>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</si>
  <si>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</si>
  <si>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</si>
  <si>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</si>
  <si>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</si>
  <si>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</si>
  <si>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</si>
  <si>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</si>
  <si>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</si>
  <si>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</si>
  <si>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</si>
  <si>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</si>
  <si>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</si>
  <si>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</si>
  <si>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</si>
  <si>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</si>
  <si>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</si>
  <si>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</si>
  <si>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</si>
  <si>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</si>
  <si>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</si>
  <si>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</si>
  <si>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</si>
  <si>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</si>
  <si>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</si>
  <si>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</si>
  <si>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</si>
  <si>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</si>
  <si>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</si>
  <si>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</si>
  <si>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</si>
  <si>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</si>
  <si>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</si>
  <si>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</si>
  <si>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</si>
  <si>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</si>
  <si>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</si>
  <si>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</si>
  <si>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</si>
  <si>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</si>
  <si>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</si>
  <si>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</si>
  <si>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</si>
  <si>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</si>
  <si>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</si>
  <si>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</si>
  <si>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</si>
  <si>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</si>
  <si>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</si>
  <si>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</si>
  <si>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</si>
  <si>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</si>
  <si>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</si>
  <si>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</si>
  <si>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</si>
  <si>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</si>
  <si>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</si>
  <si>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</si>
  <si>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</si>
  <si>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</si>
  <si>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</si>
  <si>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</si>
  <si>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</si>
  <si>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</si>
  <si>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</si>
  <si>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</si>
  <si>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</si>
  <si>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</si>
  <si>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</si>
  <si>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</si>
  <si>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</si>
  <si>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</si>
  <si>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</si>
  <si>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</si>
  <si>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</si>
  <si>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</si>
  <si>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</si>
  <si>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</si>
  <si>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</si>
  <si>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</si>
  <si>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</si>
  <si>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</si>
  <si>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</si>
  <si>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</si>
  <si>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</si>
  <si>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</si>
  <si>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</si>
  <si>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</si>
  <si>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</si>
  <si>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</si>
  <si>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</si>
  <si>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</si>
  <si>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</si>
  <si>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</si>
  <si>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</si>
  <si>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</si>
  <si>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</si>
  <si>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</si>
  <si>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</si>
  <si>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</si>
  <si>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</si>
  <si>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</si>
  <si>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</si>
  <si>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</si>
  <si>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</si>
  <si>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</si>
  <si>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</si>
  <si>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</si>
  <si>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</si>
  <si>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</si>
  <si>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</si>
  <si>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</si>
  <si>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</si>
  <si>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</si>
  <si>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</si>
  <si>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</si>
  <si>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</si>
  <si>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</si>
  <si>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</si>
  <si>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</si>
  <si>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</si>
  <si>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</si>
  <si>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</si>
  <si>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</si>
  <si>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</si>
  <si>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</si>
  <si>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</si>
  <si>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</si>
  <si>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</si>
  <si>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</si>
  <si>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</si>
  <si>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</si>
  <si>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</si>
  <si>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</si>
  <si>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</si>
  <si>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</si>
  <si>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</si>
  <si>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</si>
  <si>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</si>
  <si>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</si>
  <si>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</si>
  <si>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</si>
  <si>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</si>
  <si>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</si>
  <si>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</si>
  <si>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</si>
  <si>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</si>
  <si>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</si>
  <si>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</si>
  <si>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</si>
  <si>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</si>
  <si>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</si>
  <si>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</si>
  <si>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</si>
  <si>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</si>
  <si>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</si>
  <si>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</si>
  <si>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</si>
  <si>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</si>
  <si>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</si>
  <si>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</si>
  <si>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</si>
  <si>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</si>
  <si>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</si>
  <si>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</si>
  <si>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</si>
  <si>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</si>
  <si>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</si>
  <si>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</si>
  <si>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</si>
  <si>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</si>
  <si>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</si>
  <si>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</si>
  <si>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</si>
  <si>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</si>
  <si>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</si>
  <si>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</si>
  <si>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</si>
  <si>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</si>
  <si>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</si>
  <si>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</si>
  <si>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</si>
  <si>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</si>
  <si>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</si>
  <si>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</si>
  <si>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</si>
  <si>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</si>
  <si>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</si>
  <si>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</si>
  <si>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</si>
  <si>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</si>
  <si>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</si>
  <si>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</si>
  <si>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</si>
  <si>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</si>
  <si>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</si>
  <si>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</si>
  <si>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</si>
  <si>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</si>
  <si>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</si>
  <si>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</si>
  <si>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</si>
  <si>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</si>
  <si>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</si>
  <si>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</si>
  <si>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</si>
  <si>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</si>
  <si>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</si>
  <si>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</si>
  <si>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</si>
  <si>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</si>
  <si>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</si>
  <si>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</si>
  <si>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</si>
  <si>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</si>
  <si>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</si>
  <si>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</si>
  <si>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</si>
  <si>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</si>
  <si>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</si>
  <si>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</si>
  <si>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</si>
  <si>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</si>
  <si>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</si>
  <si>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</si>
  <si>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</si>
  <si>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</si>
  <si>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</si>
  <si>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</si>
  <si>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</si>
  <si>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</si>
  <si>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</si>
  <si>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</si>
  <si>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</si>
  <si>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</si>
  <si>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</si>
  <si>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</si>
  <si>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</si>
  <si>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</si>
  <si>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</si>
  <si>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</si>
  <si>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</si>
  <si>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</si>
  <si>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</si>
  <si>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</si>
  <si>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</si>
  <si>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</si>
  <si>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</si>
  <si>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</si>
  <si>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</si>
  <si>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</si>
  <si>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</si>
  <si>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</si>
  <si>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</si>
  <si>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</si>
  <si>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</si>
  <si>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</si>
  <si>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</si>
  <si>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</si>
  <si>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</si>
  <si>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</si>
  <si>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</si>
  <si>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</si>
  <si>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</si>
  <si>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</si>
  <si>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</si>
  <si>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</si>
  <si>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</si>
  <si>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</si>
  <si>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</si>
  <si>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</si>
  <si>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</si>
  <si>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</si>
  <si>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</si>
  <si>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</si>
  <si>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</si>
  <si>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</si>
  <si>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</si>
  <si>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</si>
  <si>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</si>
  <si>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</si>
  <si>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</si>
  <si>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</si>
  <si>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</si>
  <si>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</si>
  <si>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</si>
  <si>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</si>
  <si>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</si>
  <si>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</si>
  <si>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</si>
  <si>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</si>
  <si>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</si>
  <si>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</si>
  <si>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</si>
  <si>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</si>
  <si>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</si>
  <si>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</si>
  <si>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</si>
  <si>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</si>
  <si>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</si>
  <si>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</si>
  <si>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</si>
  <si>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</si>
  <si>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</si>
  <si>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</si>
  <si>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</si>
  <si>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</si>
  <si>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</si>
  <si>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</si>
  <si>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</si>
  <si>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</si>
  <si>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</si>
  <si>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</si>
  <si>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</si>
  <si>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</si>
  <si>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</si>
  <si>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</si>
  <si>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</si>
  <si>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</si>
  <si>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</si>
  <si>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</si>
  <si>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</si>
  <si>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</si>
  <si>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</si>
  <si>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</si>
  <si>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</si>
  <si>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</si>
  <si>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</si>
  <si>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</si>
  <si>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</si>
  <si>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</si>
  <si>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</si>
  <si>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</si>
  <si>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</si>
  <si>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</si>
  <si>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</si>
  <si>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</si>
  <si>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</si>
  <si>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</si>
  <si>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</si>
  <si>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</si>
  <si>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</si>
  <si>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</si>
  <si>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</si>
  <si>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</si>
  <si>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</si>
  <si>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</si>
  <si>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</si>
  <si>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</si>
  <si>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</si>
  <si>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</si>
  <si>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</si>
  <si>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</si>
  <si>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</si>
  <si>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</si>
  <si>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</si>
  <si>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</si>
  <si>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</si>
  <si>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</si>
  <si>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</si>
  <si>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</si>
  <si>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</si>
  <si>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</si>
  <si>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</si>
  <si>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</si>
  <si>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</si>
  <si>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</si>
  <si>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</si>
  <si>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</si>
  <si>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</si>
  <si>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</si>
  <si>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</si>
  <si>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</si>
  <si>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</si>
  <si>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</si>
  <si>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</si>
  <si>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</si>
  <si>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</si>
  <si>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</si>
  <si>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</si>
  <si>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</si>
  <si>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</si>
  <si>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</si>
  <si>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</si>
  <si>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</si>
  <si>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</si>
  <si>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</si>
  <si>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</si>
  <si>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</si>
  <si>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</si>
  <si>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</si>
  <si>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</si>
  <si>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</si>
  <si>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</si>
  <si>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</si>
  <si>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</si>
  <si>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</si>
  <si>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</si>
  <si>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</si>
  <si>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</si>
  <si>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</si>
  <si>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</si>
  <si>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</si>
  <si>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</si>
  <si>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</si>
  <si>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</si>
  <si>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</si>
  <si>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</si>
  <si>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</si>
  <si>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</si>
  <si>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</si>
  <si>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</si>
  <si>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</si>
  <si>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</si>
  <si>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</si>
  <si>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</si>
  <si>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</si>
  <si>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</si>
  <si>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</si>
  <si>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</si>
  <si>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</si>
  <si>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</si>
  <si>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</si>
  <si>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</si>
  <si>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</si>
  <si>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</si>
  <si>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</si>
  <si>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</si>
  <si>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</si>
  <si>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</si>
  <si>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</si>
  <si>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</si>
  <si>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</si>
  <si>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</si>
  <si>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</si>
  <si>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</si>
  <si>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</si>
  <si>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</si>
  <si>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</si>
  <si>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</si>
  <si>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</si>
  <si>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</si>
  <si>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</si>
  <si>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</si>
  <si>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</si>
  <si>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</si>
  <si>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</si>
  <si>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</si>
  <si>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</si>
  <si>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</si>
  <si>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</si>
  <si>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</si>
  <si>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</si>
  <si>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</si>
  <si>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</si>
  <si>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</si>
  <si>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</si>
  <si>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</si>
  <si>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</si>
  <si>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</si>
  <si>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</si>
  <si>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</si>
  <si>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</si>
  <si>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</si>
  <si>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</si>
  <si>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</si>
  <si>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</si>
  <si>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</si>
  <si>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</si>
  <si>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</si>
  <si>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</si>
  <si>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</si>
  <si>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</si>
  <si>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</si>
  <si>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</si>
  <si>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</si>
  <si>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</si>
  <si>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</si>
  <si>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</si>
  <si>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</si>
  <si>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</si>
  <si>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</si>
  <si>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</si>
  <si>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</si>
  <si>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</si>
  <si>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</si>
  <si>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</si>
  <si>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</si>
  <si>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</si>
  <si>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</si>
  <si>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</si>
  <si>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</si>
  <si>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</si>
  <si>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</si>
  <si>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</si>
  <si>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</si>
  <si>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</si>
  <si>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</si>
  <si>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</si>
  <si>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</si>
  <si>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</si>
  <si>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</si>
  <si>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</si>
  <si>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</si>
  <si>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</si>
  <si>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</si>
  <si>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</si>
  <si>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</si>
  <si>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</si>
  <si>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</si>
  <si>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</si>
  <si>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</si>
  <si>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</si>
  <si>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</si>
  <si>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</si>
  <si>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</si>
  <si>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</si>
  <si>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</si>
  <si>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</si>
  <si>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</si>
  <si>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</si>
  <si>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</si>
  <si>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</si>
  <si>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</si>
  <si>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</si>
  <si>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</si>
  <si>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</si>
  <si>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</si>
  <si>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</si>
  <si>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</si>
  <si>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</si>
  <si>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</si>
  <si>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</si>
  <si>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</si>
  <si>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</si>
  <si>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</si>
  <si>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</si>
  <si>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</si>
  <si>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</si>
  <si>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</si>
  <si>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</si>
  <si>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</si>
  <si>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</si>
  <si>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</si>
  <si>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</si>
  <si>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</si>
  <si>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</si>
  <si>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</si>
  <si>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</si>
  <si>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</si>
  <si>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</si>
  <si>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</si>
  <si>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</si>
  <si>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</si>
  <si>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</si>
  <si>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</si>
  <si>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</si>
  <si>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</si>
  <si>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</si>
  <si>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</si>
  <si>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</si>
  <si>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</si>
  <si>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</si>
  <si>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</si>
  <si>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</si>
  <si>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</si>
  <si>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</si>
  <si>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</si>
  <si>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</si>
  <si>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</si>
  <si>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</si>
  <si>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</si>
  <si>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</si>
  <si>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</si>
  <si>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</si>
  <si>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</si>
  <si>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</si>
  <si>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</si>
  <si>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</si>
  <si>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</si>
  <si>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</si>
  <si>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</si>
  <si>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</si>
  <si>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</si>
  <si>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</si>
  <si>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</si>
  <si>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</si>
  <si>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</si>
  <si>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</si>
  <si>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</si>
  <si>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</si>
  <si>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</si>
  <si>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</si>
  <si>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</si>
  <si>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</si>
  <si>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</si>
  <si>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</si>
  <si>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</si>
  <si>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</si>
  <si>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</si>
  <si>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</si>
  <si>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</si>
  <si>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</si>
  <si>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</si>
  <si>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</si>
  <si>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</si>
  <si>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</si>
  <si>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</si>
  <si>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</si>
  <si>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</si>
  <si>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</si>
  <si>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</si>
  <si>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</si>
  <si>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</si>
  <si>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</si>
  <si>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</si>
  <si>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</si>
  <si>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</si>
  <si>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</si>
  <si>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</si>
  <si>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</si>
  <si>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</si>
  <si>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</si>
  <si>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</si>
  <si>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</si>
  <si>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</si>
  <si>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</si>
  <si>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</si>
  <si>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</si>
  <si>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</si>
  <si>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</si>
  <si>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</si>
  <si>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</si>
  <si>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</si>
  <si>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</si>
  <si>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</si>
  <si>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</si>
  <si>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</si>
  <si>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</si>
  <si>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</si>
  <si>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</si>
  <si>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</si>
  <si>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</si>
  <si>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</si>
  <si>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</si>
  <si>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</si>
  <si>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</si>
  <si>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</si>
  <si>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</si>
  <si>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</si>
  <si>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</si>
  <si>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</si>
  <si>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</si>
  <si>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</si>
  <si>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</si>
  <si>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</si>
  <si>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</si>
  <si>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</si>
  <si>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</si>
  <si>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</si>
  <si>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</si>
  <si>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</si>
  <si>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</si>
  <si>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</si>
  <si>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</si>
  <si>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</si>
  <si>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</si>
  <si>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</si>
  <si>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</si>
  <si>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</si>
  <si>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</si>
  <si>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</si>
  <si>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</si>
  <si>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</si>
  <si>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</si>
  <si>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</si>
  <si>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</si>
  <si>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</si>
  <si>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</si>
  <si>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</si>
  <si>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</si>
  <si>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</si>
  <si>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</si>
  <si>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</si>
  <si>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</si>
  <si>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</si>
  <si>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</si>
  <si>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</si>
  <si>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</si>
  <si>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</si>
  <si>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</si>
  <si>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</si>
  <si>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</si>
  <si>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</si>
  <si>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</si>
  <si>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</si>
  <si>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</si>
  <si>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</si>
  <si>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</si>
  <si>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</si>
  <si>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</si>
  <si>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</si>
  <si>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</si>
  <si>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</si>
  <si>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</si>
  <si>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</si>
  <si>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</si>
  <si>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</si>
  <si>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</si>
  <si>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</si>
  <si>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</si>
  <si>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</si>
  <si>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</si>
  <si>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</si>
  <si>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</si>
  <si>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</si>
  <si>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</si>
  <si>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</si>
  <si>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</si>
  <si>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</si>
  <si>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</si>
  <si>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</si>
  <si>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</si>
  <si>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</si>
  <si>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</si>
  <si>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</si>
  <si>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</si>
  <si>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</si>
  <si>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</si>
  <si>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</si>
  <si>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</si>
  <si>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</si>
  <si>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</si>
  <si>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</si>
  <si>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</si>
  <si>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</si>
  <si>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</si>
  <si>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</si>
  <si>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</si>
  <si>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</si>
  <si>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</si>
  <si>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</si>
  <si>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</si>
  <si>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</si>
  <si>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</si>
  <si>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</si>
  <si>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</si>
  <si>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</si>
  <si>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</si>
  <si>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</si>
  <si>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</si>
  <si>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</si>
  <si>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</si>
  <si>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</si>
  <si>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</si>
  <si>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</si>
  <si>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</si>
  <si>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</si>
  <si>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</si>
  <si>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</si>
  <si>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</si>
  <si>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</si>
  <si>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</si>
  <si>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</si>
  <si>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</si>
  <si>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</si>
  <si>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</si>
  <si>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</si>
  <si>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</si>
  <si>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</si>
  <si>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</si>
  <si>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</si>
  <si>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</si>
  <si>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</si>
  <si>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</si>
  <si>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</si>
  <si>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</si>
  <si>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</si>
  <si>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</si>
  <si>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</si>
  <si>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</si>
  <si>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</si>
  <si>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</si>
  <si>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</si>
  <si>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</si>
  <si>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</si>
  <si>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</si>
  <si>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</si>
  <si>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</si>
  <si>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</si>
  <si>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</si>
  <si>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</si>
  <si>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</si>
  <si>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</si>
  <si>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</si>
  <si>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</si>
  <si>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</si>
  <si>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</si>
  <si>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</si>
  <si>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</si>
  <si>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</si>
  <si>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</si>
  <si>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</si>
  <si>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</si>
  <si>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</si>
  <si>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</si>
  <si>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</si>
  <si>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</si>
  <si>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</si>
  <si>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</si>
  <si>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</si>
  <si>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</si>
  <si>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</si>
  <si>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</si>
  <si>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</si>
  <si>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</si>
  <si>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</si>
  <si>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</si>
  <si>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</si>
  <si>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</si>
  <si>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</si>
  <si>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</si>
  <si>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</si>
  <si>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</si>
  <si>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</si>
  <si>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</si>
  <si>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</si>
  <si>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</si>
  <si>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</si>
  <si>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</si>
  <si>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</si>
  <si>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</si>
  <si>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</si>
  <si>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</si>
  <si>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</si>
  <si>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</si>
  <si>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</si>
  <si>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</si>
  <si>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</si>
  <si>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</si>
  <si>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</si>
  <si>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</si>
  <si>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</si>
  <si>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</si>
  <si>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</si>
  <si>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</si>
  <si>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</si>
  <si>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</si>
  <si>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</si>
  <si>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</si>
  <si>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</si>
  <si>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</si>
  <si>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</si>
  <si>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</si>
  <si>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</si>
  <si>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</si>
  <si>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</si>
  <si>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</si>
  <si>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</si>
  <si>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</si>
  <si>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</si>
  <si>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</si>
  <si>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</si>
  <si>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</si>
  <si>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</si>
  <si>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</si>
  <si>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</si>
  <si>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</si>
  <si>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</si>
  <si>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</si>
  <si>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</si>
  <si>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</si>
  <si>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</si>
  <si>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</si>
  <si>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</si>
  <si>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</si>
  <si>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</si>
  <si>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</si>
  <si>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</si>
  <si>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</si>
  <si>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</si>
  <si>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</si>
  <si>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</si>
  <si>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</si>
  <si>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</si>
  <si>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</si>
  <si>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</si>
  <si>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</si>
  <si>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</si>
  <si>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</si>
  <si>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</si>
  <si>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</si>
  <si>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</si>
  <si>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</si>
  <si>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</si>
  <si>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</si>
  <si>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</si>
  <si>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</si>
  <si>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</si>
  <si>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</si>
  <si>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</si>
  <si>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</si>
  <si>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</si>
  <si>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</si>
  <si>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</si>
  <si>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</si>
  <si>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</si>
  <si>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</si>
  <si>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</si>
  <si>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</si>
  <si>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</si>
  <si>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</si>
  <si>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</si>
  <si>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</si>
  <si>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</si>
  <si>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</si>
  <si>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</si>
  <si>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</si>
  <si>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</si>
  <si>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</si>
  <si>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</si>
  <si>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</si>
  <si>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</si>
  <si>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</si>
  <si>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</si>
  <si>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</si>
  <si>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</si>
  <si>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</si>
  <si>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</si>
  <si>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</si>
  <si>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</si>
  <si>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</si>
  <si>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</si>
  <si>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</si>
  <si>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</si>
  <si>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</si>
  <si>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</si>
  <si>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</si>
  <si>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</si>
  <si>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</si>
  <si>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</si>
  <si>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</si>
  <si>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</si>
  <si>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</si>
  <si>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</si>
  <si>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</si>
  <si>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</si>
  <si>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</si>
  <si>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</si>
  <si>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</si>
  <si>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</si>
  <si>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</si>
  <si>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</si>
  <si>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</si>
  <si>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</si>
  <si>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</si>
  <si>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</si>
  <si>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</si>
  <si>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</si>
  <si>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</si>
  <si>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</si>
  <si>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</si>
  <si>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</si>
  <si>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</si>
  <si>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</si>
  <si>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</si>
  <si>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</si>
  <si>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</si>
  <si>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</si>
  <si>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</si>
  <si>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</si>
  <si>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</si>
  <si>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</si>
  <si>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</si>
  <si>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</si>
  <si>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</si>
  <si>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</si>
  <si>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</si>
  <si>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</si>
  <si>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</si>
  <si>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</si>
  <si>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</si>
  <si>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</si>
  <si>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</si>
  <si>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</si>
  <si>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</si>
  <si>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</si>
  <si>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</si>
  <si>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</si>
  <si>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</si>
  <si>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</si>
  <si>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</si>
  <si>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</si>
  <si>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</si>
  <si>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</si>
  <si>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</si>
  <si>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</si>
  <si>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</si>
  <si>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</si>
  <si>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</si>
  <si>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</si>
  <si>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</si>
  <si>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</si>
  <si>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</si>
  <si>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</si>
  <si>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</si>
  <si>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</si>
  <si>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</si>
  <si>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</si>
  <si>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</si>
  <si>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</si>
  <si>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</si>
  <si>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</si>
  <si>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</si>
  <si>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</si>
  <si>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</si>
  <si>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</si>
  <si>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</si>
  <si>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</si>
  <si>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</si>
  <si>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</si>
  <si>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</si>
  <si>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</si>
  <si>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</si>
  <si>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</si>
  <si>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</si>
  <si>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</si>
  <si>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</si>
  <si>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</si>
  <si>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</si>
  <si>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</si>
  <si>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</si>
  <si>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</si>
  <si>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</si>
  <si>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</si>
  <si>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</si>
  <si>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</si>
  <si>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</si>
  <si>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</si>
  <si>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</si>
  <si>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</si>
  <si>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</si>
  <si>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</si>
  <si>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</si>
  <si>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</si>
  <si>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</si>
  <si>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</si>
  <si>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</si>
  <si>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</si>
  <si>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</si>
  <si>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</si>
  <si>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</si>
  <si>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</si>
  <si>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</si>
  <si>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</si>
  <si>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</si>
  <si>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</si>
  <si>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</si>
  <si>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</si>
  <si>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</si>
  <si>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</si>
  <si>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</si>
  <si>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</si>
  <si>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</si>
  <si>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</si>
  <si>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</si>
  <si>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</si>
  <si>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</si>
  <si>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</si>
  <si>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</si>
  <si>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</si>
  <si>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</si>
  <si>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</si>
  <si>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</si>
  <si>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</si>
  <si>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</si>
  <si>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</si>
  <si>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</si>
  <si>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</si>
  <si>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</si>
  <si>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</si>
  <si>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</si>
  <si>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</si>
  <si>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</si>
  <si>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</si>
  <si>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</si>
  <si>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</si>
  <si>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</si>
  <si>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</si>
  <si>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</si>
  <si>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</si>
  <si>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</si>
  <si>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</si>
  <si>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</si>
  <si>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</si>
  <si>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</si>
  <si>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</si>
  <si>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</si>
  <si>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</si>
  <si>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</si>
  <si>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</si>
  <si>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</si>
  <si>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</si>
  <si>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</si>
  <si>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</si>
  <si>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</si>
  <si>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</si>
  <si>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</si>
  <si>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</si>
  <si>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</si>
  <si>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</si>
  <si>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</si>
  <si>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</si>
  <si>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</si>
  <si>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</si>
  <si>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</si>
  <si>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</si>
  <si>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</si>
  <si>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</si>
  <si>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</si>
  <si>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</si>
  <si>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</si>
  <si>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</si>
  <si>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</si>
  <si>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</si>
  <si>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</si>
  <si>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</si>
  <si>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</si>
  <si>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</si>
  <si>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</si>
  <si>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</si>
  <si>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</si>
  <si>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</si>
  <si>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</si>
  <si>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</si>
  <si>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</si>
  <si>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</si>
  <si>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</si>
  <si>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</si>
  <si>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</si>
  <si>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</si>
  <si>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</si>
  <si>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</si>
  <si>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</si>
  <si>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</si>
  <si>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</si>
  <si>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</si>
  <si>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</si>
  <si>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</si>
  <si>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</si>
  <si>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</si>
  <si>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</si>
  <si>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</si>
  <si>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</si>
  <si>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</si>
  <si>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</si>
  <si>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</si>
  <si>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</si>
  <si>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</si>
  <si>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</si>
  <si>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</si>
  <si>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</si>
  <si>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</si>
  <si>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</si>
  <si>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</si>
  <si>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</si>
  <si>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</si>
  <si>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</si>
  <si>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</si>
  <si>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</si>
  <si>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</si>
  <si>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</si>
  <si>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</si>
  <si>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</si>
  <si>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</si>
  <si>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</si>
  <si>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</si>
  <si>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</si>
  <si>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</si>
  <si>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</si>
  <si>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</si>
  <si>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</si>
  <si>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</si>
  <si>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</si>
  <si>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</si>
  <si>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</si>
  <si>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</si>
  <si>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</si>
  <si>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</si>
  <si>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</si>
  <si>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</si>
  <si>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</si>
  <si>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</si>
  <si>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</si>
  <si>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</si>
  <si>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</si>
  <si>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</si>
  <si>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</si>
  <si>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</si>
  <si>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</si>
  <si>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</si>
  <si>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</si>
  <si>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</si>
  <si>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</si>
  <si>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</si>
  <si>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</si>
  <si>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</si>
  <si>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</si>
  <si>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</si>
  <si>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</si>
  <si>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</si>
  <si>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</si>
  <si>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</si>
  <si>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</si>
  <si>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</si>
  <si>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</si>
  <si>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</si>
  <si>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</si>
  <si>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</si>
  <si>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</si>
  <si>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</si>
  <si>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</si>
  <si>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</si>
  <si>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</si>
  <si>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</si>
  <si>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</si>
  <si>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</si>
  <si>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</si>
  <si>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</si>
  <si>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</si>
  <si>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</si>
  <si>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</si>
  <si>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</si>
  <si>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</si>
  <si>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</si>
  <si>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</si>
  <si>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</si>
  <si>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</si>
  <si>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</si>
  <si>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</si>
  <si>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</si>
  <si>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</si>
  <si>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</si>
  <si>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</si>
  <si>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</si>
  <si>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</si>
  <si>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</si>
  <si>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</si>
  <si>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</si>
  <si>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</si>
  <si>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</si>
  <si>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</si>
  <si>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</si>
  <si>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</si>
  <si>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</si>
  <si>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</si>
  <si>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</si>
  <si>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</si>
  <si>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</si>
  <si>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</si>
  <si>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</si>
  <si>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</si>
  <si>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</si>
  <si>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</si>
  <si>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</si>
  <si>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</si>
  <si>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</si>
  <si>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</si>
  <si>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</si>
  <si>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</si>
  <si>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</si>
  <si>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</si>
  <si>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</si>
  <si>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</si>
  <si>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</si>
  <si>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</si>
  <si>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</si>
  <si>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</si>
  <si>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</si>
  <si>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</si>
  <si>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</si>
  <si>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</si>
  <si>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</si>
  <si>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</si>
  <si>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</si>
  <si>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</si>
  <si>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</si>
  <si>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</si>
  <si>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</si>
  <si>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</si>
  <si>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</si>
  <si>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</si>
  <si>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</si>
  <si>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</si>
  <si>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</si>
  <si>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</si>
  <si>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</si>
  <si>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</si>
  <si>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</si>
  <si>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</si>
  <si>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</si>
  <si>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</si>
  <si>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</si>
  <si>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</si>
  <si>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</si>
  <si>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</si>
  <si>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</si>
  <si>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</si>
  <si>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</si>
  <si>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</si>
  <si>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</si>
  <si>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</si>
  <si>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</si>
  <si>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</si>
  <si>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</si>
  <si>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</si>
  <si>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</si>
  <si>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</si>
  <si>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</si>
  <si>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</si>
  <si>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</si>
  <si>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</si>
  <si>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</si>
  <si>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</si>
  <si>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</si>
  <si>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</si>
  <si>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</si>
  <si>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</si>
  <si>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</si>
  <si>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</si>
  <si>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</si>
  <si>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</si>
  <si>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</si>
  <si>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</si>
  <si>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</si>
  <si>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</si>
  <si>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</si>
  <si>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</si>
  <si>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</si>
  <si>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</si>
  <si>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</si>
  <si>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</si>
  <si>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</si>
  <si>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</si>
  <si>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</si>
  <si>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</si>
  <si>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</si>
  <si>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</si>
  <si>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</si>
  <si>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</si>
  <si>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</si>
  <si>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</si>
  <si>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</si>
  <si>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</si>
  <si>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</si>
  <si>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</si>
  <si>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</si>
  <si>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</si>
  <si>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</si>
  <si>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</si>
  <si>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</si>
  <si>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</si>
  <si>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</si>
  <si>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</si>
  <si>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</si>
  <si>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</si>
  <si>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</si>
  <si>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</si>
  <si>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</si>
  <si>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</si>
  <si>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</si>
  <si>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</si>
  <si>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</si>
  <si>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</si>
  <si>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</si>
  <si>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</si>
  <si>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</si>
  <si>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</si>
  <si>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</si>
  <si>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</si>
  <si>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</si>
  <si>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</si>
  <si>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</si>
  <si>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</si>
  <si>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</si>
  <si>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</si>
  <si>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</si>
  <si>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</si>
  <si>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</si>
  <si>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</si>
  <si>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</si>
  <si>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</si>
  <si>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</si>
  <si>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</si>
  <si>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</si>
  <si>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</si>
  <si>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</si>
  <si>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</si>
  <si>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</si>
  <si>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</si>
  <si>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</si>
  <si>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</si>
  <si>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</si>
  <si>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</si>
  <si>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</si>
  <si>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</si>
  <si>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</si>
  <si>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</si>
  <si>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</si>
  <si>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</si>
  <si>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</si>
  <si>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</si>
  <si>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</si>
  <si>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</si>
  <si>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</si>
  <si>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</si>
  <si>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</si>
  <si>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</si>
  <si>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</si>
  <si>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</si>
  <si>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</si>
  <si>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</si>
  <si>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</si>
  <si>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</si>
  <si>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</si>
  <si>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</si>
  <si>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</si>
  <si>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</si>
  <si>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</si>
  <si>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</si>
  <si>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</si>
  <si>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</si>
  <si>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</si>
  <si>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</si>
  <si>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</si>
  <si>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</si>
  <si>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</si>
  <si>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</si>
  <si>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</si>
  <si>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</si>
  <si>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</si>
  <si>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</si>
  <si>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</si>
  <si>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</si>
  <si>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</si>
  <si>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</si>
  <si>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</si>
  <si>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</si>
  <si>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</si>
  <si>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</si>
  <si>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</si>
  <si>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</si>
  <si>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</si>
  <si>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</si>
  <si>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</si>
  <si>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</si>
  <si>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</si>
  <si>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</si>
  <si>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</si>
  <si>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</si>
  <si>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</si>
  <si>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</si>
  <si>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</si>
  <si>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</si>
  <si>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</si>
  <si>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</si>
  <si>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</si>
  <si>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</si>
  <si>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</si>
  <si>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</si>
  <si>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</si>
  <si>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</si>
  <si>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</si>
  <si>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</si>
  <si>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</si>
  <si>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</si>
  <si>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</si>
  <si>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</si>
  <si>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</si>
  <si>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</si>
  <si>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</si>
  <si>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</si>
  <si>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</si>
  <si>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</si>
  <si>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</si>
  <si>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</si>
  <si>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</si>
  <si>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</si>
  <si>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</si>
  <si>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</si>
  <si>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</si>
  <si>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</si>
  <si>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</si>
  <si>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</si>
  <si>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</si>
  <si>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</si>
  <si>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</si>
  <si>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</si>
  <si>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</si>
  <si>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</si>
  <si>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</si>
  <si>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</si>
  <si>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</si>
  <si>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</si>
  <si>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</si>
  <si>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</si>
  <si>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</si>
  <si>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</si>
  <si>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</si>
  <si>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</si>
  <si>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</si>
  <si>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</si>
  <si>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</si>
  <si>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</si>
  <si>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</si>
  <si>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</si>
  <si>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</si>
  <si>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</si>
  <si>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</si>
  <si>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</si>
  <si>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</si>
  <si>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</si>
  <si>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</si>
  <si>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</si>
  <si>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</si>
  <si>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</si>
  <si>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</si>
  <si>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</si>
  <si>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</si>
  <si>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</si>
  <si>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</si>
  <si>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</si>
  <si>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</si>
  <si>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</si>
  <si>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</si>
  <si>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</si>
  <si>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</si>
  <si>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</si>
  <si>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</si>
  <si>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</si>
  <si>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</si>
  <si>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</si>
  <si>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</si>
  <si>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</si>
  <si>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</si>
  <si>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</si>
  <si>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</si>
  <si>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</si>
  <si>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</si>
  <si>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</si>
  <si>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</si>
  <si>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</si>
  <si>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</si>
  <si>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</si>
  <si>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</si>
  <si>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</si>
  <si>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</si>
  <si>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</si>
  <si>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</si>
  <si>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</si>
  <si>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</si>
  <si>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</si>
  <si>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</si>
  <si>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</si>
  <si>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</si>
  <si>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</si>
  <si>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</si>
  <si>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</si>
  <si>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</si>
  <si>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</si>
  <si>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</si>
  <si>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</si>
  <si>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</si>
  <si>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</si>
  <si>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</si>
  <si>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</si>
  <si>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</si>
  <si>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</si>
  <si>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</si>
  <si>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</si>
  <si>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</si>
  <si>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</si>
  <si>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</si>
  <si>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</si>
  <si>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</si>
  <si>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</si>
  <si>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</si>
  <si>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</si>
  <si>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</si>
  <si>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</si>
  <si>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</si>
  <si>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</si>
  <si>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</si>
  <si>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</si>
  <si>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</si>
  <si>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</si>
  <si>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</si>
  <si>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</si>
  <si>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</si>
  <si>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</si>
  <si>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</si>
  <si>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</si>
  <si>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</si>
  <si>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</si>
  <si>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</si>
  <si>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</si>
  <si>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</si>
  <si>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</si>
  <si>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</si>
  <si>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</si>
  <si>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</si>
  <si>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</si>
  <si>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</si>
  <si>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</si>
  <si>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</si>
  <si>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</si>
  <si>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</si>
  <si>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</si>
  <si>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</si>
  <si>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</si>
  <si>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</si>
  <si>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</si>
  <si>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</si>
  <si>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</si>
  <si>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</si>
  <si>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</si>
  <si>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</si>
  <si>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</si>
  <si>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</si>
  <si>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</si>
  <si>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</si>
  <si>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</si>
  <si>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</si>
  <si>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</si>
  <si>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</si>
  <si>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</si>
  <si>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</si>
  <si>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</si>
  <si>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</si>
  <si>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</si>
  <si>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</si>
  <si>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</si>
  <si>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</si>
  <si>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</si>
  <si>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</si>
  <si>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</si>
  <si>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</si>
  <si>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</si>
  <si>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</si>
  <si>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</si>
  <si>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</si>
  <si>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</si>
  <si>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</si>
  <si>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</si>
  <si>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</si>
  <si>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</si>
  <si>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</si>
  <si>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</si>
  <si>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</si>
  <si>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</si>
  <si>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</si>
  <si>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</si>
  <si>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</si>
  <si>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</si>
  <si>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</si>
  <si>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</si>
  <si>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</si>
  <si>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</si>
  <si>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</si>
  <si>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</si>
  <si>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</si>
  <si>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</si>
  <si>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</si>
  <si>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</si>
  <si>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</si>
  <si>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</si>
  <si>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</si>
  <si>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</si>
  <si>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</si>
  <si>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</si>
  <si>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</si>
  <si>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</si>
  <si>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</si>
  <si>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</si>
  <si>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</si>
  <si>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</si>
  <si>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</si>
  <si>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</si>
  <si>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</si>
  <si>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</si>
  <si>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</si>
  <si>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</si>
  <si>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</si>
  <si>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</si>
  <si>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</si>
  <si>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</si>
  <si>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</si>
  <si>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</si>
  <si>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</si>
  <si>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</si>
  <si>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</si>
  <si>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</si>
  <si>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</si>
  <si>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</si>
  <si>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</si>
  <si>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</si>
  <si>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</si>
  <si>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</si>
  <si>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</si>
  <si>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</si>
  <si>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</si>
  <si>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</si>
  <si>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</si>
  <si>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</si>
  <si>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</si>
  <si>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</si>
  <si>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</si>
  <si>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</si>
  <si>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</si>
  <si>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</si>
  <si>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</si>
  <si>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</si>
  <si>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</si>
  <si>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</si>
  <si>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</si>
  <si>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</si>
  <si>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</si>
  <si>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</si>
  <si>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</si>
  <si>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</si>
  <si>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</si>
  <si>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</si>
  <si>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</si>
  <si>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</si>
  <si>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</si>
  <si>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</si>
  <si>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</si>
  <si>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</si>
  <si>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</si>
  <si>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</si>
  <si>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</si>
  <si>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</si>
  <si>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</si>
  <si>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</si>
  <si>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</si>
  <si>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</si>
  <si>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</si>
  <si>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</si>
  <si>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</si>
  <si>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</si>
  <si>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</si>
  <si>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</si>
  <si>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</si>
  <si>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</si>
  <si>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</si>
  <si>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</si>
  <si>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</si>
  <si>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</si>
  <si>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</si>
  <si>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</si>
  <si>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</si>
  <si>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</si>
  <si>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</si>
  <si>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</si>
  <si>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</si>
  <si>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</si>
  <si>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</si>
  <si>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</si>
  <si>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</si>
  <si>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</si>
  <si>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</si>
  <si>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</si>
  <si>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</si>
  <si>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</si>
  <si>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</si>
  <si>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</si>
  <si>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</si>
  <si>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</si>
  <si>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</si>
  <si>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</si>
  <si>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</si>
  <si>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</si>
  <si>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</si>
  <si>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</si>
  <si>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</si>
  <si>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</si>
  <si>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</si>
  <si>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</si>
  <si>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</si>
  <si>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</si>
  <si>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</si>
  <si>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</si>
  <si>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</si>
  <si>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</si>
  <si>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</si>
  <si>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</si>
  <si>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</si>
  <si>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</si>
  <si>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</si>
  <si>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</si>
  <si>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</si>
  <si>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</si>
  <si>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</si>
  <si>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</si>
  <si>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</si>
  <si>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</si>
  <si>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</si>
  <si>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</si>
  <si>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</si>
  <si>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</si>
  <si>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</si>
  <si>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</si>
  <si>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</si>
  <si>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</si>
  <si>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</si>
  <si>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</si>
  <si>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</si>
  <si>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</si>
  <si>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</si>
  <si>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</si>
  <si>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</si>
  <si>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</si>
  <si>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</si>
  <si>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</si>
  <si>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</si>
  <si>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</si>
  <si>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</si>
  <si>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</si>
  <si>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</si>
  <si>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</si>
  <si>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</si>
  <si>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</si>
  <si>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</si>
  <si>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</si>
  <si>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</si>
  <si>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</si>
  <si>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</si>
  <si>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</si>
  <si>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</si>
  <si>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</si>
  <si>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</si>
  <si>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</si>
  <si>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</si>
  <si>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</si>
  <si>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</si>
  <si>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</si>
  <si>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</si>
  <si>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</si>
  <si>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</si>
  <si>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</si>
  <si>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</si>
  <si>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</si>
  <si>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</si>
  <si>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</si>
  <si>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</si>
  <si>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</si>
  <si>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</si>
  <si>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</si>
  <si>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</si>
  <si>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</si>
  <si>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</si>
  <si>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</si>
  <si>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</si>
  <si>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</si>
  <si>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</si>
  <si>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</si>
  <si>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</si>
  <si>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</si>
  <si>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</si>
  <si>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</si>
  <si>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</si>
  <si>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</si>
  <si>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</si>
  <si>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</si>
  <si>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</si>
  <si>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</si>
  <si>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</si>
  <si>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</si>
  <si>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</si>
  <si>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</si>
  <si>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</si>
  <si>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</si>
  <si>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</si>
  <si>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</si>
  <si>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</si>
  <si>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</si>
  <si>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</si>
  <si>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</si>
  <si>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</si>
  <si>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</si>
  <si>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</si>
  <si>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</si>
  <si>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</si>
  <si>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</si>
  <si>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</si>
  <si>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</si>
  <si>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</si>
  <si>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</si>
  <si>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</si>
  <si>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</si>
  <si>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</si>
  <si>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</si>
  <si>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</si>
  <si>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</si>
  <si>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</si>
  <si>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</si>
  <si>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</si>
  <si>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</si>
  <si>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</si>
  <si>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</si>
  <si>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</si>
  <si>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</si>
  <si>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</si>
  <si>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</si>
  <si>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</si>
  <si>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</si>
  <si>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</si>
  <si>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</si>
  <si>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</si>
  <si>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</si>
  <si>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</si>
  <si>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</si>
  <si>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</si>
  <si>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</si>
  <si>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</si>
  <si>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</si>
  <si>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</si>
  <si>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</si>
  <si>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</si>
  <si>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</si>
  <si>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</si>
  <si>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</si>
  <si>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</si>
  <si>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</si>
  <si>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</si>
  <si>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</si>
  <si>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</si>
  <si>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</si>
  <si>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</si>
  <si>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</si>
  <si>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</si>
  <si>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</si>
  <si>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</si>
  <si>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</si>
  <si>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</si>
  <si>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</si>
  <si>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</si>
  <si>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</si>
  <si>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</si>
  <si>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</si>
  <si>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</si>
  <si>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</si>
  <si>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</si>
  <si>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</si>
  <si>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</si>
  <si>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</si>
  <si>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</si>
  <si>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</si>
  <si>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</si>
  <si>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</si>
  <si>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</si>
  <si>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</si>
  <si>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</si>
  <si>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</si>
  <si>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</si>
  <si>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</si>
  <si>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</si>
  <si>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</si>
  <si>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</si>
  <si>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</si>
  <si>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</si>
  <si>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</si>
  <si>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</si>
  <si>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</si>
  <si>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</si>
  <si>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</si>
  <si>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</si>
  <si>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</si>
  <si>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</si>
  <si>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</si>
  <si>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</si>
  <si>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</si>
  <si>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</si>
  <si>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</si>
  <si>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</si>
  <si>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</si>
  <si>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</si>
  <si>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</si>
  <si>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</si>
  <si>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</si>
  <si>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</si>
  <si>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</si>
  <si>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</si>
  <si>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</si>
  <si>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</si>
  <si>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</si>
  <si>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</si>
  <si>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</si>
  <si>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</si>
  <si>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</si>
  <si>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</si>
  <si>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</si>
  <si>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</si>
  <si>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</si>
  <si>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</si>
  <si>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</si>
  <si>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</si>
  <si>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</si>
  <si>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</si>
  <si>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</si>
  <si>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</si>
  <si>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</si>
  <si>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</si>
  <si>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</si>
  <si>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</si>
  <si>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</si>
  <si>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</si>
  <si>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</si>
  <si>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</si>
  <si>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</si>
  <si>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</si>
  <si>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</si>
  <si>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</si>
  <si>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</si>
  <si>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</si>
  <si>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</si>
  <si>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</si>
  <si>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</si>
  <si>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</si>
  <si>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</si>
  <si>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</si>
  <si>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</si>
  <si>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</si>
  <si>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</si>
  <si>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</si>
  <si>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</si>
  <si>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</si>
  <si>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</si>
  <si>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</si>
  <si>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</si>
  <si>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</si>
  <si>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</si>
  <si>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</si>
  <si>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</si>
  <si>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</si>
  <si>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</si>
  <si>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</si>
  <si>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</si>
  <si>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</si>
  <si>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</si>
  <si>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</si>
  <si>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</si>
  <si>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</si>
  <si>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</si>
  <si>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</si>
  <si>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</si>
  <si>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</si>
  <si>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</si>
  <si>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</si>
  <si>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</si>
  <si>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</si>
  <si>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</si>
  <si>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</si>
  <si>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</si>
  <si>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</si>
  <si>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</si>
  <si>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</si>
  <si>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</si>
  <si>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</si>
  <si>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</si>
  <si>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</si>
  <si>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</si>
  <si>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</si>
  <si>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</si>
  <si>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</si>
  <si>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</si>
  <si>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</si>
  <si>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</si>
  <si>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</si>
  <si>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</si>
  <si>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</si>
  <si>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</si>
  <si>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</si>
  <si>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</si>
  <si>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</si>
  <si>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</si>
  <si>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</si>
  <si>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</si>
  <si>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</si>
  <si>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</si>
  <si>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</si>
  <si>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</si>
  <si>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</si>
  <si>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</si>
  <si>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</si>
  <si>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</si>
  <si>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</si>
  <si>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</si>
  <si>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</si>
  <si>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</si>
  <si>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</si>
  <si>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</si>
  <si>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</si>
  <si>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</si>
  <si>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</si>
  <si>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</si>
  <si>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</si>
  <si>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</si>
  <si>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</si>
  <si>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</si>
  <si>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</si>
  <si>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</si>
  <si>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</si>
  <si>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</si>
  <si>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</si>
  <si>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</si>
  <si>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</si>
  <si>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</si>
  <si>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</si>
  <si>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</si>
  <si>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</si>
  <si>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</si>
  <si>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</si>
  <si>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</si>
  <si>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</si>
  <si>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</si>
  <si>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</si>
  <si>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</si>
  <si>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</si>
  <si>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</si>
  <si>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</si>
  <si>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</si>
  <si>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</si>
  <si>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</si>
  <si>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</si>
  <si>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</si>
  <si>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</si>
  <si>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</si>
  <si>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</si>
  <si>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</si>
  <si>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</si>
  <si>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</si>
  <si>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</si>
  <si>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</si>
  <si>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</si>
  <si>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</si>
  <si>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</si>
  <si>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</si>
  <si>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</si>
  <si>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</si>
  <si>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</si>
  <si>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</si>
  <si>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</si>
  <si>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</si>
  <si>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</si>
  <si>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</si>
  <si>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</si>
  <si>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</si>
  <si>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</si>
  <si>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</si>
  <si>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</si>
  <si>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</si>
  <si>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</si>
  <si>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</si>
  <si>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</si>
  <si>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</si>
  <si>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</si>
  <si>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</si>
  <si>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</si>
  <si>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</si>
  <si>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</si>
  <si>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</si>
  <si>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</si>
  <si>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</si>
  <si>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</si>
  <si>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</si>
  <si>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</si>
  <si>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</si>
  <si>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</si>
  <si>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</si>
  <si>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</si>
  <si>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</si>
  <si>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</si>
  <si>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</si>
  <si>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</si>
  <si>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</si>
  <si>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</si>
  <si>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</si>
  <si>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</si>
  <si>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</si>
  <si>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</si>
  <si>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</si>
  <si>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</si>
  <si>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</si>
  <si>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</si>
  <si>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</si>
  <si>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</si>
  <si>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</si>
  <si>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</si>
  <si>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</si>
  <si>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</si>
  <si>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</si>
  <si>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</si>
  <si>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</si>
  <si>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</si>
  <si>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</si>
  <si>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</si>
  <si>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</si>
  <si>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</si>
  <si>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</si>
  <si>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</si>
  <si>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</si>
  <si>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</si>
  <si>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</si>
  <si>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</si>
  <si>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</si>
  <si>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</si>
  <si>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</si>
  <si>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</si>
  <si>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</si>
  <si>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</si>
  <si>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</si>
  <si>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</si>
  <si>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</si>
  <si>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</si>
  <si>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</si>
  <si>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</si>
  <si>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</si>
  <si>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</si>
  <si>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</si>
  <si>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</si>
  <si>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</si>
  <si>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</si>
  <si>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</si>
  <si>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</si>
  <si>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</si>
  <si>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</si>
  <si>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</si>
  <si>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</si>
  <si>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</si>
  <si>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</si>
  <si>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</si>
  <si>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</si>
  <si>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</si>
  <si>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</si>
  <si>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</si>
  <si>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</si>
  <si>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</si>
  <si>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</si>
  <si>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</si>
  <si>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</si>
  <si>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</si>
  <si>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</si>
  <si>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</si>
  <si>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</si>
  <si>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</si>
  <si>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</si>
  <si>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</si>
  <si>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</si>
  <si>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</si>
  <si>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</si>
  <si>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</si>
  <si>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</si>
  <si>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</si>
  <si>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</si>
  <si>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</si>
  <si>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</si>
  <si>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</si>
  <si>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</si>
  <si>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</si>
  <si>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</si>
  <si>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</si>
  <si>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</si>
  <si>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</si>
  <si>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</si>
  <si>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</si>
  <si>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</si>
  <si>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</si>
  <si>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</si>
  <si>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</si>
  <si>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</si>
  <si>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</si>
  <si>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</si>
  <si>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</si>
  <si>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</si>
  <si>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</si>
  <si>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</si>
  <si>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</si>
  <si>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</si>
  <si>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</si>
  <si>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</si>
  <si>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</si>
  <si>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</si>
  <si>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</si>
  <si>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</si>
  <si>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</si>
  <si>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</si>
  <si>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</si>
  <si>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</si>
  <si>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</si>
  <si>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</si>
  <si>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</si>
  <si>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</si>
  <si>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</si>
  <si>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</si>
  <si>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</si>
  <si>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</si>
  <si>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</si>
  <si>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</si>
  <si>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</si>
  <si>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</si>
  <si>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</si>
  <si>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</si>
  <si>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</si>
  <si>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</si>
  <si>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</si>
  <si>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</si>
  <si>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</si>
  <si>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</si>
  <si>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</si>
  <si>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</si>
  <si>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</si>
  <si>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</si>
  <si>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</si>
  <si>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</si>
  <si>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</si>
  <si>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</si>
  <si>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</si>
  <si>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</si>
  <si>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</si>
  <si>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</si>
  <si>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</si>
  <si>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</si>
  <si>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</si>
  <si>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</si>
  <si>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</si>
  <si>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</si>
  <si>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</si>
  <si>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</si>
  <si>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</si>
  <si>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</si>
  <si>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</si>
  <si>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</si>
  <si>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</si>
  <si>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</si>
  <si>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</si>
  <si>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</si>
  <si>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</si>
  <si>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</si>
  <si>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</si>
  <si>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</si>
  <si>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</si>
  <si>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</si>
  <si>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</si>
  <si>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</si>
  <si>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</si>
  <si>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</si>
  <si>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</si>
  <si>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</si>
  <si>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</si>
  <si>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</si>
  <si>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</si>
  <si>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</si>
  <si>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</si>
  <si>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</si>
  <si>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</si>
  <si>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</si>
  <si>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</si>
  <si>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</si>
  <si>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</si>
  <si>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</si>
  <si>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</si>
  <si>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</si>
  <si>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</si>
  <si>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</si>
  <si>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</si>
  <si>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</si>
  <si>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</si>
  <si>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</si>
  <si>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</si>
  <si>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</si>
  <si>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</si>
  <si>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</si>
  <si>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</si>
  <si>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</si>
  <si>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</si>
  <si>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</si>
  <si>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</si>
  <si>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</si>
  <si>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</si>
  <si>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</si>
  <si>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</si>
  <si>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</si>
  <si>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</si>
  <si>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</si>
  <si>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</si>
  <si>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</si>
  <si>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</si>
  <si>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</si>
  <si>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</si>
  <si>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</si>
  <si>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</si>
  <si>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</si>
  <si>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</si>
  <si>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</si>
  <si>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</si>
  <si>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</si>
  <si>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</si>
  <si>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</si>
  <si>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</si>
  <si>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</si>
  <si>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</si>
  <si>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</si>
  <si>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</si>
  <si>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</si>
  <si>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</si>
  <si>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</si>
  <si>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</si>
  <si>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</si>
  <si>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</si>
  <si>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</si>
  <si>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</si>
  <si>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</si>
  <si>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</si>
  <si>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</si>
  <si>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</si>
  <si>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</si>
  <si>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</si>
  <si>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</si>
  <si>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</si>
  <si>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</si>
  <si>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</si>
  <si>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</si>
  <si>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</si>
  <si>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</si>
  <si>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</si>
  <si>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</si>
  <si>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</si>
  <si>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</si>
  <si>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</si>
  <si>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</si>
  <si>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</si>
  <si>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</si>
  <si>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</si>
  <si>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</si>
  <si>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</si>
  <si>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</si>
  <si>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</si>
  <si>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</si>
  <si>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</si>
  <si>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</si>
  <si>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</si>
  <si>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</si>
  <si>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</si>
  <si>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</si>
  <si>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</si>
  <si>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</si>
  <si>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</si>
  <si>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</si>
  <si>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</si>
  <si>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</si>
  <si>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</si>
  <si>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</si>
  <si>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</si>
  <si>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</si>
  <si>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</si>
  <si>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</si>
  <si>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</si>
  <si>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</si>
  <si>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</si>
  <si>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</si>
  <si>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</si>
  <si>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</si>
  <si>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</si>
  <si>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</si>
  <si>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</si>
  <si>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</si>
  <si>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</si>
  <si>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</si>
  <si>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</si>
  <si>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</si>
  <si>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</si>
  <si>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</si>
  <si>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</si>
  <si>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</si>
  <si>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</si>
  <si>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</si>
  <si>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</si>
  <si>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</si>
  <si>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</si>
  <si>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</si>
  <si>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</si>
  <si>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</si>
  <si>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</si>
  <si>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</si>
  <si>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</si>
  <si>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</si>
  <si>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</si>
  <si>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</si>
  <si>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</si>
  <si>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</si>
  <si>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</si>
  <si>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</si>
  <si>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</si>
  <si>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</si>
  <si>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</si>
  <si>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</si>
  <si>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</si>
  <si>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</si>
  <si>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</si>
  <si>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</si>
  <si>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</si>
  <si>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</si>
  <si>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</si>
  <si>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</si>
  <si>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</si>
  <si>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</si>
  <si>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</si>
  <si>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</si>
  <si>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</si>
  <si>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</si>
  <si>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</si>
  <si>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</si>
  <si>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</si>
  <si>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</si>
  <si>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</si>
  <si>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</si>
  <si>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</si>
  <si>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</si>
  <si>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</si>
  <si>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</si>
  <si>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</si>
  <si>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</si>
  <si>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</si>
  <si>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</si>
  <si>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</si>
  <si>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</si>
  <si>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</si>
  <si>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</si>
  <si>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</si>
  <si>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</si>
  <si>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</si>
  <si>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</si>
  <si>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</si>
  <si>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</si>
  <si>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</si>
  <si>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</si>
  <si>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</si>
  <si>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</si>
  <si>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</si>
  <si>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</si>
  <si>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</si>
  <si>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</si>
  <si>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</si>
  <si>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</si>
  <si>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</si>
  <si>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</si>
  <si>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</si>
  <si>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</si>
  <si>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</si>
  <si>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</si>
  <si>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</si>
  <si>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</si>
  <si>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</si>
  <si>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</si>
  <si>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</si>
  <si>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</si>
  <si>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</si>
  <si>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</si>
  <si>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</si>
  <si>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</si>
  <si>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</si>
  <si>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</si>
  <si>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</si>
  <si>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</si>
  <si>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</si>
  <si>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</si>
  <si>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</si>
  <si>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</si>
  <si>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</si>
  <si>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</si>
  <si>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</si>
  <si>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</si>
  <si>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</si>
  <si>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</si>
  <si>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</si>
  <si>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</si>
  <si>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</si>
  <si>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</si>
  <si>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</si>
  <si>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</si>
  <si>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</si>
  <si>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</si>
  <si>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</si>
  <si>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</si>
  <si>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</si>
  <si>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</si>
  <si>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</si>
  <si>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</si>
  <si>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</si>
  <si>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</si>
  <si>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</si>
  <si>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</si>
  <si>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</si>
  <si>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</si>
  <si>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</si>
  <si>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</si>
  <si>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</si>
  <si>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</si>
  <si>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</si>
  <si>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</si>
  <si>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</si>
  <si>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</si>
  <si>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</si>
  <si>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</si>
  <si>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</si>
  <si>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</si>
  <si>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</si>
  <si>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</si>
  <si>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</si>
  <si>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</si>
  <si>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</si>
  <si>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</si>
  <si>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</si>
  <si>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</si>
  <si>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</si>
  <si>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</si>
  <si>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</si>
  <si>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</si>
  <si>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</si>
  <si>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</si>
  <si>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</si>
  <si>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</si>
  <si>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</si>
  <si>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</si>
  <si>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</si>
  <si>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</si>
  <si>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</si>
  <si>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</si>
  <si>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</si>
  <si>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</si>
  <si>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</si>
  <si>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</si>
  <si>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</si>
  <si>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</si>
  <si>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</si>
  <si>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</si>
  <si>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</si>
  <si>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</si>
  <si>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</si>
  <si>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</si>
  <si>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</si>
  <si>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</si>
  <si>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</si>
  <si>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</si>
  <si>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</si>
  <si>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</si>
  <si>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</si>
  <si>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</si>
  <si>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</si>
  <si>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</si>
  <si>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</si>
  <si>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</si>
  <si>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</si>
  <si>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</si>
  <si>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</si>
  <si>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</si>
  <si>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</si>
  <si>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</si>
  <si>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</si>
  <si>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</si>
  <si>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</si>
  <si>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</si>
  <si>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</si>
  <si>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</si>
  <si>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</si>
  <si>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</si>
  <si>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</si>
  <si>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</si>
  <si>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</si>
  <si>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</si>
  <si>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</si>
  <si>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</si>
  <si>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</si>
  <si>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</si>
  <si>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</si>
  <si>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</si>
  <si>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</si>
  <si>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</si>
  <si>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</si>
  <si>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</si>
  <si>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</si>
  <si>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</si>
  <si>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</si>
  <si>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</si>
  <si>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</si>
  <si>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</si>
  <si>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</si>
  <si>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</si>
  <si>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</si>
  <si>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</si>
  <si>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</si>
  <si>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</si>
  <si>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</si>
  <si>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</si>
  <si>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</si>
  <si>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</si>
  <si>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</si>
  <si>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</si>
  <si>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</si>
  <si>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</si>
  <si>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</si>
  <si>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</si>
  <si>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</si>
  <si>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</si>
  <si>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</si>
  <si>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</si>
  <si>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</si>
  <si>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</si>
  <si>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</si>
  <si>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</si>
  <si>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</si>
  <si>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</si>
  <si>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</si>
  <si>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</si>
  <si>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</si>
  <si>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</si>
  <si>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</si>
  <si>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</si>
  <si>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</si>
  <si>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</si>
  <si>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</si>
  <si>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</si>
  <si>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</si>
  <si>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</si>
  <si>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</si>
  <si>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</si>
  <si>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</si>
  <si>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</si>
  <si>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</si>
  <si>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</si>
  <si>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</si>
  <si>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</si>
  <si>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</si>
  <si>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</si>
  <si>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</si>
  <si>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</si>
  <si>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</si>
  <si>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</si>
  <si>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</si>
  <si>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</si>
  <si>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</si>
  <si>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</si>
  <si>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</si>
  <si>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</si>
  <si>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</si>
  <si>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</si>
  <si>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</si>
  <si>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</si>
  <si>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</si>
  <si>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</si>
  <si>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</si>
  <si>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</si>
  <si>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</si>
  <si>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</si>
  <si>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</si>
  <si>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</si>
  <si>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</si>
  <si>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</si>
  <si>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</si>
  <si>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</si>
  <si>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</si>
  <si>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</si>
  <si>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</si>
  <si>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</si>
  <si>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</si>
  <si>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</si>
  <si>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</si>
  <si>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</si>
  <si>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</si>
  <si>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</si>
  <si>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</si>
  <si>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</si>
  <si>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</si>
  <si>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</si>
  <si>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</si>
  <si>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</si>
  <si>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</si>
  <si>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</si>
  <si>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</si>
  <si>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</si>
  <si>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</si>
  <si>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</si>
  <si>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</si>
  <si>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</si>
  <si>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</si>
  <si>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</si>
  <si>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</si>
  <si>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</si>
  <si>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</si>
  <si>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</si>
  <si>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</si>
  <si>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</si>
  <si>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</si>
  <si>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</si>
  <si>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</si>
  <si>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</si>
  <si>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</si>
  <si>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</si>
  <si>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</si>
  <si>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</si>
  <si>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</si>
  <si>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</si>
  <si>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</si>
  <si>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</si>
  <si>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</si>
  <si>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</si>
  <si>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</si>
  <si>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</si>
  <si>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</si>
  <si>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</si>
  <si>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</si>
  <si>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</si>
  <si>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</si>
  <si>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</si>
  <si>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</si>
  <si>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</si>
  <si>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</si>
  <si>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</si>
  <si>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</si>
  <si>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</si>
  <si>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</si>
  <si>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</si>
  <si>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</si>
  <si>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</si>
  <si>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</si>
  <si>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</si>
  <si>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</si>
  <si>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</si>
  <si>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</si>
  <si>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</si>
  <si>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</si>
  <si>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</si>
  <si>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</si>
  <si>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</si>
  <si>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</si>
  <si>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</si>
  <si>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</si>
  <si>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</si>
  <si>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</si>
  <si>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</si>
  <si>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</si>
  <si>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</si>
  <si>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</si>
  <si>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</si>
  <si>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</si>
  <si>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</si>
  <si>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</si>
  <si>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</si>
  <si>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</si>
  <si>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</si>
  <si>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</si>
  <si>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</si>
  <si>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</si>
  <si>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</si>
  <si>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</si>
  <si>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</si>
  <si>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</si>
  <si>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</si>
  <si>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</si>
  <si>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</si>
  <si>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</si>
  <si>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</si>
  <si>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</si>
  <si>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</si>
  <si>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</si>
  <si>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</si>
  <si>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</si>
  <si>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</si>
  <si>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</si>
  <si>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</si>
  <si>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</si>
  <si>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</si>
  <si>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</si>
  <si>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</si>
  <si>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</si>
  <si>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</si>
  <si>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</si>
  <si>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</si>
  <si>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</si>
  <si>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</si>
  <si>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</si>
  <si>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</si>
  <si>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</si>
  <si>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</si>
  <si>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</si>
  <si>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</si>
  <si>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</si>
  <si>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</si>
  <si>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</si>
  <si>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</si>
  <si>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</si>
  <si>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</si>
  <si>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</si>
  <si>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</si>
  <si>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</si>
  <si>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</si>
  <si>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</si>
  <si>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</si>
  <si>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</si>
  <si>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</si>
  <si>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</si>
  <si>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</si>
  <si>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</si>
  <si>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</si>
  <si>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</si>
  <si>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</si>
  <si>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</si>
  <si>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</si>
  <si>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</si>
  <si>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</si>
  <si>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</si>
  <si>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</si>
  <si>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</si>
  <si>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</si>
  <si>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</si>
  <si>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</si>
  <si>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</si>
  <si>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</si>
  <si>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</si>
  <si>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</si>
  <si>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</si>
  <si>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</si>
  <si>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</si>
  <si>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</si>
  <si>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</si>
  <si>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</si>
  <si>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</si>
  <si>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</si>
  <si>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</si>
  <si>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</si>
  <si>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</si>
  <si>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</si>
  <si>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</si>
  <si>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</si>
  <si>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</si>
  <si>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</si>
  <si>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</si>
  <si>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</si>
  <si>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</si>
  <si>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</si>
  <si>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</si>
  <si>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</si>
  <si>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</si>
  <si>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</si>
  <si>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</si>
  <si>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</si>
  <si>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</si>
  <si>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</si>
  <si>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</si>
  <si>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</si>
  <si>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</si>
  <si>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</si>
  <si>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</si>
  <si>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</si>
  <si>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</si>
  <si>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</si>
  <si>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</si>
  <si>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</si>
  <si>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</si>
  <si>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</si>
  <si>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</si>
  <si>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</si>
  <si>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</si>
  <si>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</si>
  <si>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</si>
  <si>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</si>
  <si>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</si>
  <si>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</si>
  <si>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</si>
  <si>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</si>
  <si>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</si>
  <si>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</si>
  <si>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</si>
  <si>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</si>
  <si>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</si>
  <si>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</si>
  <si>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</si>
  <si>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</si>
  <si>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</si>
  <si>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</si>
  <si>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</si>
  <si>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</si>
  <si>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</si>
  <si>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</si>
  <si>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</si>
  <si>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</si>
  <si>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</si>
  <si>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</si>
  <si>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</si>
  <si>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</si>
  <si>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</si>
  <si>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</si>
  <si>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</si>
  <si>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</si>
  <si>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</si>
  <si>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</si>
  <si>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</si>
  <si>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</si>
  <si>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</si>
  <si>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</si>
  <si>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</si>
  <si>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</si>
  <si>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</si>
  <si>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</si>
  <si>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</si>
  <si>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</si>
  <si>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</si>
  <si>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</si>
  <si>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</si>
  <si>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</si>
  <si>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</si>
  <si>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</si>
  <si>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</si>
  <si>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</si>
  <si>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</si>
  <si>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</si>
  <si>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</si>
  <si>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</si>
  <si>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</si>
  <si>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</si>
  <si>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</si>
  <si>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</si>
  <si>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</si>
  <si>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</si>
  <si>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</si>
  <si>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</si>
  <si>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</si>
  <si>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</si>
  <si>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</si>
  <si>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</si>
  <si>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</si>
  <si>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</si>
  <si>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</si>
  <si>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</si>
  <si>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</si>
  <si>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</si>
  <si>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</si>
  <si>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</si>
  <si>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</si>
  <si>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</si>
  <si>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</si>
  <si>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</si>
  <si>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</si>
  <si>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</si>
  <si>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</si>
  <si>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</si>
  <si>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</si>
  <si>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</si>
  <si>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</si>
  <si>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</si>
  <si>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</si>
  <si>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</si>
  <si>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</si>
  <si>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</si>
  <si>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</si>
  <si>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</si>
  <si>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</si>
  <si>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</si>
  <si>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</si>
  <si>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</si>
  <si>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</si>
  <si>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</si>
  <si>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</si>
  <si>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</si>
  <si>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</si>
  <si>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</si>
  <si>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</si>
  <si>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</si>
  <si>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</si>
  <si>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</si>
  <si>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</si>
  <si>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</si>
  <si>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</si>
  <si>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</si>
  <si>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</si>
  <si>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</si>
  <si>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</si>
  <si>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</si>
  <si>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</si>
  <si>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</si>
  <si>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</si>
  <si>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</si>
  <si>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</si>
  <si>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</si>
  <si>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</si>
  <si>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</si>
  <si>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</si>
  <si>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</si>
  <si>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</si>
  <si>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</si>
  <si>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</si>
  <si>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</si>
  <si>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</si>
  <si>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</si>
  <si>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</si>
  <si>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</si>
  <si>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</si>
  <si>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</si>
  <si>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</si>
  <si>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</si>
  <si>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</si>
  <si>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</si>
  <si>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</si>
  <si>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</si>
  <si>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</si>
  <si>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</si>
  <si>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</si>
  <si>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</si>
  <si>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</si>
  <si>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</si>
  <si>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</si>
  <si>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</si>
  <si>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</si>
  <si>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</si>
  <si>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</si>
  <si>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</si>
  <si>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</si>
  <si>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</si>
  <si>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</si>
  <si>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</si>
  <si>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</si>
  <si>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</si>
  <si>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</si>
  <si>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</si>
  <si>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</si>
  <si>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</si>
  <si>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</si>
  <si>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</si>
  <si>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</si>
  <si>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</si>
  <si>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</si>
  <si>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</si>
  <si>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</si>
  <si>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</si>
  <si>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</si>
  <si>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</si>
  <si>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</si>
  <si>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</si>
  <si>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</si>
  <si>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</si>
  <si>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</si>
  <si>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</si>
  <si>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</si>
  <si>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</si>
  <si>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</si>
  <si>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</si>
  <si>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</si>
  <si>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</si>
  <si>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</si>
  <si>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</si>
  <si>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</si>
  <si>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</si>
  <si>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</si>
  <si>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</si>
  <si>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</si>
  <si>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</si>
  <si>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</si>
  <si>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</si>
  <si>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</si>
  <si>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</si>
  <si>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</si>
  <si>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</si>
  <si>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</si>
  <si>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</si>
  <si>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</si>
  <si>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</si>
  <si>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</si>
  <si>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</si>
  <si>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</si>
  <si>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</si>
  <si>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</si>
  <si>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</si>
  <si>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</si>
  <si>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</si>
  <si>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</si>
  <si>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</si>
  <si>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</si>
  <si>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</si>
  <si>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</si>
  <si>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</si>
  <si>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</si>
  <si>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</si>
  <si>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</si>
  <si>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</si>
  <si>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</si>
  <si>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</si>
  <si>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</si>
  <si>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</si>
  <si>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</si>
  <si>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</si>
  <si>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</si>
  <si>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</si>
  <si>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</si>
  <si>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</si>
  <si>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</si>
  <si>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</si>
  <si>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</si>
  <si>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</si>
  <si>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</si>
  <si>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</si>
  <si>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</si>
  <si>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</si>
  <si>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</si>
  <si>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</si>
  <si>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</si>
  <si>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</si>
  <si>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</si>
  <si>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</si>
  <si>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</si>
  <si>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</si>
  <si>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</si>
  <si>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</si>
  <si>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</si>
  <si>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</si>
  <si>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</si>
  <si>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</si>
  <si>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</si>
  <si>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</si>
  <si>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</si>
  <si>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</si>
  <si>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</si>
  <si>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</si>
  <si>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</si>
  <si>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</si>
  <si>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</si>
  <si>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</si>
  <si>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</si>
  <si>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</si>
  <si>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</si>
  <si>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</si>
  <si>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</si>
  <si>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</si>
  <si>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</si>
  <si>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</si>
  <si>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</si>
  <si>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</si>
  <si>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</si>
  <si>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</si>
  <si>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</si>
  <si>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</si>
  <si>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</si>
  <si>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</si>
  <si>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</si>
  <si>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</si>
  <si>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</si>
  <si>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</si>
  <si>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</si>
  <si>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</si>
  <si>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</si>
  <si>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</si>
  <si>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</si>
  <si>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</si>
  <si>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</si>
  <si>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</si>
  <si>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</si>
  <si>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</si>
  <si>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</si>
  <si>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</si>
  <si>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</si>
  <si>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</si>
  <si>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</si>
  <si>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</si>
  <si>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</si>
  <si>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</si>
  <si>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</si>
  <si>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</si>
  <si>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</si>
  <si>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</si>
  <si>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</si>
  <si>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</si>
  <si>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</si>
  <si>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</si>
  <si>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</si>
  <si>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</si>
  <si>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</si>
  <si>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</si>
  <si>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</si>
  <si>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</si>
  <si>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</si>
  <si>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</si>
  <si>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</si>
  <si>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</si>
  <si>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</si>
  <si>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</si>
  <si>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</si>
  <si>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</si>
  <si>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</si>
  <si>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</si>
  <si>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</si>
  <si>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</si>
  <si>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</si>
  <si>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</si>
  <si>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</si>
  <si>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</si>
  <si>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</si>
  <si>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</si>
  <si>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</si>
  <si>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</si>
  <si>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</si>
  <si>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</si>
  <si>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</si>
  <si>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</si>
  <si>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</si>
  <si>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</si>
  <si>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</si>
  <si>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</si>
  <si>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</si>
  <si>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</si>
  <si>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</si>
  <si>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</si>
  <si>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</si>
  <si>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</si>
  <si>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</si>
  <si>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</si>
  <si>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</si>
  <si>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</si>
  <si>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</si>
  <si>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</si>
  <si>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</si>
  <si>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</si>
  <si>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</si>
  <si>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</si>
  <si>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</si>
  <si>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</si>
  <si>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</si>
  <si>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</si>
  <si>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</si>
  <si>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</si>
  <si>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</si>
  <si>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</si>
  <si>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</si>
  <si>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</si>
  <si>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</si>
  <si>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</si>
  <si>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</si>
  <si>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</si>
  <si>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</si>
  <si>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</si>
  <si>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</si>
  <si>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</si>
  <si>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</si>
  <si>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</si>
  <si>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</si>
  <si>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</si>
  <si>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</si>
  <si>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</si>
  <si>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</si>
  <si>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</si>
  <si>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</si>
  <si>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</si>
  <si>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</si>
  <si>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</si>
  <si>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</si>
  <si>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</si>
  <si>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</si>
  <si>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</si>
  <si>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</si>
  <si>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</si>
  <si>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</si>
  <si>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</si>
  <si>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</si>
  <si>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</si>
  <si>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</si>
  <si>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</si>
  <si>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</si>
  <si>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</si>
  <si>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</si>
  <si>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</si>
  <si>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</si>
  <si>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</si>
  <si>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</si>
  <si>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</si>
  <si>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</si>
  <si>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</si>
  <si>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</si>
  <si>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</si>
  <si>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</si>
  <si>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</si>
  <si>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</si>
  <si>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</si>
  <si>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</si>
  <si>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</si>
  <si>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</si>
  <si>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</si>
  <si>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</si>
  <si>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</si>
  <si>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</si>
  <si>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</si>
  <si>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</si>
  <si>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</si>
  <si>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</si>
  <si>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</si>
  <si>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</si>
  <si>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</si>
  <si>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</si>
  <si>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</si>
  <si>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</si>
  <si>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</si>
  <si>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</si>
  <si>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</si>
  <si>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</si>
  <si>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</si>
  <si>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</si>
  <si>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</si>
  <si>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</si>
  <si>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</si>
  <si>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</si>
  <si>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</si>
  <si>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</si>
  <si>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</si>
  <si>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</si>
  <si>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</si>
  <si>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</si>
  <si>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</si>
  <si>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</si>
  <si>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</si>
  <si>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</si>
  <si>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</si>
  <si>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</si>
  <si>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</si>
  <si>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</si>
  <si>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</si>
  <si>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</si>
  <si>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</si>
  <si>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</si>
  <si>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</si>
  <si>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</si>
  <si>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</si>
  <si>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</si>
  <si>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</si>
  <si>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</si>
  <si>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</si>
  <si>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</si>
  <si>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</si>
  <si>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</si>
  <si>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</si>
  <si>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</si>
  <si>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</si>
  <si>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</si>
  <si>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</si>
  <si>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</si>
  <si>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</si>
  <si>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</si>
  <si>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</si>
  <si>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</si>
  <si>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</si>
  <si>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</si>
  <si>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</si>
  <si>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</si>
  <si>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</si>
  <si>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</si>
  <si>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</si>
  <si>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</si>
  <si>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</si>
  <si>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</si>
  <si>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</si>
  <si>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</si>
  <si>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</si>
  <si>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</si>
  <si>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</si>
  <si>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</si>
  <si>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</si>
  <si>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</si>
  <si>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</si>
  <si>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</si>
  <si>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</si>
  <si>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</si>
  <si>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</si>
  <si>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</si>
  <si>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</si>
  <si>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</si>
  <si>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</si>
  <si>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</si>
  <si>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</si>
  <si>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</si>
  <si>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</si>
  <si>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</si>
  <si>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</si>
  <si>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</si>
  <si>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</si>
  <si>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</si>
  <si>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</si>
  <si>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</si>
  <si>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</si>
  <si>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</si>
  <si>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</si>
  <si>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</si>
  <si>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</si>
  <si>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</si>
  <si>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</si>
  <si>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</si>
  <si>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</si>
  <si>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</si>
  <si>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</si>
  <si>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</si>
  <si>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</si>
  <si>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</si>
  <si>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</si>
  <si>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</si>
  <si>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</si>
  <si>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</si>
  <si>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</si>
  <si>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</si>
  <si>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</si>
  <si>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</si>
  <si>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</si>
  <si>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</si>
  <si>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</si>
  <si>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</si>
  <si>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</si>
  <si>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</si>
  <si>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</si>
  <si>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</si>
  <si>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</si>
  <si>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</si>
  <si>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</si>
  <si>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</si>
  <si>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</si>
  <si>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</si>
  <si>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</si>
  <si>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</si>
  <si>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</si>
  <si>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</si>
  <si>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</si>
  <si>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</si>
  <si>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</si>
  <si>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</si>
  <si>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</si>
  <si>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</si>
  <si>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</si>
  <si>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</si>
  <si>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</si>
  <si>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</si>
  <si>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</si>
  <si>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</si>
  <si>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</si>
  <si>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</si>
  <si>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</si>
  <si>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</si>
  <si>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</si>
  <si>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</si>
  <si>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</si>
  <si>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</si>
  <si>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</si>
  <si>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</si>
  <si>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</si>
  <si>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</si>
  <si>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</si>
  <si>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</si>
  <si>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</si>
  <si>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</si>
  <si>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</si>
  <si>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</si>
  <si>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</si>
  <si>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</si>
  <si>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</si>
  <si>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</si>
  <si>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</si>
  <si>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</si>
  <si>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</si>
  <si>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</si>
  <si>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</si>
  <si>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</si>
  <si>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</si>
  <si>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</si>
  <si>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</si>
  <si>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</si>
  <si>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</si>
  <si>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</si>
  <si>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</si>
  <si>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</si>
  <si>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</si>
  <si>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</si>
  <si>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</si>
  <si>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</si>
  <si>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</si>
  <si>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</si>
  <si>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</si>
  <si>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</si>
  <si>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</si>
  <si>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</si>
  <si>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</si>
  <si>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</si>
  <si>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</si>
  <si>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</si>
  <si>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</si>
  <si>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</si>
  <si>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</si>
  <si>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</si>
  <si>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</si>
  <si>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</si>
  <si>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</si>
  <si>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</si>
  <si>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</si>
  <si>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</si>
  <si>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</si>
  <si>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</si>
  <si>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</si>
  <si>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</si>
  <si>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</si>
  <si>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</si>
  <si>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</si>
  <si>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</si>
  <si>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</si>
  <si>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</si>
  <si>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</si>
  <si>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</si>
  <si>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</si>
  <si>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</si>
  <si>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</si>
  <si>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</si>
  <si>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</si>
  <si>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</si>
  <si>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</si>
  <si>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</si>
  <si>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</si>
  <si>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</si>
  <si>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</si>
  <si>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</si>
  <si>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</si>
  <si>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</si>
  <si>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</si>
  <si>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</si>
  <si>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</si>
  <si>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</si>
  <si>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</si>
  <si>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</si>
  <si>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</si>
  <si>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</si>
  <si>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</si>
  <si>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</si>
  <si>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</si>
  <si>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</si>
  <si>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</si>
  <si>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</si>
  <si>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</si>
  <si>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</si>
  <si>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</si>
  <si>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</si>
  <si>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</si>
  <si>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</si>
  <si>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</si>
  <si>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</si>
  <si>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</si>
  <si>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</si>
  <si>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</si>
  <si>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</si>
  <si>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</si>
  <si>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</si>
  <si>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</si>
  <si>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</si>
  <si>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</si>
  <si>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</si>
  <si>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</si>
  <si>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</si>
  <si>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</si>
  <si>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</si>
  <si>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</si>
  <si>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</si>
  <si>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</si>
  <si>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</si>
  <si>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</si>
  <si>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</si>
  <si>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</si>
  <si>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</si>
  <si>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</si>
  <si>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</si>
  <si>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</si>
  <si>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</si>
  <si>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</si>
  <si>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</si>
  <si>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</si>
  <si>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</si>
  <si>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</si>
  <si>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</si>
  <si>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</si>
  <si>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</si>
  <si>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</si>
  <si>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</si>
  <si>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</si>
  <si>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</si>
  <si>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</si>
  <si>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</si>
  <si>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</si>
  <si>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</si>
  <si>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</si>
  <si>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</si>
  <si>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</si>
  <si>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</si>
  <si>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</si>
  <si>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</si>
  <si>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</si>
  <si>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</si>
  <si>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</si>
  <si>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</si>
  <si>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</si>
  <si>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</si>
  <si>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</si>
  <si>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</si>
  <si>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</si>
  <si>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</si>
  <si>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</si>
  <si>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</si>
  <si>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</si>
  <si>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</si>
  <si>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</si>
  <si>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</si>
  <si>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</si>
  <si>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</si>
  <si>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</si>
  <si>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</si>
  <si>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</si>
  <si>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</si>
  <si>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</si>
  <si>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</si>
  <si>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</si>
  <si>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</si>
  <si>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</si>
  <si>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</si>
  <si>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</si>
  <si>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</si>
  <si>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</si>
  <si>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</si>
  <si>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</si>
  <si>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</si>
  <si>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</si>
  <si>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</si>
  <si>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</si>
  <si>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</si>
  <si>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</si>
  <si>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</si>
  <si>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</si>
  <si>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</si>
  <si>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</si>
  <si>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</si>
  <si>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</si>
  <si>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</si>
  <si>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</si>
  <si>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</si>
  <si>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</si>
  <si>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</si>
  <si>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</si>
  <si>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</si>
  <si>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</si>
  <si>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</si>
  <si>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</si>
  <si>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</si>
  <si>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</si>
  <si>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</si>
  <si>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</si>
  <si>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</si>
  <si>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</si>
  <si>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</si>
  <si>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</si>
  <si>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</si>
  <si>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</si>
  <si>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</si>
  <si>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</si>
  <si>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</si>
  <si>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</si>
  <si>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</si>
  <si>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</si>
  <si>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</si>
  <si>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</si>
  <si>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</si>
  <si>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</si>
  <si>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</si>
  <si>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</si>
  <si>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</si>
  <si>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</si>
  <si>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</si>
  <si>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</si>
  <si>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</si>
  <si>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</si>
  <si>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</si>
  <si>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</si>
  <si>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</si>
  <si>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</si>
  <si>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</si>
  <si>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</si>
  <si>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</si>
  <si>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</si>
  <si>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</si>
  <si>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</si>
  <si>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</si>
  <si>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</si>
  <si>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</si>
  <si>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</si>
  <si>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</si>
  <si>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</si>
  <si>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</si>
  <si>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</si>
  <si>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</si>
  <si>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</si>
  <si>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</si>
  <si>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</si>
  <si>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</si>
  <si>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</si>
  <si>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</si>
  <si>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</si>
  <si>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</si>
  <si>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</si>
  <si>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</si>
  <si>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</si>
  <si>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</si>
  <si>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</si>
  <si>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</si>
  <si>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</si>
  <si>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</si>
  <si>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</si>
  <si>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</si>
  <si>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</si>
  <si>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</si>
  <si>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</si>
  <si>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</si>
  <si>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</si>
  <si>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</si>
  <si>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</si>
  <si>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</si>
  <si>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</si>
  <si>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</si>
  <si>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</si>
  <si>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</si>
  <si>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</si>
  <si>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</si>
  <si>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</si>
  <si>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</si>
  <si>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</si>
  <si>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</si>
  <si>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</si>
  <si>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</si>
  <si>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</si>
  <si>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</si>
  <si>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</si>
  <si>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</si>
  <si>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</si>
  <si>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</si>
  <si>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</si>
  <si>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</si>
  <si>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</si>
  <si>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</si>
  <si>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</si>
  <si>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</si>
  <si>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</si>
  <si>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</si>
  <si>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</si>
  <si>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</si>
  <si>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</si>
  <si>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</si>
  <si>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</si>
  <si>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</si>
  <si>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</si>
  <si>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</si>
  <si>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</si>
  <si>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</si>
  <si>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</si>
  <si>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</si>
  <si>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</si>
  <si>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</si>
  <si>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</si>
  <si>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</si>
  <si>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</si>
  <si>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</si>
  <si>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</si>
  <si>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</si>
  <si>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</si>
  <si>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</si>
  <si>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</si>
  <si>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</si>
  <si>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</si>
  <si>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</si>
  <si>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</si>
  <si>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</si>
  <si>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</si>
  <si>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</si>
  <si>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</si>
  <si>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</si>
  <si>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</si>
  <si>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</si>
  <si>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</si>
  <si>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</si>
  <si>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</si>
  <si>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</si>
  <si>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</si>
  <si>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</si>
  <si>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</si>
  <si>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</si>
  <si>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</si>
  <si>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</si>
  <si>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</si>
  <si>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</si>
  <si>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</si>
  <si>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</si>
  <si>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</si>
  <si>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</si>
  <si>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</si>
  <si>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</si>
  <si>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</si>
  <si>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</si>
  <si>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Територия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</si>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</sst>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0" fillId="0" borderId="0" xfId="0" applyNumberFormat="1"/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052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64" tableType="queryTable" totalsRowShown="0">
  <autoFilter ref="A1:N264" xr:uid="{B468AF39-21AE-47BD-BA18-EADB2FC1D520}"/>
  <tableColumns count="14">
    <tableColumn id="11" xr3:uid="{6F8E650D-029B-40AD-86B4-92C160128A4F}" uniqueName="11" name="День нед" queryTableFieldId="39" dataDxfId="1034"/>
    <tableColumn id="8" xr3:uid="{7C2AA400-8F21-45B7-B47D-9CF2CFB5DD00}" uniqueName="8" name="Дата" queryTableFieldId="19" dataDxfId="1033"/>
    <tableColumn id="9" xr3:uid="{7CB7ABF0-C98D-49E4-A494-985A43D5F40F}" uniqueName="9" name="Время" queryTableFieldId="20" dataDxfId="1032"/>
    <tableColumn id="5" xr3:uid="{613A944B-9245-4C6D-9CCE-5037AD552DED}" uniqueName="5" name="Событие" queryTableFieldId="27" dataDxfId="1051"/>
    <tableColumn id="7" xr3:uid="{FFEA85A5-3527-4483-91CE-57F760AB9F33}" uniqueName="7" name="Объект" queryTableFieldId="29" dataDxfId="1050"/>
    <tableColumn id="10" xr3:uid="{A2E2C27E-C1B2-4B74-A427-E1854B0E2C76}" uniqueName="10" name="Груз" queryTableFieldId="30" dataDxfId="1049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048"/>
    <tableColumn id="4" xr3:uid="{B2B57637-8A7D-4C5F-A6F8-E38F3EA43620}" uniqueName="4" name="Name" queryTableFieldId="14" dataDxfId="1047"/>
    <tableColumn id="1" xr3:uid="{79275791-6385-434B-9F1B-8BDC003824A7}" uniqueName="1" name="Folder Path" queryTableFieldId="11" dataDxfId="1046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031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045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86" tableType="queryTable" totalsRowShown="0">
  <autoFilter ref="A1:M286" xr:uid="{B468AF39-21AE-47BD-BA18-EADB2FC1D520}"/>
  <tableColumns count="13">
    <tableColumn id="11" xr3:uid="{6804E693-7D64-41A5-9B58-B7D348C4DC92}" uniqueName="11" name="День нед" queryTableFieldId="39" dataDxfId="1030"/>
    <tableColumn id="8" xr3:uid="{40827FD9-94EC-4CF6-B212-59CF3E913897}" uniqueName="8" name="Дата" queryTableFieldId="19" dataDxfId="1029"/>
    <tableColumn id="9" xr3:uid="{1F8E8ADE-5BFB-4171-9A0A-859E22042D3B}" uniqueName="9" name="Время" queryTableFieldId="20" dataDxfId="1028"/>
    <tableColumn id="5" xr3:uid="{9D19F2E1-3C70-4F2F-8ED7-6D41C17A9366}" uniqueName="5" name="Событие" queryTableFieldId="27" dataDxfId="1027"/>
    <tableColumn id="7" xr3:uid="{8C8CC69A-BA0A-4417-AE7D-B89E26F69F9B}" uniqueName="7" name="Объект" queryTableFieldId="29" dataDxfId="1026"/>
    <tableColumn id="10" xr3:uid="{375C36FB-077D-4AA3-B6F7-74ACE46C2638}" uniqueName="10" name="Груз" queryTableFieldId="30" dataDxfId="1025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024"/>
    <tableColumn id="4" xr3:uid="{4A5BB282-D54C-4C68-A1D9-B3A819F9FCF6}" uniqueName="4" name="Name" queryTableFieldId="14" dataDxfId="1023"/>
    <tableColumn id="1" xr3:uid="{7BD19058-41FF-4EFE-8283-68501A5B1623}" uniqueName="1" name="Folder Path" queryTableFieldId="11" dataDxfId="1022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021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67" tableType="queryTable" totalsRowShown="0">
  <autoFilter ref="A1:M167" xr:uid="{B468AF39-21AE-47BD-BA18-EADB2FC1D520}"/>
  <tableColumns count="13">
    <tableColumn id="11" xr3:uid="{8C7989A8-AE95-4BFB-859E-9F3F94DCD873}" uniqueName="11" name="День нед" queryTableFieldId="39" dataDxfId="1020"/>
    <tableColumn id="8" xr3:uid="{B651DAE5-1AB7-4761-9820-CB58DA0D9C46}" uniqueName="8" name="Дата" queryTableFieldId="19" dataDxfId="1019"/>
    <tableColumn id="9" xr3:uid="{22B6AE73-6E8B-4F81-B85C-3D141AD4D773}" uniqueName="9" name="Время" queryTableFieldId="20" dataDxfId="1018"/>
    <tableColumn id="5" xr3:uid="{CB5AF0FF-A861-4F29-BFD9-751A47066C68}" uniqueName="5" name="Событие" queryTableFieldId="27" dataDxfId="1017"/>
    <tableColumn id="7" xr3:uid="{63916370-0910-4B95-ABB4-D88865AA9E43}" uniqueName="7" name="Объект" queryTableFieldId="29" dataDxfId="1016"/>
    <tableColumn id="10" xr3:uid="{DDC7656E-7390-4778-A2CE-EEC7AC518263}" uniqueName="10" name="Груз" queryTableFieldId="30" dataDxfId="1015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014"/>
    <tableColumn id="4" xr3:uid="{96665EED-E1B8-437C-869A-35CB5BA419D3}" uniqueName="4" name="Name" queryTableFieldId="14" dataDxfId="1013"/>
    <tableColumn id="1" xr3:uid="{1F225BD8-B59D-4058-9D99-17124C1F38FB}" uniqueName="1" name="Folder Path" queryTableFieldId="11" dataDxfId="1012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011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71" tableType="queryTable" totalsRowShown="0">
  <tableColumns count="13">
    <tableColumn id="11" xr3:uid="{F25D1388-C4DF-49FB-9BF5-0132CEDCCAEA}" uniqueName="11" name="День нед" queryTableFieldId="39" dataDxfId="928"/>
    <tableColumn id="8" xr3:uid="{9EDCCA26-9FD6-4F66-9134-186F89CA663B}" uniqueName="8" name="Дата" queryTableFieldId="19" dataDxfId="927"/>
    <tableColumn id="9" xr3:uid="{FB005DB9-8D3C-48A5-94F1-246606C665DD}" uniqueName="9" name="Время" queryTableFieldId="20" dataDxfId="926"/>
    <tableColumn id="5" xr3:uid="{6D19407C-64CF-4FC5-95E7-163AA12EB226}" uniqueName="5" name="Событие" queryTableFieldId="27" dataDxfId="925"/>
    <tableColumn id="7" xr3:uid="{007BF834-0BCB-4416-8941-11DA4EDFCE5B}" uniqueName="7" name="Объект" queryTableFieldId="29" dataDxfId="924"/>
    <tableColumn id="10" xr3:uid="{E896F002-4451-441D-B0CB-52AD69A6E5C3}" uniqueName="10" name="Груз" queryTableFieldId="30" dataDxfId="923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922"/>
    <tableColumn id="4" xr3:uid="{9F6560FA-27F8-4BE9-BA58-3B0E40F582E5}" uniqueName="4" name="Name" queryTableFieldId="14" dataDxfId="921"/>
    <tableColumn id="1" xr3:uid="{44892CD0-9118-4535-9434-E49462140346}" uniqueName="1" name="Folder Path" queryTableFieldId="11" dataDxfId="920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919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363" tableType="queryTable" totalsRowShown="0">
  <tableColumns count="13">
    <tableColumn id="11" xr3:uid="{390CB009-E9E0-4C0F-93C3-AF6B408B816B}" uniqueName="11" name="День нед" queryTableFieldId="39" dataDxfId="1010"/>
    <tableColumn id="8" xr3:uid="{E0A1C296-A368-479C-9A74-85306B3C03D4}" uniqueName="8" name="Дата" queryTableFieldId="19" dataDxfId="1009"/>
    <tableColumn id="9" xr3:uid="{86401298-83EB-49D3-ACBA-E743586F5CCB}" uniqueName="9" name="Время" queryTableFieldId="20" dataDxfId="1008"/>
    <tableColumn id="5" xr3:uid="{FFB4F03A-A400-4544-A729-2375A1F7D5E8}" uniqueName="5" name="Событие" queryTableFieldId="27" dataDxfId="1007"/>
    <tableColumn id="7" xr3:uid="{D96DCF3C-D325-4D0C-94A1-DBE97CC5C9DC}" uniqueName="7" name="Объект" queryTableFieldId="29" dataDxfId="1006"/>
    <tableColumn id="10" xr3:uid="{76D99262-42F5-447E-95AC-9C2A84BF344C}" uniqueName="10" name="Груз" queryTableFieldId="30" dataDxfId="1005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004"/>
    <tableColumn id="4" xr3:uid="{D16AEB37-7A8A-406F-8ED7-B8D53BAA9BD9}" uniqueName="4" name="Name" queryTableFieldId="14" dataDxfId="1003"/>
    <tableColumn id="1" xr3:uid="{1746BE5F-089A-476F-AE8D-5F2B27E9AEEA}" uniqueName="1" name="Folder Path" queryTableFieldId="11" dataDxfId="1002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001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213" tableType="queryTable" totalsRowShown="0">
  <tableColumns count="13">
    <tableColumn id="11" xr3:uid="{45D23538-AB74-404E-8577-E2B7A36436AF}" uniqueName="11" name="День нед" queryTableFieldId="39" dataDxfId="48"/>
    <tableColumn id="8" xr3:uid="{40B01B94-168F-4547-A2BC-AA7F91350AB3}" uniqueName="8" name="Дата" queryTableFieldId="19" dataDxfId="47"/>
    <tableColumn id="9" xr3:uid="{A2C94EFB-3081-4BA9-85C2-DFF0455AFA43}" uniqueName="9" name="Время" queryTableFieldId="20" dataDxfId="46"/>
    <tableColumn id="5" xr3:uid="{244D3D34-C9EC-4B9C-BE81-12A0C0BB4342}" uniqueName="5" name="Событие" queryTableFieldId="27" dataDxfId="45"/>
    <tableColumn id="7" xr3:uid="{C449A112-E8A8-4956-B85C-2BA12316F170}" uniqueName="7" name="Объект" queryTableFieldId="29" dataDxfId="44"/>
    <tableColumn id="10" xr3:uid="{C8411557-C312-4542-93DA-DF5949399E11}" uniqueName="10" name="Груз" queryTableFieldId="30" dataDxfId="43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42"/>
    <tableColumn id="4" xr3:uid="{6A396D44-0898-4737-A4C1-8D6D40981793}" uniqueName="4" name="Name" queryTableFieldId="14" dataDxfId="41"/>
    <tableColumn id="1" xr3:uid="{328F21C9-48B9-4081-9B8C-BBD168BD38D1}" uniqueName="1" name="Folder Path" queryTableFieldId="11" dataDxfId="40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39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32" tableType="queryTable" totalsRowShown="0">
  <tableColumns count="13">
    <tableColumn id="11" xr3:uid="{2311EAC9-4673-4BE2-ADB0-E8CEB0BD9945}" uniqueName="11" name="День нед" queryTableFieldId="39" dataDxfId="38"/>
    <tableColumn id="8" xr3:uid="{F1C9804A-F8E7-4755-B717-859265C587A2}" uniqueName="8" name="Дата" queryTableFieldId="19" dataDxfId="37"/>
    <tableColumn id="9" xr3:uid="{1C2BA522-8D4F-4713-849C-1F60357B476E}" uniqueName="9" name="Время" queryTableFieldId="20" dataDxfId="36"/>
    <tableColumn id="5" xr3:uid="{6E084A00-DC62-4E93-8ABC-4651FD4D2408}" uniqueName="5" name="Событие" queryTableFieldId="27" dataDxfId="35"/>
    <tableColumn id="7" xr3:uid="{C9F6EF14-DBE7-4655-9D20-5B253923C11E}" uniqueName="7" name="Объект" queryTableFieldId="29" dataDxfId="34"/>
    <tableColumn id="10" xr3:uid="{0ADEC0F9-9FE9-4E92-BD38-0B8CDDE1BDBD}" uniqueName="10" name="Груз" queryTableFieldId="30" dataDxfId="33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32"/>
    <tableColumn id="4" xr3:uid="{FE606B6B-0A78-44A2-B44F-54FBA553BAD6}" uniqueName="4" name="Name" queryTableFieldId="14" dataDxfId="31"/>
    <tableColumn id="1" xr3:uid="{34274AB2-665A-4EF1-8C79-4944C9C122A7}" uniqueName="1" name="Folder Path" queryTableFieldId="11" dataDxfId="30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29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316" tableType="queryTable" totalsRowShown="0">
  <tableColumns count="13">
    <tableColumn id="11" xr3:uid="{72CE202A-C56C-4D63-9F9F-0DFF72BB5190}" uniqueName="11" name="День нед" queryTableFieldId="39" dataDxfId="1000"/>
    <tableColumn id="8" xr3:uid="{0D9F5C4C-70B0-46E2-9E29-649E206B6616}" uniqueName="8" name="Дата" queryTableFieldId="19" dataDxfId="999"/>
    <tableColumn id="9" xr3:uid="{7C8561D4-BD7D-493F-BC95-213F2D55F3FD}" uniqueName="9" name="Время" queryTableFieldId="20" dataDxfId="998"/>
    <tableColumn id="5" xr3:uid="{E48795B2-2732-4E4A-81E8-B1585581420B}" uniqueName="5" name="Событие" queryTableFieldId="27" dataDxfId="997"/>
    <tableColumn id="7" xr3:uid="{F684EE24-0636-4EC2-AB94-A65EA5355534}" uniqueName="7" name="Объект" queryTableFieldId="29" dataDxfId="996"/>
    <tableColumn id="10" xr3:uid="{0C1B5273-277F-4438-B52D-9F868AD13DEE}" uniqueName="10" name="Груз" queryTableFieldId="30" dataDxfId="995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994"/>
    <tableColumn id="4" xr3:uid="{729433F6-F4FD-435B-851D-D34CC9060068}" uniqueName="4" name="Name" queryTableFieldId="14" dataDxfId="993"/>
    <tableColumn id="1" xr3:uid="{7A9B9B80-B872-4A82-9D9D-98A75E20F89B}" uniqueName="1" name="Folder Path" queryTableFieldId="11" dataDxfId="992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991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626" tableType="queryTable" totalsRowShown="0">
  <tableColumns count="13">
    <tableColumn id="11" xr3:uid="{2CE691F0-1D02-41BD-8E81-7716875609CD}" uniqueName="11" name="День нед" queryTableFieldId="39" dataDxfId="990"/>
    <tableColumn id="8" xr3:uid="{1A2A3B97-F602-468E-8AD3-5DD492638A71}" uniqueName="8" name="Дата" queryTableFieldId="19" dataDxfId="989"/>
    <tableColumn id="9" xr3:uid="{E8725BDD-FF6C-47C3-9100-825160B93721}" uniqueName="9" name="Время" queryTableFieldId="20" dataDxfId="988"/>
    <tableColumn id="5" xr3:uid="{F68EB906-7F6F-4765-A5C8-9B40064179BE}" uniqueName="5" name="Событие" queryTableFieldId="27" dataDxfId="987"/>
    <tableColumn id="7" xr3:uid="{812FE0F9-0D7E-497C-893A-B104BA069155}" uniqueName="7" name="Объект" queryTableFieldId="29" dataDxfId="986"/>
    <tableColumn id="10" xr3:uid="{1679E688-A047-4936-9EBC-9BDCFEA4CD95}" uniqueName="10" name="Груз" queryTableFieldId="30" dataDxfId="985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984"/>
    <tableColumn id="4" xr3:uid="{F9F7F55E-2CCF-4A6B-892F-1C76C0668832}" uniqueName="4" name="Name" queryTableFieldId="14" dataDxfId="983"/>
    <tableColumn id="1" xr3:uid="{0AF9B05B-8D0E-4B8A-81D0-358A18429CE8}" uniqueName="1" name="Folder Path" queryTableFieldId="11" dataDxfId="982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981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646" tableType="queryTable" totalsRowShown="0">
  <tableColumns count="13">
    <tableColumn id="11" xr3:uid="{96A6BDDB-7ED5-4607-80F3-3FD842EAEE0A}" uniqueName="11" name="День нед" queryTableFieldId="39" dataDxfId="980"/>
    <tableColumn id="8" xr3:uid="{FBEC9ECA-BD5C-442E-BB86-7CCAEF9464D2}" uniqueName="8" name="Дата" queryTableFieldId="19" dataDxfId="979"/>
    <tableColumn id="9" xr3:uid="{68242AF7-BC60-4380-843B-35A6CC4A66E6}" uniqueName="9" name="Время" queryTableFieldId="20" dataDxfId="978"/>
    <tableColumn id="5" xr3:uid="{C98BCFD6-9DE9-4A28-B769-F5737933429D}" uniqueName="5" name="Событие" queryTableFieldId="27" dataDxfId="977"/>
    <tableColumn id="7" xr3:uid="{4D44F8D4-93A4-4851-894E-AC8CDD93BD71}" uniqueName="7" name="Объект" queryTableFieldId="29" dataDxfId="976"/>
    <tableColumn id="10" xr3:uid="{0A838B00-A88A-40EE-A542-7E8E08968D89}" uniqueName="10" name="Груз" queryTableFieldId="30" dataDxfId="975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74"/>
    <tableColumn id="4" xr3:uid="{4FA2E248-D5A3-4824-875F-C328FA9AC2F9}" uniqueName="4" name="Name" queryTableFieldId="14" dataDxfId="973"/>
    <tableColumn id="1" xr3:uid="{B01A6B83-82C4-4172-AD5B-D2AF410DBE1B}" uniqueName="1" name="Folder Path" queryTableFieldId="11" dataDxfId="972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971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17" tableType="queryTable" totalsRowShown="0">
  <tableColumns count="13">
    <tableColumn id="11" xr3:uid="{2AD64508-44AB-4871-8C82-4C5A1E5A5DD2}" uniqueName="11" name="День нед" queryTableFieldId="39" dataDxfId="17"/>
    <tableColumn id="8" xr3:uid="{C788117B-4896-492B-97B3-B2502F0537D8}" uniqueName="8" name="Дата" queryTableFieldId="19" dataDxfId="16"/>
    <tableColumn id="9" xr3:uid="{E3EF5757-6705-492A-BD76-A47D414757C0}" uniqueName="9" name="Время" queryTableFieldId="20" dataDxfId="15"/>
    <tableColumn id="5" xr3:uid="{EF049B28-F832-4F3D-AB4F-3C396920BF5B}" uniqueName="5" name="Событие" queryTableFieldId="27" dataDxfId="14"/>
    <tableColumn id="7" xr3:uid="{DDB63E42-2809-4377-A568-A326109989E9}" uniqueName="7" name="Объект" queryTableFieldId="29" dataDxfId="13"/>
    <tableColumn id="10" xr3:uid="{A4FCF3D3-582A-4DEF-8FB8-9D050C82517D}" uniqueName="10" name="Груз" queryTableFieldId="30" dataDxfId="12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1"/>
    <tableColumn id="4" xr3:uid="{DA63B8EC-3587-40B4-A86A-92B91C78723D}" uniqueName="4" name="Name" queryTableFieldId="14" dataDxfId="10"/>
    <tableColumn id="1" xr3:uid="{360C7476-DEC6-4377-8E95-D472C6673B12}" uniqueName="1" name="Folder Path" queryTableFieldId="11" dataDxfId="9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8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60" tableType="queryTable" totalsRowShown="0">
  <tableColumns count="13">
    <tableColumn id="11" xr3:uid="{C40005DE-8CA6-428A-9DF2-E715CC943F02}" uniqueName="11" name="День нед" queryTableFieldId="39" dataDxfId="960"/>
    <tableColumn id="8" xr3:uid="{55C75F47-F14F-483C-9C7A-95288D9463D6}" uniqueName="8" name="Дата" queryTableFieldId="19" dataDxfId="959"/>
    <tableColumn id="9" xr3:uid="{79D3981C-638A-4D64-BACB-D64D85DAC855}" uniqueName="9" name="Время" queryTableFieldId="20" dataDxfId="958"/>
    <tableColumn id="5" xr3:uid="{B0B848B5-29B2-4292-89A5-7DE5A2F72D15}" uniqueName="5" name="Событие" queryTableFieldId="27" dataDxfId="957"/>
    <tableColumn id="7" xr3:uid="{A9E0C8AC-2336-4969-BC3E-110E6C33529C}" uniqueName="7" name="Объект" queryTableFieldId="29" dataDxfId="956"/>
    <tableColumn id="10" xr3:uid="{F8691CA5-2689-452F-9550-C52E06B35BD6}" uniqueName="10" name="Груз" queryTableFieldId="30" dataDxfId="955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954"/>
    <tableColumn id="4" xr3:uid="{E9716AC2-8439-4E67-8698-BA6CD84F7B9C}" uniqueName="4" name="Name" queryTableFieldId="14" dataDxfId="953"/>
    <tableColumn id="1" xr3:uid="{9AB30DEC-91E3-4633-A156-B937B586CECB}" uniqueName="1" name="Folder Path" queryTableFieldId="11" dataDxfId="952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95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15" tableType="queryTable" totalsRowShown="0">
  <tableColumns count="13">
    <tableColumn id="11" xr3:uid="{B21CFC33-55C8-4073-BBD2-E0A5154A10D6}" uniqueName="11" name="День нед" queryTableFieldId="39" dataDxfId="970"/>
    <tableColumn id="8" xr3:uid="{004370C0-0D3C-4162-A392-32C741C3A58B}" uniqueName="8" name="Дата" queryTableFieldId="19" dataDxfId="969"/>
    <tableColumn id="9" xr3:uid="{6537DA5E-247D-44FB-ACE3-933B3C9B9408}" uniqueName="9" name="Время" queryTableFieldId="20" dataDxfId="968"/>
    <tableColumn id="5" xr3:uid="{4FA9309D-407E-48C1-B1F9-C33DEA7645B1}" uniqueName="5" name="Событие" queryTableFieldId="27" dataDxfId="967"/>
    <tableColumn id="7" xr3:uid="{76E54E9E-D730-4C99-9BF5-96E9384FF63C}" uniqueName="7" name="Объект" queryTableFieldId="29" dataDxfId="966"/>
    <tableColumn id="10" xr3:uid="{B9F78DE2-7938-486B-9BE2-F824D0E7A6C4}" uniqueName="10" name="Груз" queryTableFieldId="30" dataDxfId="965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964"/>
    <tableColumn id="4" xr3:uid="{921D28C1-5761-48A7-B447-6A4446F87545}" uniqueName="4" name="Name" queryTableFieldId="14" dataDxfId="963"/>
    <tableColumn id="1" xr3:uid="{F1A648C1-8DB5-4DEF-B011-BD85E17FCAA3}" uniqueName="1" name="Folder Path" queryTableFieldId="11" dataDxfId="962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961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52" tableType="queryTable" totalsRowShown="0">
  <tableColumns count="13">
    <tableColumn id="11" xr3:uid="{326CF8DE-8E4F-4540-A010-20CF489342A6}" uniqueName="11" name="День нед" queryTableFieldId="39" dataDxfId="939"/>
    <tableColumn id="8" xr3:uid="{B803C26B-EDF7-4F4B-99B7-759FDE206BB4}" uniqueName="8" name="Дата" queryTableFieldId="19" dataDxfId="938"/>
    <tableColumn id="9" xr3:uid="{691C5FBB-50CD-4B8E-845B-069A5BEF4054}" uniqueName="9" name="Время" queryTableFieldId="20" dataDxfId="937"/>
    <tableColumn id="5" xr3:uid="{963AEB35-E363-4027-9FA3-EA15F072700D}" uniqueName="5" name="Событие" queryTableFieldId="27" dataDxfId="936"/>
    <tableColumn id="7" xr3:uid="{9C2F1BAF-3932-43E9-9155-EA713BB0011D}" uniqueName="7" name="Объект" queryTableFieldId="29" dataDxfId="935"/>
    <tableColumn id="10" xr3:uid="{5D4CEE63-A195-4AD7-9985-38CAADCF8E9D}" uniqueName="10" name="Груз" queryTableFieldId="30" dataDxfId="934"/>
    <tableColumn id="13" xr3:uid="{7298E84C-ACAB-4631-8905-CF20AC72E0EA}" uniqueName="13" name="Кол-во" queryTableFieldId="31" dataDxfId="933"/>
    <tableColumn id="14" xr3:uid="{7C8EF3A5-15A6-4571-8EB7-C981C6BEB025}" uniqueName="14" name="Примечание" queryTableFieldId="32" dataDxfId="932"/>
    <tableColumn id="4" xr3:uid="{D4638119-06B9-4DD4-899F-6281EFBF2A28}" uniqueName="4" name="Name" queryTableFieldId="14" dataDxfId="931"/>
    <tableColumn id="1" xr3:uid="{53F21A0B-EBC8-48C0-B8DE-B46C5D45C7AE}" uniqueName="1" name="Folder Path" queryTableFieldId="11" dataDxfId="930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929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15" tableType="queryTable" totalsRowShown="0">
  <tableColumns count="13">
    <tableColumn id="11" xr3:uid="{0CFDC447-3A1C-4713-8714-972F5D0CA073}" uniqueName="11" name="День нед" queryTableFieldId="39" dataDxfId="950"/>
    <tableColumn id="8" xr3:uid="{0C391974-E2F5-4A95-A1CF-60789D499629}" uniqueName="8" name="Дата" queryTableFieldId="19" dataDxfId="949"/>
    <tableColumn id="9" xr3:uid="{FA3DAD09-E88C-4F5F-BF0D-4C339BEA0379}" uniqueName="9" name="Время" queryTableFieldId="20" dataDxfId="948"/>
    <tableColumn id="5" xr3:uid="{A64C6221-99CB-4F4A-8D59-9A565B539E8F}" uniqueName="5" name="Событие" queryTableFieldId="27" dataDxfId="947"/>
    <tableColumn id="7" xr3:uid="{A450DCE6-DF8B-4086-A9AC-461A34512F32}" uniqueName="7" name="Объект" queryTableFieldId="29" dataDxfId="946"/>
    <tableColumn id="10" xr3:uid="{10063D90-AC03-4F75-A11D-AC21D3D60004}" uniqueName="10" name="Груз" queryTableFieldId="30" dataDxfId="945"/>
    <tableColumn id="13" xr3:uid="{181B76AA-1C08-4D33-806D-1F2F74743310}" uniqueName="13" name="Кол-во" queryTableFieldId="31" dataDxfId="944"/>
    <tableColumn id="14" xr3:uid="{4521D51C-620E-4319-B053-8C6D64C3EDE6}" uniqueName="14" name="Примечание" queryTableFieldId="32" dataDxfId="943"/>
    <tableColumn id="4" xr3:uid="{D15D4B57-C607-4304-9179-11BE299FB124}" uniqueName="4" name="Name" queryTableFieldId="14" dataDxfId="942"/>
    <tableColumn id="1" xr3:uid="{A0C0E586-D0B7-448D-928A-8F553900221D}" uniqueName="1" name="Folder Path" queryTableFieldId="11" dataDxfId="941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940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13" tableType="queryTable" totalsRowShown="0">
  <tableColumns count="13">
    <tableColumn id="11" xr3:uid="{DBE515D3-C915-413E-AB17-4F456480DC24}" uniqueName="11" name="День нед" queryTableFieldId="39" dataDxfId="28"/>
    <tableColumn id="8" xr3:uid="{3F87D45A-256D-42F9-A0B8-BE1BF846E410}" uniqueName="8" name="Дата" queryTableFieldId="19" dataDxfId="27"/>
    <tableColumn id="9" xr3:uid="{465B1309-C725-4992-B63E-A70188E91281}" uniqueName="9" name="Время" queryTableFieldId="20" dataDxfId="26"/>
    <tableColumn id="5" xr3:uid="{50C1A202-1B56-40A2-AB13-2511D2291499}" uniqueName="5" name="Событие" queryTableFieldId="27" dataDxfId="25"/>
    <tableColumn id="7" xr3:uid="{FDB3318C-D13D-4B0B-9853-1EF40B58299A}" uniqueName="7" name="Объект" queryTableFieldId="29" dataDxfId="24"/>
    <tableColumn id="10" xr3:uid="{1CEBC306-6BF1-49C1-A704-CC239C79F10B}" uniqueName="10" name="Груз" queryTableFieldId="30" dataDxfId="23"/>
    <tableColumn id="13" xr3:uid="{3EE0C05E-6FF0-490E-B1B0-19B341DAD03E}" uniqueName="13" name="Кол-во" queryTableFieldId="31" dataDxfId="22"/>
    <tableColumn id="14" xr3:uid="{2D68CF85-753C-481D-8DC1-3B9EC9B7EC53}" uniqueName="14" name="Примечание" queryTableFieldId="32" dataDxfId="21"/>
    <tableColumn id="4" xr3:uid="{C8B35D61-7E66-45AB-93A9-51E52D8140C2}" uniqueName="4" name="Name" queryTableFieldId="14" dataDxfId="20"/>
    <tableColumn id="1" xr3:uid="{7D5853A1-56B3-42B3-9B8D-B85E9D9A2D1A}" uniqueName="1" name="Folder Path" queryTableFieldId="11" dataDxfId="19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8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43" tableType="queryTable" totalsRowShown="0">
  <tableColumns count="13">
    <tableColumn id="11" xr3:uid="{C2F51F72-E32B-452E-A758-54D19EA7554C}" uniqueName="11" name="День нед" queryTableFieldId="39" dataDxfId="64"/>
    <tableColumn id="8" xr3:uid="{5605969B-3DDA-4935-9901-BA1373284B0A}" uniqueName="8" name="Дата" queryTableFieldId="19" dataDxfId="63"/>
    <tableColumn id="9" xr3:uid="{D9EC7471-58C0-46C9-8780-F73898B23AC2}" uniqueName="9" name="Время" queryTableFieldId="20" dataDxfId="62"/>
    <tableColumn id="5" xr3:uid="{96518AE6-7E5C-4C8D-B54C-F54D11234D6C}" uniqueName="5" name="Событие" queryTableFieldId="27" dataDxfId="61"/>
    <tableColumn id="7" xr3:uid="{F862865E-2F4F-4BAD-8D28-E2820B418659}" uniqueName="7" name="Объект" queryTableFieldId="29" dataDxfId="60"/>
    <tableColumn id="10" xr3:uid="{476FE760-4B7E-4311-B61C-EB76222CEA80}" uniqueName="10" name="Груз" queryTableFieldId="30" dataDxfId="59"/>
    <tableColumn id="13" xr3:uid="{E29E2A9C-9B65-42B8-A282-C804C29C0986}" uniqueName="13" name="Кол-во" queryTableFieldId="31" dataDxfId="58"/>
    <tableColumn id="14" xr3:uid="{410D0DD1-9316-49BC-A307-70ADAE7FB021}" uniqueName="14" name="Примечание" queryTableFieldId="32" dataDxfId="57"/>
    <tableColumn id="4" xr3:uid="{F032B895-AD2B-487F-A174-968F9099A5EC}" uniqueName="4" name="Name" queryTableFieldId="14" dataDxfId="56"/>
    <tableColumn id="1" xr3:uid="{EDB0C229-E24E-4FEA-A0EA-4864FD102E8A}" uniqueName="1" name="Folder Path" queryTableFieldId="11" dataDxfId="55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54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4426" totalsRowShown="0">
  <autoFilter ref="A1:G4426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39" tableType="queryTable" totalsRowShown="0">
  <tableColumns count="13">
    <tableColumn id="11" xr3:uid="{789F1DE9-5F62-44CA-84AA-51D36355EDD2}" uniqueName="11" name="День нед" queryTableFieldId="39" dataDxfId="53"/>
    <tableColumn id="8" xr3:uid="{60928C38-9593-43BD-B23F-A707A8BA6BF4}" uniqueName="8" name="Дата" queryTableFieldId="19" dataDxfId="52"/>
    <tableColumn id="9" xr3:uid="{9E5D4465-E1ED-428A-B708-C10ADDB65305}" uniqueName="9" name="Время" queryTableFieldId="20" dataDxfId="51"/>
    <tableColumn id="5" xr3:uid="{A9911CA3-0E83-4156-B13A-725D5483CB80}" uniqueName="5" name="Событие" queryTableFieldId="27" dataDxfId="1044"/>
    <tableColumn id="7" xr3:uid="{22ACAF1F-F285-43EB-B67C-1DAA0609E04C}" uniqueName="7" name="Объект" queryTableFieldId="29" dataDxfId="1043"/>
    <tableColumn id="10" xr3:uid="{8E679C38-5159-496B-8534-CDFA63A95BDF}" uniqueName="10" name="Груз" queryTableFieldId="30" dataDxfId="1042"/>
    <tableColumn id="13" xr3:uid="{A06491EC-5198-4E5F-9576-1A3B2FF455BF}" uniqueName="13" name="Кол-во" queryTableFieldId="31" dataDxfId="50"/>
    <tableColumn id="14" xr3:uid="{881B0B85-064A-4D8F-922A-E2F2D20FE30E}" uniqueName="14" name="Примечание" queryTableFieldId="32" dataDxfId="1041"/>
    <tableColumn id="4" xr3:uid="{83859021-3431-4733-9E28-9475D80139E8}" uniqueName="4" name="Name" queryTableFieldId="14" dataDxfId="1040"/>
    <tableColumn id="1" xr3:uid="{F6AD7BBE-7CE0-4E30-97C2-B8AA8EFFB52B}" uniqueName="1" name="Folder Path" queryTableFieldId="11" dataDxfId="1039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49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58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"/>
    <tableColumn id="3" xr3:uid="{8C3702C1-E43C-496C-A204-7587B7ED5C05}" uniqueName="3" name="Время" queryTableFieldId="3" dataDxfId="6"/>
    <tableColumn id="4" xr3:uid="{C16264D0-558B-425C-8205-E671C6E3EB9E}" uniqueName="4" name="Событие" queryTableFieldId="4" dataDxfId="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038"/>
    <tableColumn id="10" xr3:uid="{37082223-0A57-495F-97B8-0BCE1F173A2E}" uniqueName="10" name="Folder Path" queryTableFieldId="10" dataDxfId="1037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68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036"/>
    <tableColumn id="10" xr3:uid="{2646CF32-E994-4A14-AEA5-9E938118AF27}" uniqueName="10" name="Folder Path" queryTableFieldId="10" dataDxfId="1035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64"/>
  <sheetViews>
    <sheetView tabSelected="1" zoomScale="90" zoomScaleNormal="90" workbookViewId="0">
      <pane ySplit="1" topLeftCell="A246" activePane="bottomLeft" state="frozen"/>
      <selection pane="bottomLeft" activeCell="D251" sqref="D251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12646</v>
      </c>
      <c r="K2" t="s">
        <v>13076</v>
      </c>
      <c r="L2" t="s">
        <v>2489</v>
      </c>
      <c r="M2" s="2" t="str">
        <f>HYPERLINK(склад2въезд[[#This Row],[RelativePath]])</f>
        <v>1 Въезд на базу\E33149364_6_20251110T115231Z.jpg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12646</v>
      </c>
      <c r="K3" t="s">
        <v>12649</v>
      </c>
      <c r="L3" t="s">
        <v>2490</v>
      </c>
      <c r="M3" s="2" t="str">
        <f>HYPERLINK(склад2въезд[[#This Row],[RelativePath]])</f>
        <v>1 Въезд на базу\E33149364_6_20251110T120047Z.jpg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12646</v>
      </c>
      <c r="K4" t="s">
        <v>12648</v>
      </c>
      <c r="L4" t="s">
        <v>2491</v>
      </c>
      <c r="M4" s="2" t="str">
        <f>HYPERLINK(склад2въезд[[#This Row],[RelativePath]])</f>
        <v>1 Въезд на базу\E33149364_6_20251110T120052Z.jpg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12646</v>
      </c>
      <c r="K5" t="s">
        <v>12647</v>
      </c>
      <c r="L5" t="s">
        <v>2492</v>
      </c>
      <c r="M5" s="2" t="str">
        <f>HYPERLINK(склад2въезд[[#This Row],[RelativePath]])</f>
        <v>1 Въезд на базу\E33149364_6_20251110T122835Z.jpg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12646</v>
      </c>
      <c r="K6" t="s">
        <v>13077</v>
      </c>
      <c r="L6" t="s">
        <v>2493</v>
      </c>
      <c r="M6" s="2" t="str">
        <f>HYPERLINK(склад2въезд[[#This Row],[RelativePath]])</f>
        <v>1 Въезд на базу\E33149364_6_20251110T134029Z.jpg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12646</v>
      </c>
      <c r="K7" t="s">
        <v>13078</v>
      </c>
      <c r="L7" t="s">
        <v>2494</v>
      </c>
      <c r="M7" s="2" t="str">
        <f>HYPERLINK(склад2въезд[[#This Row],[RelativePath]])</f>
        <v>1 Въезд на базу\E33149364_6_20251110T134540Z.jpg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12646</v>
      </c>
      <c r="K8" t="s">
        <v>13079</v>
      </c>
      <c r="L8" t="s">
        <v>2495</v>
      </c>
      <c r="M8" s="2" t="str">
        <f>HYPERLINK(склад2въезд[[#This Row],[RelativePath]])</f>
        <v>1 Въезд на базу\E33149364_6_20251110T143236Z.jpg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12646</v>
      </c>
      <c r="K9" t="s">
        <v>12653</v>
      </c>
      <c r="L9" t="s">
        <v>2496</v>
      </c>
      <c r="M9" s="2" t="str">
        <f>HYPERLINK(склад2въезд[[#This Row],[RelativePath]])</f>
        <v>1 Въезд на базу\E33149364_6_20251111T092327Z.jpg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t="s">
        <v>62</v>
      </c>
      <c r="E10" t="s">
        <v>67</v>
      </c>
      <c r="F10" t="s">
        <v>405</v>
      </c>
      <c r="I10" t="s">
        <v>34</v>
      </c>
      <c r="J10" t="s">
        <v>12646</v>
      </c>
      <c r="K10" t="s">
        <v>12654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12646</v>
      </c>
      <c r="K11" t="s">
        <v>12655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12646</v>
      </c>
      <c r="K12" t="s">
        <v>12650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12646</v>
      </c>
      <c r="K13" t="s">
        <v>12651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12646</v>
      </c>
      <c r="K14" t="s">
        <v>12652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12646</v>
      </c>
      <c r="K15" t="s">
        <v>13080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12646</v>
      </c>
      <c r="K16" t="s">
        <v>13081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12646</v>
      </c>
      <c r="K17" t="s">
        <v>12657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12646</v>
      </c>
      <c r="K18" t="s">
        <v>12656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12646</v>
      </c>
      <c r="K19" t="s">
        <v>13082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12646</v>
      </c>
      <c r="K20" t="s">
        <v>13083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12646</v>
      </c>
      <c r="K21" t="s">
        <v>13084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12646</v>
      </c>
      <c r="K22" t="s">
        <v>13085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12646</v>
      </c>
      <c r="K23" t="s">
        <v>13086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12646</v>
      </c>
      <c r="K24" t="s">
        <v>13087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12646</v>
      </c>
      <c r="K25" t="s">
        <v>13088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12646</v>
      </c>
      <c r="K26" t="s">
        <v>13089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12646</v>
      </c>
      <c r="K27" t="s">
        <v>13090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12646</v>
      </c>
      <c r="K28" t="s">
        <v>13091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12646</v>
      </c>
      <c r="K29" t="s">
        <v>13092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12646</v>
      </c>
      <c r="K30" t="s">
        <v>12663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12646</v>
      </c>
      <c r="K31" t="s">
        <v>13093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12646</v>
      </c>
      <c r="K32" t="s">
        <v>12662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12646</v>
      </c>
      <c r="K33" t="s">
        <v>12665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12646</v>
      </c>
      <c r="K34" t="s">
        <v>12664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12646</v>
      </c>
      <c r="K35" t="s">
        <v>12659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12646</v>
      </c>
      <c r="K36" t="s">
        <v>12658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12646</v>
      </c>
      <c r="K37" t="s">
        <v>12661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12646</v>
      </c>
      <c r="K38" t="s">
        <v>12660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12646</v>
      </c>
      <c r="K39" t="s">
        <v>13094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t="s">
        <v>91</v>
      </c>
      <c r="E40" t="s">
        <v>56</v>
      </c>
      <c r="F40" t="s">
        <v>1603</v>
      </c>
      <c r="I40" t="s">
        <v>898</v>
      </c>
      <c r="J40" t="s">
        <v>12646</v>
      </c>
      <c r="K40" t="s">
        <v>12669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t="s">
        <v>62</v>
      </c>
      <c r="E41" t="s">
        <v>55</v>
      </c>
      <c r="F41" t="s">
        <v>1603</v>
      </c>
      <c r="I41" t="s">
        <v>899</v>
      </c>
      <c r="J41" t="s">
        <v>12646</v>
      </c>
      <c r="K41" t="s">
        <v>13095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t="s">
        <v>91</v>
      </c>
      <c r="E42" t="s">
        <v>1604</v>
      </c>
      <c r="I42" t="s">
        <v>900</v>
      </c>
      <c r="J42" t="s">
        <v>12646</v>
      </c>
      <c r="K42" t="s">
        <v>12670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t="s">
        <v>62</v>
      </c>
      <c r="E43" t="s">
        <v>1604</v>
      </c>
      <c r="I43" t="s">
        <v>901</v>
      </c>
      <c r="J43" t="s">
        <v>12646</v>
      </c>
      <c r="K43" t="s">
        <v>12671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t="s">
        <v>91</v>
      </c>
      <c r="E44" t="s">
        <v>1605</v>
      </c>
      <c r="I44" t="s">
        <v>902</v>
      </c>
      <c r="J44" t="s">
        <v>12646</v>
      </c>
      <c r="K44" t="s">
        <v>12666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t="s">
        <v>91</v>
      </c>
      <c r="E45" t="s">
        <v>55</v>
      </c>
      <c r="F45" t="s">
        <v>1603</v>
      </c>
      <c r="I45" t="s">
        <v>903</v>
      </c>
      <c r="J45" t="s">
        <v>12646</v>
      </c>
      <c r="K45" t="s">
        <v>13096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t="s">
        <v>62</v>
      </c>
      <c r="E46" t="s">
        <v>56</v>
      </c>
      <c r="F46" t="s">
        <v>165</v>
      </c>
      <c r="I46" t="s">
        <v>1606</v>
      </c>
      <c r="J46" t="s">
        <v>12646</v>
      </c>
      <c r="K46" t="s">
        <v>12667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t="s">
        <v>62</v>
      </c>
      <c r="E47" t="s">
        <v>1605</v>
      </c>
      <c r="I47" t="s">
        <v>904</v>
      </c>
      <c r="J47" t="s">
        <v>12646</v>
      </c>
      <c r="K47" t="s">
        <v>12668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t="s">
        <v>1607</v>
      </c>
      <c r="I48" t="s">
        <v>1644</v>
      </c>
      <c r="J48" t="s">
        <v>12646</v>
      </c>
      <c r="K48" t="s">
        <v>13097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t="s">
        <v>64</v>
      </c>
      <c r="E49" t="s">
        <v>70</v>
      </c>
      <c r="F49" t="s">
        <v>51</v>
      </c>
      <c r="I49" t="s">
        <v>1645</v>
      </c>
      <c r="J49" t="s">
        <v>12646</v>
      </c>
      <c r="K49" t="s">
        <v>13098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t="s">
        <v>62</v>
      </c>
      <c r="E50" t="s">
        <v>70</v>
      </c>
      <c r="F50" t="s">
        <v>58</v>
      </c>
      <c r="I50" t="s">
        <v>1646</v>
      </c>
      <c r="J50" t="s">
        <v>12646</v>
      </c>
      <c r="K50" t="s">
        <v>13099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t="s">
        <v>64</v>
      </c>
      <c r="E51" t="s">
        <v>2336</v>
      </c>
      <c r="F51" t="s">
        <v>2337</v>
      </c>
      <c r="I51" t="s">
        <v>1647</v>
      </c>
      <c r="J51" t="s">
        <v>12646</v>
      </c>
      <c r="K51" t="s">
        <v>12674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t="s">
        <v>62</v>
      </c>
      <c r="E52" t="s">
        <v>2336</v>
      </c>
      <c r="F52" t="s">
        <v>2338</v>
      </c>
      <c r="I52" t="s">
        <v>1648</v>
      </c>
      <c r="J52" t="s">
        <v>12646</v>
      </c>
      <c r="K52" t="s">
        <v>12673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t="s">
        <v>62</v>
      </c>
      <c r="E53" t="s">
        <v>2339</v>
      </c>
      <c r="F53" t="s">
        <v>58</v>
      </c>
      <c r="I53" t="s">
        <v>1649</v>
      </c>
      <c r="J53" t="s">
        <v>12646</v>
      </c>
      <c r="K53" t="s">
        <v>12672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t="s">
        <v>64</v>
      </c>
      <c r="E54" t="s">
        <v>70</v>
      </c>
      <c r="F54" t="s">
        <v>51</v>
      </c>
      <c r="I54" t="s">
        <v>1650</v>
      </c>
      <c r="J54" t="s">
        <v>12646</v>
      </c>
      <c r="K54" t="s">
        <v>13100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t="s">
        <v>62</v>
      </c>
      <c r="E55" t="s">
        <v>70</v>
      </c>
      <c r="F55" t="s">
        <v>58</v>
      </c>
      <c r="I55" t="s">
        <v>1651</v>
      </c>
      <c r="J55" t="s">
        <v>12646</v>
      </c>
      <c r="K55" t="s">
        <v>13101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t="s">
        <v>91</v>
      </c>
      <c r="E56" t="s">
        <v>1605</v>
      </c>
      <c r="I56" t="s">
        <v>1652</v>
      </c>
      <c r="J56" t="s">
        <v>12646</v>
      </c>
      <c r="K56" t="s">
        <v>12676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t="s">
        <v>62</v>
      </c>
      <c r="E57" t="s">
        <v>1605</v>
      </c>
      <c r="I57" t="s">
        <v>1653</v>
      </c>
      <c r="J57" t="s">
        <v>12646</v>
      </c>
      <c r="K57" t="s">
        <v>12675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t="s">
        <v>1607</v>
      </c>
      <c r="I58" t="s">
        <v>1654</v>
      </c>
      <c r="J58" t="s">
        <v>12646</v>
      </c>
      <c r="K58" t="s">
        <v>13102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t="s">
        <v>91</v>
      </c>
      <c r="E59" t="s">
        <v>70</v>
      </c>
      <c r="I59" t="s">
        <v>1655</v>
      </c>
      <c r="J59" t="s">
        <v>12646</v>
      </c>
      <c r="K59" t="s">
        <v>13103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t="s">
        <v>62</v>
      </c>
      <c r="E60" t="s">
        <v>70</v>
      </c>
      <c r="H60" t="s">
        <v>2340</v>
      </c>
      <c r="I60" t="s">
        <v>1656</v>
      </c>
      <c r="J60" t="s">
        <v>12646</v>
      </c>
      <c r="K60" t="s">
        <v>13104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t="s">
        <v>1607</v>
      </c>
      <c r="I61" t="s">
        <v>1657</v>
      </c>
      <c r="J61" t="s">
        <v>12646</v>
      </c>
      <c r="K61" t="s">
        <v>13105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t="s">
        <v>1607</v>
      </c>
      <c r="I62" t="s">
        <v>1658</v>
      </c>
      <c r="J62" t="s">
        <v>12646</v>
      </c>
      <c r="K62" t="s">
        <v>13106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t="s">
        <v>91</v>
      </c>
      <c r="E63" t="s">
        <v>70</v>
      </c>
      <c r="I63" t="s">
        <v>2405</v>
      </c>
      <c r="J63" t="s">
        <v>12646</v>
      </c>
      <c r="K63" t="s">
        <v>13107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t="s">
        <v>62</v>
      </c>
      <c r="E64" t="s">
        <v>70</v>
      </c>
      <c r="I64" t="s">
        <v>2407</v>
      </c>
      <c r="J64" t="s">
        <v>12646</v>
      </c>
      <c r="K64" t="s">
        <v>13108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t="s">
        <v>2421</v>
      </c>
      <c r="E65" t="s">
        <v>1274</v>
      </c>
      <c r="F65" t="s">
        <v>2345</v>
      </c>
      <c r="I65" t="s">
        <v>2409</v>
      </c>
      <c r="J65" t="s">
        <v>12646</v>
      </c>
      <c r="K65" t="s">
        <v>13109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t="s">
        <v>91</v>
      </c>
      <c r="E66" t="s">
        <v>70</v>
      </c>
      <c r="F66" t="s">
        <v>58</v>
      </c>
      <c r="I66" t="s">
        <v>2411</v>
      </c>
      <c r="J66" t="s">
        <v>12646</v>
      </c>
      <c r="K66" t="s">
        <v>13110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t="s">
        <v>62</v>
      </c>
      <c r="E67" t="s">
        <v>70</v>
      </c>
      <c r="F67" t="s">
        <v>51</v>
      </c>
      <c r="I67" t="s">
        <v>2413</v>
      </c>
      <c r="J67" t="s">
        <v>12646</v>
      </c>
      <c r="K67" t="s">
        <v>13111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t="s">
        <v>91</v>
      </c>
      <c r="E68" t="s">
        <v>70</v>
      </c>
      <c r="F68" t="s">
        <v>58</v>
      </c>
      <c r="I68" t="s">
        <v>2415</v>
      </c>
      <c r="J68" t="s">
        <v>12646</v>
      </c>
      <c r="K68" t="s">
        <v>13112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t="s">
        <v>2422</v>
      </c>
      <c r="E69" t="s">
        <v>70</v>
      </c>
      <c r="F69" t="s">
        <v>58</v>
      </c>
      <c r="I69" t="s">
        <v>2417</v>
      </c>
      <c r="J69" t="s">
        <v>12646</v>
      </c>
      <c r="K69" t="s">
        <v>13113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t="s">
        <v>2422</v>
      </c>
      <c r="E70" t="s">
        <v>70</v>
      </c>
      <c r="F70" t="s">
        <v>58</v>
      </c>
      <c r="H70" t="s">
        <v>2352</v>
      </c>
      <c r="I70" t="s">
        <v>2419</v>
      </c>
      <c r="J70" t="s">
        <v>12646</v>
      </c>
      <c r="K70" t="s">
        <v>13114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t="s">
        <v>3355</v>
      </c>
      <c r="E71" t="s">
        <v>3357</v>
      </c>
      <c r="F71" t="s">
        <v>51</v>
      </c>
      <c r="I71" t="s">
        <v>2550</v>
      </c>
      <c r="J71" t="s">
        <v>12646</v>
      </c>
      <c r="K71" t="s">
        <v>12679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t="s">
        <v>85</v>
      </c>
      <c r="E72" t="s">
        <v>3357</v>
      </c>
      <c r="F72" t="s">
        <v>58</v>
      </c>
      <c r="I72" t="s">
        <v>2552</v>
      </c>
      <c r="J72" t="s">
        <v>12646</v>
      </c>
      <c r="K72" t="s">
        <v>12680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t="s">
        <v>91</v>
      </c>
      <c r="E73" t="s">
        <v>3357</v>
      </c>
      <c r="F73" t="s">
        <v>58</v>
      </c>
      <c r="I73" t="s">
        <v>2554</v>
      </c>
      <c r="J73" t="s">
        <v>12646</v>
      </c>
      <c r="K73" t="s">
        <v>12677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t="s">
        <v>62</v>
      </c>
      <c r="E74" t="s">
        <v>3357</v>
      </c>
      <c r="F74" t="s">
        <v>58</v>
      </c>
      <c r="I74" t="s">
        <v>2556</v>
      </c>
      <c r="J74" t="s">
        <v>12646</v>
      </c>
      <c r="K74" t="s">
        <v>12678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t="s">
        <v>3355</v>
      </c>
      <c r="E75" t="s">
        <v>3356</v>
      </c>
      <c r="I75" t="s">
        <v>2558</v>
      </c>
      <c r="J75" t="s">
        <v>12646</v>
      </c>
      <c r="K75" t="s">
        <v>12682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t="s">
        <v>85</v>
      </c>
      <c r="E76" t="s">
        <v>3356</v>
      </c>
      <c r="I76" t="s">
        <v>2560</v>
      </c>
      <c r="J76" t="s">
        <v>12646</v>
      </c>
      <c r="K76" t="s">
        <v>12681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t="s">
        <v>64</v>
      </c>
      <c r="E77" t="s">
        <v>3358</v>
      </c>
      <c r="I77" t="s">
        <v>2562</v>
      </c>
      <c r="J77" t="s">
        <v>12646</v>
      </c>
      <c r="K77" t="s">
        <v>12684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t="s">
        <v>85</v>
      </c>
      <c r="E78" t="s">
        <v>3358</v>
      </c>
      <c r="I78" t="s">
        <v>2564</v>
      </c>
      <c r="J78" t="s">
        <v>12646</v>
      </c>
      <c r="K78" t="s">
        <v>12683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t="s">
        <v>91</v>
      </c>
      <c r="E79" t="s">
        <v>3359</v>
      </c>
      <c r="F79" t="s">
        <v>51</v>
      </c>
      <c r="I79" t="s">
        <v>2566</v>
      </c>
      <c r="J79" t="s">
        <v>12646</v>
      </c>
      <c r="K79" t="s">
        <v>12687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t="s">
        <v>91</v>
      </c>
      <c r="E80" t="s">
        <v>3360</v>
      </c>
      <c r="F80" t="s">
        <v>51</v>
      </c>
      <c r="I80" t="s">
        <v>2568</v>
      </c>
      <c r="J80" t="s">
        <v>12646</v>
      </c>
      <c r="K80" t="s">
        <v>12688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t="s">
        <v>91</v>
      </c>
      <c r="E81" t="s">
        <v>3359</v>
      </c>
      <c r="F81" t="s">
        <v>3361</v>
      </c>
      <c r="H81" t="s">
        <v>3362</v>
      </c>
      <c r="I81" t="s">
        <v>2570</v>
      </c>
      <c r="J81" t="s">
        <v>12646</v>
      </c>
      <c r="K81" t="s">
        <v>12685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t="s">
        <v>62</v>
      </c>
      <c r="E82" t="s">
        <v>3359</v>
      </c>
      <c r="F82" t="s">
        <v>3361</v>
      </c>
      <c r="I82" t="s">
        <v>2572</v>
      </c>
      <c r="J82" t="s">
        <v>12646</v>
      </c>
      <c r="K82" t="s">
        <v>12686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t="s">
        <v>62</v>
      </c>
      <c r="E83" t="s">
        <v>55</v>
      </c>
      <c r="F83" t="s">
        <v>51</v>
      </c>
      <c r="I83" t="s">
        <v>3417</v>
      </c>
      <c r="J83" t="s">
        <v>12646</v>
      </c>
      <c r="K83" t="s">
        <v>13115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t="s">
        <v>91</v>
      </c>
      <c r="E84" t="s">
        <v>55</v>
      </c>
      <c r="F84" t="s">
        <v>51</v>
      </c>
      <c r="I84" t="s">
        <v>3419</v>
      </c>
      <c r="J84" t="s">
        <v>12646</v>
      </c>
      <c r="K84" t="s">
        <v>13116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t="s">
        <v>91</v>
      </c>
      <c r="E85" t="s">
        <v>3359</v>
      </c>
      <c r="F85" t="s">
        <v>1276</v>
      </c>
      <c r="H85" t="s">
        <v>4068</v>
      </c>
      <c r="I85" t="s">
        <v>3525</v>
      </c>
      <c r="J85" t="s">
        <v>12646</v>
      </c>
      <c r="K85" t="s">
        <v>12690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t="s">
        <v>62</v>
      </c>
      <c r="E86" t="s">
        <v>3359</v>
      </c>
      <c r="F86" t="s">
        <v>51</v>
      </c>
      <c r="H86" t="s">
        <v>4069</v>
      </c>
      <c r="I86" t="s">
        <v>3527</v>
      </c>
      <c r="J86" t="s">
        <v>12646</v>
      </c>
      <c r="K86" t="s">
        <v>12689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t="s">
        <v>91</v>
      </c>
      <c r="E87" t="s">
        <v>70</v>
      </c>
      <c r="F87" t="s">
        <v>4070</v>
      </c>
      <c r="I87" t="s">
        <v>3529</v>
      </c>
      <c r="J87" t="s">
        <v>12646</v>
      </c>
      <c r="K87" t="s">
        <v>13117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t="s">
        <v>62</v>
      </c>
      <c r="E88" t="s">
        <v>70</v>
      </c>
      <c r="F88" t="s">
        <v>4070</v>
      </c>
      <c r="I88" t="s">
        <v>3531</v>
      </c>
      <c r="J88" t="s">
        <v>12646</v>
      </c>
      <c r="K88" t="s">
        <v>13118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t="s">
        <v>91</v>
      </c>
      <c r="E89" t="s">
        <v>70</v>
      </c>
      <c r="F89" t="s">
        <v>4070</v>
      </c>
      <c r="I89" t="s">
        <v>3533</v>
      </c>
      <c r="J89" t="s">
        <v>12646</v>
      </c>
      <c r="K89" t="s">
        <v>13119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t="s">
        <v>62</v>
      </c>
      <c r="E90" t="s">
        <v>70</v>
      </c>
      <c r="F90" t="s">
        <v>4070</v>
      </c>
      <c r="I90" t="s">
        <v>3535</v>
      </c>
      <c r="J90" t="s">
        <v>12646</v>
      </c>
      <c r="K90" t="s">
        <v>13120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t="s">
        <v>1607</v>
      </c>
      <c r="I91" t="s">
        <v>3537</v>
      </c>
      <c r="J91" t="s">
        <v>12646</v>
      </c>
      <c r="K91" t="s">
        <v>13121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t="s">
        <v>91</v>
      </c>
      <c r="E92" t="s">
        <v>70</v>
      </c>
      <c r="F92" t="s">
        <v>4070</v>
      </c>
      <c r="I92" t="s">
        <v>3539</v>
      </c>
      <c r="J92" t="s">
        <v>12646</v>
      </c>
      <c r="K92" t="s">
        <v>13122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t="s">
        <v>62</v>
      </c>
      <c r="E93" t="s">
        <v>70</v>
      </c>
      <c r="F93" t="s">
        <v>4070</v>
      </c>
      <c r="I93" t="s">
        <v>3541</v>
      </c>
      <c r="J93" t="s">
        <v>12646</v>
      </c>
      <c r="K93" t="s">
        <v>13123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t="s">
        <v>91</v>
      </c>
      <c r="E94" t="s">
        <v>70</v>
      </c>
      <c r="F94" t="s">
        <v>4070</v>
      </c>
      <c r="I94" t="s">
        <v>3543</v>
      </c>
      <c r="J94" t="s">
        <v>12646</v>
      </c>
      <c r="K94" t="s">
        <v>13124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t="s">
        <v>62</v>
      </c>
      <c r="E95" t="s">
        <v>70</v>
      </c>
      <c r="F95" t="s">
        <v>4070</v>
      </c>
      <c r="I95" t="s">
        <v>3545</v>
      </c>
      <c r="J95" t="s">
        <v>12646</v>
      </c>
      <c r="K95" t="s">
        <v>13125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t="s">
        <v>62</v>
      </c>
      <c r="E96" t="s">
        <v>55</v>
      </c>
      <c r="F96" t="s">
        <v>51</v>
      </c>
      <c r="I96" t="s">
        <v>3547</v>
      </c>
      <c r="J96" t="s">
        <v>12646</v>
      </c>
      <c r="K96" t="s">
        <v>13126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t="s">
        <v>91</v>
      </c>
      <c r="E97" t="s">
        <v>55</v>
      </c>
      <c r="F97" t="s">
        <v>4071</v>
      </c>
      <c r="I97" t="s">
        <v>3549</v>
      </c>
      <c r="J97" t="s">
        <v>12646</v>
      </c>
      <c r="K97" t="s">
        <v>13127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t="s">
        <v>91</v>
      </c>
      <c r="E98" t="s">
        <v>70</v>
      </c>
      <c r="F98" t="s">
        <v>4070</v>
      </c>
      <c r="I98" t="s">
        <v>3551</v>
      </c>
      <c r="J98" t="s">
        <v>12646</v>
      </c>
      <c r="K98" t="s">
        <v>13128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t="s">
        <v>62</v>
      </c>
      <c r="E99" t="s">
        <v>70</v>
      </c>
      <c r="F99" t="s">
        <v>4070</v>
      </c>
      <c r="I99" t="s">
        <v>3553</v>
      </c>
      <c r="J99" t="s">
        <v>12646</v>
      </c>
      <c r="K99" t="s">
        <v>13129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t="s">
        <v>1607</v>
      </c>
      <c r="I100" t="s">
        <v>3555</v>
      </c>
      <c r="J100" t="s">
        <v>12646</v>
      </c>
      <c r="K100" t="s">
        <v>13130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t="s">
        <v>91</v>
      </c>
      <c r="E101" t="s">
        <v>4232</v>
      </c>
      <c r="F101" t="s">
        <v>51</v>
      </c>
      <c r="I101" t="s">
        <v>4137</v>
      </c>
      <c r="J101" t="s">
        <v>12646</v>
      </c>
      <c r="K101" t="s">
        <v>12692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t="s">
        <v>62</v>
      </c>
      <c r="E102" t="s">
        <v>4232</v>
      </c>
      <c r="F102" t="s">
        <v>4233</v>
      </c>
      <c r="H102" t="s">
        <v>4234</v>
      </c>
      <c r="I102" t="s">
        <v>4139</v>
      </c>
      <c r="J102" t="s">
        <v>12646</v>
      </c>
      <c r="K102" t="s">
        <v>12691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t="s">
        <v>64</v>
      </c>
      <c r="E103" t="s">
        <v>3358</v>
      </c>
      <c r="F103" t="s">
        <v>4070</v>
      </c>
      <c r="I103" t="s">
        <v>4244</v>
      </c>
      <c r="J103" t="s">
        <v>12646</v>
      </c>
      <c r="K103" t="s">
        <v>12694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t="s">
        <v>85</v>
      </c>
      <c r="E104" t="s">
        <v>3358</v>
      </c>
      <c r="F104" t="s">
        <v>4070</v>
      </c>
      <c r="I104" t="s">
        <v>4246</v>
      </c>
      <c r="J104" t="s">
        <v>12646</v>
      </c>
      <c r="K104" t="s">
        <v>12693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t="s">
        <v>64</v>
      </c>
      <c r="E105" t="s">
        <v>3358</v>
      </c>
      <c r="F105" t="s">
        <v>4070</v>
      </c>
      <c r="I105" t="s">
        <v>4397</v>
      </c>
      <c r="J105" t="s">
        <v>12646</v>
      </c>
      <c r="K105" t="s">
        <v>12698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t="s">
        <v>85</v>
      </c>
      <c r="E106" t="s">
        <v>3358</v>
      </c>
      <c r="F106" t="s">
        <v>4070</v>
      </c>
      <c r="I106" t="s">
        <v>4399</v>
      </c>
      <c r="J106" t="s">
        <v>12646</v>
      </c>
      <c r="K106" t="s">
        <v>12699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t="s">
        <v>91</v>
      </c>
      <c r="E107" t="s">
        <v>4413</v>
      </c>
      <c r="F107" t="s">
        <v>51</v>
      </c>
      <c r="I107" t="s">
        <v>4401</v>
      </c>
      <c r="J107" t="s">
        <v>12646</v>
      </c>
      <c r="K107" t="s">
        <v>12700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t="s">
        <v>2422</v>
      </c>
      <c r="E108" t="s">
        <v>4413</v>
      </c>
      <c r="F108" t="s">
        <v>51</v>
      </c>
      <c r="I108" t="s">
        <v>4403</v>
      </c>
      <c r="J108" t="s">
        <v>12646</v>
      </c>
      <c r="K108" t="s">
        <v>12695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t="s">
        <v>64</v>
      </c>
      <c r="E109" t="s">
        <v>3358</v>
      </c>
      <c r="F109" t="s">
        <v>4070</v>
      </c>
      <c r="I109" t="s">
        <v>4405</v>
      </c>
      <c r="J109" t="s">
        <v>12646</v>
      </c>
      <c r="K109" t="s">
        <v>12696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t="s">
        <v>85</v>
      </c>
      <c r="E110" t="s">
        <v>3358</v>
      </c>
      <c r="F110" t="s">
        <v>4070</v>
      </c>
      <c r="I110" t="s">
        <v>4407</v>
      </c>
      <c r="J110" t="s">
        <v>12646</v>
      </c>
      <c r="K110" t="s">
        <v>12697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t="s">
        <v>64</v>
      </c>
      <c r="E111" t="s">
        <v>3358</v>
      </c>
      <c r="F111" t="s">
        <v>4070</v>
      </c>
      <c r="I111" t="s">
        <v>4409</v>
      </c>
      <c r="J111" t="s">
        <v>12646</v>
      </c>
      <c r="K111" t="s">
        <v>12702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t="s">
        <v>85</v>
      </c>
      <c r="E112" t="s">
        <v>3358</v>
      </c>
      <c r="F112" t="s">
        <v>4070</v>
      </c>
      <c r="I112" t="s">
        <v>4411</v>
      </c>
      <c r="J112" t="s">
        <v>12646</v>
      </c>
      <c r="K112" t="s">
        <v>12701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t="s">
        <v>1607</v>
      </c>
      <c r="E113" t="s">
        <v>8</v>
      </c>
      <c r="I113" t="s">
        <v>4663</v>
      </c>
      <c r="J113" t="s">
        <v>12646</v>
      </c>
      <c r="K113" t="s">
        <v>13131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t="s">
        <v>91</v>
      </c>
      <c r="E114" t="s">
        <v>55</v>
      </c>
      <c r="F114" t="s">
        <v>51</v>
      </c>
      <c r="I114" t="s">
        <v>4665</v>
      </c>
      <c r="J114" t="s">
        <v>12646</v>
      </c>
      <c r="K114" t="s">
        <v>13132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t="s">
        <v>62</v>
      </c>
      <c r="E115" t="s">
        <v>4917</v>
      </c>
      <c r="F115" t="s">
        <v>58</v>
      </c>
      <c r="H115" t="s">
        <v>4914</v>
      </c>
      <c r="I115" t="s">
        <v>4802</v>
      </c>
      <c r="J115" t="s">
        <v>12646</v>
      </c>
      <c r="K115" t="s">
        <v>12707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t="s">
        <v>91</v>
      </c>
      <c r="E116" t="s">
        <v>4916</v>
      </c>
      <c r="F116" t="s">
        <v>51</v>
      </c>
      <c r="I116" t="s">
        <v>4804</v>
      </c>
      <c r="J116" t="s">
        <v>12646</v>
      </c>
      <c r="K116" t="s">
        <v>12708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t="s">
        <v>91</v>
      </c>
      <c r="E117" t="s">
        <v>4915</v>
      </c>
      <c r="F117" t="s">
        <v>51</v>
      </c>
      <c r="I117" t="s">
        <v>4806</v>
      </c>
      <c r="J117" t="s">
        <v>12646</v>
      </c>
      <c r="K117" t="s">
        <v>12709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t="s">
        <v>62</v>
      </c>
      <c r="E118" t="s">
        <v>4916</v>
      </c>
      <c r="F118" t="s">
        <v>51</v>
      </c>
      <c r="I118" t="s">
        <v>4808</v>
      </c>
      <c r="J118" t="s">
        <v>12646</v>
      </c>
      <c r="K118" t="s">
        <v>12706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t="s">
        <v>2422</v>
      </c>
      <c r="E119" t="s">
        <v>4915</v>
      </c>
      <c r="F119" t="s">
        <v>51</v>
      </c>
      <c r="I119" t="s">
        <v>4810</v>
      </c>
      <c r="J119" t="s">
        <v>12646</v>
      </c>
      <c r="K119" t="s">
        <v>12703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t="s">
        <v>91</v>
      </c>
      <c r="E120" t="s">
        <v>4917</v>
      </c>
      <c r="F120" t="s">
        <v>58</v>
      </c>
      <c r="I120" t="s">
        <v>4812</v>
      </c>
      <c r="J120" t="s">
        <v>12646</v>
      </c>
      <c r="K120" t="s">
        <v>12704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t="s">
        <v>62</v>
      </c>
      <c r="E121" t="s">
        <v>4917</v>
      </c>
      <c r="F121" t="s">
        <v>4918</v>
      </c>
      <c r="H121" t="s">
        <v>4919</v>
      </c>
      <c r="I121" t="s">
        <v>4814</v>
      </c>
      <c r="J121" t="s">
        <v>12646</v>
      </c>
      <c r="K121" t="s">
        <v>12705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t="s">
        <v>1607</v>
      </c>
      <c r="E122" t="s">
        <v>4994</v>
      </c>
      <c r="H122" t="s">
        <v>4993</v>
      </c>
      <c r="I122" t="s">
        <v>4946</v>
      </c>
      <c r="J122" t="s">
        <v>12646</v>
      </c>
      <c r="K122" t="s">
        <v>13133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t="s">
        <v>64</v>
      </c>
      <c r="E123" t="s">
        <v>3358</v>
      </c>
      <c r="F123" t="s">
        <v>4070</v>
      </c>
      <c r="I123" t="s">
        <v>4995</v>
      </c>
      <c r="J123" t="s">
        <v>12646</v>
      </c>
      <c r="K123" t="s">
        <v>12713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t="s">
        <v>91</v>
      </c>
      <c r="E124" t="s">
        <v>5045</v>
      </c>
      <c r="F124" t="s">
        <v>51</v>
      </c>
      <c r="I124" t="s">
        <v>5059</v>
      </c>
      <c r="J124" t="s">
        <v>12646</v>
      </c>
      <c r="K124" t="s">
        <v>12714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t="s">
        <v>85</v>
      </c>
      <c r="E125" t="s">
        <v>5045</v>
      </c>
      <c r="F125" t="s">
        <v>58</v>
      </c>
      <c r="H125" t="s">
        <v>1287</v>
      </c>
      <c r="I125" t="s">
        <v>4997</v>
      </c>
      <c r="J125" t="s">
        <v>12646</v>
      </c>
      <c r="K125" t="s">
        <v>12712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t="s">
        <v>85</v>
      </c>
      <c r="E126" t="s">
        <v>5045</v>
      </c>
      <c r="F126" t="s">
        <v>58</v>
      </c>
      <c r="H126" t="s">
        <v>2352</v>
      </c>
      <c r="I126" t="s">
        <v>4999</v>
      </c>
      <c r="J126" t="s">
        <v>12646</v>
      </c>
      <c r="K126" t="s">
        <v>12710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t="s">
        <v>62</v>
      </c>
      <c r="E127" t="s">
        <v>70</v>
      </c>
      <c r="I127" t="s">
        <v>5001</v>
      </c>
      <c r="J127" t="s">
        <v>12646</v>
      </c>
      <c r="K127" t="s">
        <v>13134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t="s">
        <v>91</v>
      </c>
      <c r="E128" t="s">
        <v>70</v>
      </c>
      <c r="I128" t="s">
        <v>5003</v>
      </c>
      <c r="J128" t="s">
        <v>12646</v>
      </c>
      <c r="K128" t="s">
        <v>13135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t="s">
        <v>85</v>
      </c>
      <c r="E129" t="s">
        <v>3358</v>
      </c>
      <c r="F129" t="s">
        <v>4070</v>
      </c>
      <c r="I129" t="s">
        <v>5005</v>
      </c>
      <c r="J129" t="s">
        <v>12646</v>
      </c>
      <c r="K129" t="s">
        <v>12711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t="s">
        <v>91</v>
      </c>
      <c r="E130" t="s">
        <v>5310</v>
      </c>
      <c r="F130" t="s">
        <v>51</v>
      </c>
      <c r="I130" t="s">
        <v>5218</v>
      </c>
      <c r="J130" t="s">
        <v>12646</v>
      </c>
      <c r="K130" t="s">
        <v>12717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t="s">
        <v>62</v>
      </c>
      <c r="E131" t="s">
        <v>5310</v>
      </c>
      <c r="F131" t="s">
        <v>5311</v>
      </c>
      <c r="I131" t="s">
        <v>5220</v>
      </c>
      <c r="J131" t="s">
        <v>12646</v>
      </c>
      <c r="K131" t="s">
        <v>12718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t="s">
        <v>64</v>
      </c>
      <c r="E132" t="s">
        <v>3358</v>
      </c>
      <c r="F132" t="s">
        <v>4070</v>
      </c>
      <c r="I132" t="s">
        <v>5222</v>
      </c>
      <c r="J132" t="s">
        <v>12646</v>
      </c>
      <c r="K132" t="s">
        <v>12715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t="s">
        <v>85</v>
      </c>
      <c r="E133" t="s">
        <v>3358</v>
      </c>
      <c r="F133" t="s">
        <v>4070</v>
      </c>
      <c r="I133" t="s">
        <v>5224</v>
      </c>
      <c r="J133" t="s">
        <v>12646</v>
      </c>
      <c r="K133" t="s">
        <v>12716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t="s">
        <v>1607</v>
      </c>
      <c r="I134" t="s">
        <v>5316</v>
      </c>
      <c r="J134" t="s">
        <v>12646</v>
      </c>
      <c r="K134" t="s">
        <v>13136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t="s">
        <v>64</v>
      </c>
      <c r="E135" t="s">
        <v>3358</v>
      </c>
      <c r="F135" t="s">
        <v>4070</v>
      </c>
      <c r="I135" t="s">
        <v>5318</v>
      </c>
      <c r="J135" t="s">
        <v>12646</v>
      </c>
      <c r="K135" t="s">
        <v>12720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t="s">
        <v>5469</v>
      </c>
      <c r="I136" t="s">
        <v>5320</v>
      </c>
      <c r="J136" t="s">
        <v>12646</v>
      </c>
      <c r="K136" t="s">
        <v>13137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t="s">
        <v>91</v>
      </c>
      <c r="E137" t="s">
        <v>4940</v>
      </c>
      <c r="I137" t="s">
        <v>5322</v>
      </c>
      <c r="J137" t="s">
        <v>12646</v>
      </c>
      <c r="K137" t="s">
        <v>13138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t="s">
        <v>5470</v>
      </c>
      <c r="E138" t="s">
        <v>86</v>
      </c>
      <c r="I138" t="s">
        <v>5324</v>
      </c>
      <c r="J138" t="s">
        <v>12646</v>
      </c>
      <c r="K138" t="s">
        <v>13139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t="s">
        <v>85</v>
      </c>
      <c r="E139" t="s">
        <v>3358</v>
      </c>
      <c r="F139" t="s">
        <v>4070</v>
      </c>
      <c r="I139" t="s">
        <v>5326</v>
      </c>
      <c r="J139" t="s">
        <v>12646</v>
      </c>
      <c r="K139" t="s">
        <v>12719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t="s">
        <v>1607</v>
      </c>
      <c r="I140" t="s">
        <v>5496</v>
      </c>
      <c r="J140" t="s">
        <v>12646</v>
      </c>
      <c r="K140" t="s">
        <v>13140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t="s">
        <v>1607</v>
      </c>
      <c r="I141" t="s">
        <v>5498</v>
      </c>
      <c r="J141" t="s">
        <v>12646</v>
      </c>
      <c r="K141" t="s">
        <v>13141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t="s">
        <v>1607</v>
      </c>
      <c r="I142" t="s">
        <v>5703</v>
      </c>
      <c r="J142" t="s">
        <v>12646</v>
      </c>
      <c r="K142" t="s">
        <v>13142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t="s">
        <v>64</v>
      </c>
      <c r="E143" t="s">
        <v>3358</v>
      </c>
      <c r="F143" t="s">
        <v>4070</v>
      </c>
      <c r="I143" t="s">
        <v>5758</v>
      </c>
      <c r="J143" t="s">
        <v>12646</v>
      </c>
      <c r="K143" t="s">
        <v>12722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t="s">
        <v>85</v>
      </c>
      <c r="E144" t="s">
        <v>3358</v>
      </c>
      <c r="F144" t="s">
        <v>4070</v>
      </c>
      <c r="I144" t="s">
        <v>5760</v>
      </c>
      <c r="J144" t="s">
        <v>12646</v>
      </c>
      <c r="K144" t="s">
        <v>12721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t="s">
        <v>91</v>
      </c>
      <c r="E145" t="s">
        <v>5903</v>
      </c>
      <c r="F145" t="s">
        <v>60</v>
      </c>
      <c r="I145" t="s">
        <v>5762</v>
      </c>
      <c r="J145" t="s">
        <v>12646</v>
      </c>
      <c r="K145" t="s">
        <v>12724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t="s">
        <v>62</v>
      </c>
      <c r="E146" t="s">
        <v>5903</v>
      </c>
      <c r="F146" t="s">
        <v>51</v>
      </c>
      <c r="I146" t="s">
        <v>5764</v>
      </c>
      <c r="J146" t="s">
        <v>12646</v>
      </c>
      <c r="K146" t="s">
        <v>12723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t="s">
        <v>1607</v>
      </c>
      <c r="I147" t="s">
        <v>5911</v>
      </c>
      <c r="J147" t="s">
        <v>12646</v>
      </c>
      <c r="K147" t="s">
        <v>13143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t="s">
        <v>91</v>
      </c>
      <c r="E148" t="s">
        <v>6154</v>
      </c>
      <c r="F148" t="s">
        <v>60</v>
      </c>
      <c r="I148" t="s">
        <v>5913</v>
      </c>
      <c r="J148" t="s">
        <v>12646</v>
      </c>
      <c r="K148" t="s">
        <v>12725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t="s">
        <v>62</v>
      </c>
      <c r="E149" t="s">
        <v>6154</v>
      </c>
      <c r="F149" t="s">
        <v>51</v>
      </c>
      <c r="I149" t="s">
        <v>5915</v>
      </c>
      <c r="J149" t="s">
        <v>12646</v>
      </c>
      <c r="K149" t="s">
        <v>12728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t="s">
        <v>91</v>
      </c>
      <c r="E150" t="s">
        <v>70</v>
      </c>
      <c r="F150" t="s">
        <v>51</v>
      </c>
      <c r="I150" t="s">
        <v>5917</v>
      </c>
      <c r="J150" t="s">
        <v>12646</v>
      </c>
      <c r="K150" t="s">
        <v>13144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t="s">
        <v>91</v>
      </c>
      <c r="E151" t="s">
        <v>3358</v>
      </c>
      <c r="F151" t="s">
        <v>51</v>
      </c>
      <c r="I151" t="s">
        <v>5919</v>
      </c>
      <c r="J151" t="s">
        <v>12646</v>
      </c>
      <c r="K151" t="s">
        <v>12727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t="s">
        <v>62</v>
      </c>
      <c r="E152" t="s">
        <v>70</v>
      </c>
      <c r="F152" t="s">
        <v>58</v>
      </c>
      <c r="I152" t="s">
        <v>5921</v>
      </c>
      <c r="J152" t="s">
        <v>12646</v>
      </c>
      <c r="K152" t="s">
        <v>13145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t="s">
        <v>62</v>
      </c>
      <c r="E153" t="s">
        <v>3358</v>
      </c>
      <c r="F153" t="s">
        <v>3405</v>
      </c>
      <c r="I153" t="s">
        <v>5923</v>
      </c>
      <c r="J153" t="s">
        <v>12646</v>
      </c>
      <c r="K153" t="s">
        <v>12726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t="s">
        <v>91</v>
      </c>
      <c r="E154" t="s">
        <v>3358</v>
      </c>
      <c r="F154" t="s">
        <v>4070</v>
      </c>
      <c r="I154" t="s">
        <v>6170</v>
      </c>
      <c r="J154" t="s">
        <v>12646</v>
      </c>
      <c r="K154" t="s">
        <v>12730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t="s">
        <v>62</v>
      </c>
      <c r="E155" t="s">
        <v>3358</v>
      </c>
      <c r="F155" t="s">
        <v>4070</v>
      </c>
      <c r="I155" t="s">
        <v>6172</v>
      </c>
      <c r="J155" t="s">
        <v>12646</v>
      </c>
      <c r="K155" t="s">
        <v>12729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t="s">
        <v>64</v>
      </c>
      <c r="E156" t="s">
        <v>3358</v>
      </c>
      <c r="F156" t="s">
        <v>4070</v>
      </c>
      <c r="I156" t="s">
        <v>6312</v>
      </c>
      <c r="J156" t="s">
        <v>12646</v>
      </c>
      <c r="K156" t="s">
        <v>12733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t="s">
        <v>85</v>
      </c>
      <c r="E157" t="s">
        <v>3358</v>
      </c>
      <c r="F157" t="s">
        <v>4070</v>
      </c>
      <c r="I157" t="s">
        <v>6314</v>
      </c>
      <c r="J157" t="s">
        <v>12646</v>
      </c>
      <c r="K157" t="s">
        <v>12734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t="s">
        <v>91</v>
      </c>
      <c r="E158" t="s">
        <v>5045</v>
      </c>
      <c r="F158" t="s">
        <v>4070</v>
      </c>
      <c r="I158" t="s">
        <v>6316</v>
      </c>
      <c r="J158" t="s">
        <v>12646</v>
      </c>
      <c r="K158" t="s">
        <v>12731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t="s">
        <v>62</v>
      </c>
      <c r="E159" t="s">
        <v>5045</v>
      </c>
      <c r="F159" t="s">
        <v>4070</v>
      </c>
      <c r="I159" t="s">
        <v>6318</v>
      </c>
      <c r="J159" t="s">
        <v>12646</v>
      </c>
      <c r="K159" t="s">
        <v>12732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t="s">
        <v>91</v>
      </c>
      <c r="E160" t="s">
        <v>3358</v>
      </c>
      <c r="F160" t="s">
        <v>4070</v>
      </c>
      <c r="I160" t="s">
        <v>6320</v>
      </c>
      <c r="J160" t="s">
        <v>12646</v>
      </c>
      <c r="K160" t="s">
        <v>12738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t="s">
        <v>62</v>
      </c>
      <c r="E161" t="s">
        <v>3358</v>
      </c>
      <c r="F161" t="s">
        <v>4070</v>
      </c>
      <c r="I161" t="s">
        <v>6322</v>
      </c>
      <c r="J161" t="s">
        <v>12646</v>
      </c>
      <c r="K161" t="s">
        <v>12739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t="s">
        <v>6434</v>
      </c>
      <c r="E162" t="s">
        <v>3358</v>
      </c>
      <c r="F162" t="s">
        <v>4070</v>
      </c>
      <c r="I162" t="s">
        <v>6324</v>
      </c>
      <c r="J162" t="s">
        <v>12646</v>
      </c>
      <c r="K162" t="s">
        <v>13146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t="s">
        <v>64</v>
      </c>
      <c r="E163" t="s">
        <v>3358</v>
      </c>
      <c r="F163" t="s">
        <v>4070</v>
      </c>
      <c r="I163" t="s">
        <v>6326</v>
      </c>
      <c r="J163" t="s">
        <v>12646</v>
      </c>
      <c r="K163" t="s">
        <v>12740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t="s">
        <v>62</v>
      </c>
      <c r="E164" t="s">
        <v>4940</v>
      </c>
      <c r="F164" t="s">
        <v>51</v>
      </c>
      <c r="I164" t="s">
        <v>6328</v>
      </c>
      <c r="J164" t="s">
        <v>12646</v>
      </c>
      <c r="K164" t="s">
        <v>13147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t="s">
        <v>85</v>
      </c>
      <c r="E165" t="s">
        <v>3358</v>
      </c>
      <c r="F165" t="s">
        <v>4070</v>
      </c>
      <c r="I165" t="s">
        <v>6330</v>
      </c>
      <c r="J165" t="s">
        <v>12646</v>
      </c>
      <c r="K165" t="s">
        <v>12735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t="s">
        <v>91</v>
      </c>
      <c r="E166" t="s">
        <v>6435</v>
      </c>
      <c r="I166" t="s">
        <v>6332</v>
      </c>
      <c r="J166" t="s">
        <v>12646</v>
      </c>
      <c r="K166" t="s">
        <v>12736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t="s">
        <v>62</v>
      </c>
      <c r="E167" t="s">
        <v>6435</v>
      </c>
      <c r="I167" t="s">
        <v>6334</v>
      </c>
      <c r="J167" t="s">
        <v>12646</v>
      </c>
      <c r="K167" t="s">
        <v>12737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t="s">
        <v>91</v>
      </c>
      <c r="E168" t="s">
        <v>4940</v>
      </c>
      <c r="F168" t="s">
        <v>51</v>
      </c>
      <c r="I168" t="s">
        <v>6336</v>
      </c>
      <c r="J168" t="s">
        <v>12646</v>
      </c>
      <c r="K168" t="s">
        <v>13148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t="s">
        <v>91</v>
      </c>
      <c r="E169" t="s">
        <v>70</v>
      </c>
      <c r="F169" t="s">
        <v>58</v>
      </c>
      <c r="I169" t="s">
        <v>6448</v>
      </c>
      <c r="J169" t="s">
        <v>12646</v>
      </c>
      <c r="K169" t="s">
        <v>13149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t="s">
        <v>62</v>
      </c>
      <c r="E170" t="s">
        <v>70</v>
      </c>
      <c r="F170" t="s">
        <v>51</v>
      </c>
      <c r="I170" t="s">
        <v>6450</v>
      </c>
      <c r="J170" t="s">
        <v>12646</v>
      </c>
      <c r="K170" t="s">
        <v>13150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t="s">
        <v>91</v>
      </c>
      <c r="E171" t="s">
        <v>70</v>
      </c>
      <c r="F171" t="s">
        <v>4070</v>
      </c>
      <c r="I171" t="s">
        <v>6452</v>
      </c>
      <c r="J171" t="s">
        <v>12646</v>
      </c>
      <c r="K171" t="s">
        <v>13151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t="s">
        <v>62</v>
      </c>
      <c r="E172" t="s">
        <v>70</v>
      </c>
      <c r="F172" t="s">
        <v>4070</v>
      </c>
      <c r="I172" t="s">
        <v>6454</v>
      </c>
      <c r="J172" t="s">
        <v>12646</v>
      </c>
      <c r="K172" t="s">
        <v>13152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t="s">
        <v>62</v>
      </c>
      <c r="E173" t="s">
        <v>4940</v>
      </c>
      <c r="F173" t="s">
        <v>51</v>
      </c>
      <c r="I173" t="s">
        <v>6456</v>
      </c>
      <c r="J173" t="s">
        <v>12646</v>
      </c>
      <c r="K173" t="s">
        <v>13153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t="s">
        <v>91</v>
      </c>
      <c r="E174" t="s">
        <v>4940</v>
      </c>
      <c r="F174" t="s">
        <v>51</v>
      </c>
      <c r="I174" t="s">
        <v>6458</v>
      </c>
      <c r="J174" t="s">
        <v>12646</v>
      </c>
      <c r="K174" t="s">
        <v>13154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t="s">
        <v>1607</v>
      </c>
      <c r="I175" t="s">
        <v>6460</v>
      </c>
      <c r="J175" t="s">
        <v>12646</v>
      </c>
      <c r="K175" t="s">
        <v>13155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t="s">
        <v>1607</v>
      </c>
      <c r="I176" t="s">
        <v>6462</v>
      </c>
      <c r="J176" t="s">
        <v>12646</v>
      </c>
      <c r="K176" t="s">
        <v>13156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t="s">
        <v>1607</v>
      </c>
      <c r="I177" t="s">
        <v>6696</v>
      </c>
      <c r="J177" t="s">
        <v>12646</v>
      </c>
      <c r="K177" t="s">
        <v>13157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t="s">
        <v>91</v>
      </c>
      <c r="E178" t="s">
        <v>6788</v>
      </c>
      <c r="I178" t="s">
        <v>6698</v>
      </c>
      <c r="J178" t="s">
        <v>12646</v>
      </c>
      <c r="K178" t="s">
        <v>12742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t="s">
        <v>62</v>
      </c>
      <c r="E179" t="s">
        <v>6788</v>
      </c>
      <c r="I179" t="s">
        <v>6700</v>
      </c>
      <c r="J179" t="s">
        <v>12646</v>
      </c>
      <c r="K179" t="s">
        <v>12741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t="s">
        <v>1607</v>
      </c>
      <c r="I180" t="s">
        <v>6702</v>
      </c>
      <c r="J180" t="s">
        <v>12646</v>
      </c>
      <c r="K180" t="s">
        <v>13158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t="s">
        <v>1607</v>
      </c>
      <c r="I181" t="s">
        <v>6803</v>
      </c>
      <c r="J181" t="s">
        <v>12646</v>
      </c>
      <c r="K181" t="s">
        <v>13159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t="s">
        <v>91</v>
      </c>
      <c r="E182" t="s">
        <v>7041</v>
      </c>
      <c r="I182" t="s">
        <v>6805</v>
      </c>
      <c r="J182" t="s">
        <v>12646</v>
      </c>
      <c r="K182" t="s">
        <v>12744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t="s">
        <v>62</v>
      </c>
      <c r="E183" t="s">
        <v>7041</v>
      </c>
      <c r="I183" t="s">
        <v>6807</v>
      </c>
      <c r="J183" t="s">
        <v>12646</v>
      </c>
      <c r="K183" t="s">
        <v>12743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t="s">
        <v>1607</v>
      </c>
      <c r="I184" t="s">
        <v>6809</v>
      </c>
      <c r="J184" t="s">
        <v>12646</v>
      </c>
      <c r="K184" t="s">
        <v>13160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t="s">
        <v>91</v>
      </c>
      <c r="E185" t="s">
        <v>6679</v>
      </c>
      <c r="I185" t="s">
        <v>6811</v>
      </c>
      <c r="J185" t="s">
        <v>12646</v>
      </c>
      <c r="K185" t="s">
        <v>12746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t="s">
        <v>62</v>
      </c>
      <c r="E186" t="s">
        <v>6679</v>
      </c>
      <c r="I186" t="s">
        <v>6813</v>
      </c>
      <c r="J186" t="s">
        <v>12646</v>
      </c>
      <c r="K186" t="s">
        <v>12745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t="s">
        <v>91</v>
      </c>
      <c r="E187" t="s">
        <v>7042</v>
      </c>
      <c r="I187" t="s">
        <v>6815</v>
      </c>
      <c r="J187" t="s">
        <v>12646</v>
      </c>
      <c r="K187" t="s">
        <v>12748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t="s">
        <v>62</v>
      </c>
      <c r="E188" t="s">
        <v>7042</v>
      </c>
      <c r="I188" t="s">
        <v>6817</v>
      </c>
      <c r="J188" t="s">
        <v>12646</v>
      </c>
      <c r="K188" t="s">
        <v>12747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t="s">
        <v>91</v>
      </c>
      <c r="E189" t="s">
        <v>7043</v>
      </c>
      <c r="I189" t="s">
        <v>6819</v>
      </c>
      <c r="J189" t="s">
        <v>12646</v>
      </c>
      <c r="K189" t="s">
        <v>12752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t="s">
        <v>62</v>
      </c>
      <c r="E190" t="s">
        <v>7043</v>
      </c>
      <c r="I190" t="s">
        <v>6821</v>
      </c>
      <c r="J190" t="s">
        <v>12646</v>
      </c>
      <c r="K190" t="s">
        <v>12753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t="s">
        <v>91</v>
      </c>
      <c r="E191" t="s">
        <v>7043</v>
      </c>
      <c r="I191" t="s">
        <v>6823</v>
      </c>
      <c r="J191" t="s">
        <v>12646</v>
      </c>
      <c r="K191" t="s">
        <v>12754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t="s">
        <v>91</v>
      </c>
      <c r="E192" t="s">
        <v>7044</v>
      </c>
      <c r="I192" t="s">
        <v>6825</v>
      </c>
      <c r="J192" t="s">
        <v>12646</v>
      </c>
      <c r="K192" t="s">
        <v>12749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t="s">
        <v>62</v>
      </c>
      <c r="E193" t="s">
        <v>7044</v>
      </c>
      <c r="I193" t="s">
        <v>6827</v>
      </c>
      <c r="J193" t="s">
        <v>12646</v>
      </c>
      <c r="K193" t="s">
        <v>12750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t="s">
        <v>62</v>
      </c>
      <c r="E194" t="s">
        <v>7043</v>
      </c>
      <c r="I194" t="s">
        <v>6829</v>
      </c>
      <c r="J194" t="s">
        <v>12646</v>
      </c>
      <c r="K194" t="s">
        <v>12751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t="s">
        <v>1607</v>
      </c>
      <c r="I195" t="s">
        <v>6831</v>
      </c>
      <c r="J195" t="s">
        <v>12646</v>
      </c>
      <c r="K195" t="s">
        <v>13161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t="s">
        <v>91</v>
      </c>
      <c r="E196" t="s">
        <v>7042</v>
      </c>
      <c r="I196" t="s">
        <v>6833</v>
      </c>
      <c r="J196" t="s">
        <v>12646</v>
      </c>
      <c r="K196" t="s">
        <v>12756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t="s">
        <v>62</v>
      </c>
      <c r="E197" t="s">
        <v>7042</v>
      </c>
      <c r="I197" t="s">
        <v>6835</v>
      </c>
      <c r="J197" t="s">
        <v>12646</v>
      </c>
      <c r="K197" t="s">
        <v>12755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t="s">
        <v>1607</v>
      </c>
      <c r="H198" t="s">
        <v>7340</v>
      </c>
      <c r="I198" t="s">
        <v>7086</v>
      </c>
      <c r="J198" t="s">
        <v>12646</v>
      </c>
      <c r="K198" t="s">
        <v>13162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t="s">
        <v>91</v>
      </c>
      <c r="E199" t="s">
        <v>7341</v>
      </c>
      <c r="F199" t="s">
        <v>51</v>
      </c>
      <c r="I199" t="s">
        <v>7088</v>
      </c>
      <c r="J199" t="s">
        <v>12646</v>
      </c>
      <c r="K199" t="s">
        <v>12758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t="s">
        <v>62</v>
      </c>
      <c r="E200" t="s">
        <v>7341</v>
      </c>
      <c r="F200" t="s">
        <v>7342</v>
      </c>
      <c r="I200" t="s">
        <v>7090</v>
      </c>
      <c r="J200" t="s">
        <v>12646</v>
      </c>
      <c r="K200" t="s">
        <v>12757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t="s">
        <v>91</v>
      </c>
      <c r="E201" t="s">
        <v>3358</v>
      </c>
      <c r="F201" t="s">
        <v>4070</v>
      </c>
      <c r="I201" t="s">
        <v>7387</v>
      </c>
      <c r="J201" t="s">
        <v>12646</v>
      </c>
      <c r="K201" t="s">
        <v>12760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t="s">
        <v>62</v>
      </c>
      <c r="E202" t="s">
        <v>3358</v>
      </c>
      <c r="F202" t="s">
        <v>4070</v>
      </c>
      <c r="I202" t="s">
        <v>7389</v>
      </c>
      <c r="J202" t="s">
        <v>12646</v>
      </c>
      <c r="K202" t="s">
        <v>12759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t="s">
        <v>1607</v>
      </c>
      <c r="I203" t="s">
        <v>7391</v>
      </c>
      <c r="J203" t="s">
        <v>12646</v>
      </c>
      <c r="K203" t="s">
        <v>13163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t="s">
        <v>62</v>
      </c>
      <c r="E204" t="s">
        <v>6679</v>
      </c>
      <c r="F204" t="s">
        <v>2360</v>
      </c>
      <c r="H204" t="s">
        <v>7461</v>
      </c>
      <c r="I204" t="s">
        <v>7393</v>
      </c>
      <c r="J204" t="s">
        <v>12646</v>
      </c>
      <c r="K204" t="s">
        <v>12761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t="s">
        <v>91</v>
      </c>
      <c r="E205" t="s">
        <v>5310</v>
      </c>
      <c r="F205" t="s">
        <v>51</v>
      </c>
      <c r="I205" t="s">
        <v>7665</v>
      </c>
      <c r="J205" t="s">
        <v>12646</v>
      </c>
      <c r="K205" t="s">
        <v>12765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t="s">
        <v>62</v>
      </c>
      <c r="E206" t="s">
        <v>5310</v>
      </c>
      <c r="F206" t="s">
        <v>3405</v>
      </c>
      <c r="I206" t="s">
        <v>7667</v>
      </c>
      <c r="J206" t="s">
        <v>12646</v>
      </c>
      <c r="K206" t="s">
        <v>12766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t="s">
        <v>91</v>
      </c>
      <c r="E207" t="s">
        <v>7737</v>
      </c>
      <c r="I207" t="s">
        <v>7669</v>
      </c>
      <c r="J207" t="s">
        <v>12646</v>
      </c>
      <c r="K207" t="s">
        <v>12767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t="s">
        <v>91</v>
      </c>
      <c r="E208" t="s">
        <v>5310</v>
      </c>
      <c r="F208" t="s">
        <v>51</v>
      </c>
      <c r="I208" t="s">
        <v>7671</v>
      </c>
      <c r="J208" t="s">
        <v>12646</v>
      </c>
      <c r="K208" t="s">
        <v>12762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t="s">
        <v>62</v>
      </c>
      <c r="E209" t="s">
        <v>7737</v>
      </c>
      <c r="I209" t="s">
        <v>7673</v>
      </c>
      <c r="J209" t="s">
        <v>12646</v>
      </c>
      <c r="K209" t="s">
        <v>12763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t="s">
        <v>62</v>
      </c>
      <c r="E210" t="s">
        <v>5310</v>
      </c>
      <c r="F210" t="s">
        <v>7738</v>
      </c>
      <c r="I210" t="s">
        <v>7675</v>
      </c>
      <c r="J210" t="s">
        <v>12646</v>
      </c>
      <c r="K210" t="s">
        <v>12764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t="s">
        <v>1607</v>
      </c>
      <c r="I211" t="s">
        <v>7677</v>
      </c>
      <c r="J211" t="s">
        <v>12646</v>
      </c>
      <c r="K211" t="s">
        <v>13164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t="s">
        <v>1607</v>
      </c>
      <c r="I212" t="s">
        <v>7762</v>
      </c>
      <c r="J212" t="s">
        <v>12646</v>
      </c>
      <c r="K212" t="s">
        <v>13165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t="s">
        <v>1607</v>
      </c>
      <c r="I213" t="s">
        <v>7764</v>
      </c>
      <c r="J213" t="s">
        <v>12646</v>
      </c>
      <c r="K213" t="s">
        <v>13166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t="s">
        <v>1607</v>
      </c>
      <c r="I214" t="s">
        <v>7934</v>
      </c>
      <c r="J214" t="s">
        <v>12646</v>
      </c>
      <c r="K214" t="s">
        <v>13167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t="s">
        <v>91</v>
      </c>
      <c r="E215" t="s">
        <v>3358</v>
      </c>
      <c r="F215" t="s">
        <v>4070</v>
      </c>
      <c r="I215" t="s">
        <v>7936</v>
      </c>
      <c r="J215" t="s">
        <v>12646</v>
      </c>
      <c r="K215" t="s">
        <v>12770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t="s">
        <v>62</v>
      </c>
      <c r="E216" t="s">
        <v>3358</v>
      </c>
      <c r="F216" t="s">
        <v>4070</v>
      </c>
      <c r="I216" t="s">
        <v>7938</v>
      </c>
      <c r="J216" t="s">
        <v>12646</v>
      </c>
      <c r="K216" t="s">
        <v>12769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t="s">
        <v>91</v>
      </c>
      <c r="E217" t="s">
        <v>8116</v>
      </c>
      <c r="F217" t="s">
        <v>60</v>
      </c>
      <c r="I217" t="s">
        <v>8112</v>
      </c>
      <c r="J217" t="s">
        <v>12646</v>
      </c>
      <c r="K217" t="s">
        <v>12768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t="s">
        <v>62</v>
      </c>
      <c r="E218" t="s">
        <v>8116</v>
      </c>
      <c r="F218" t="s">
        <v>51</v>
      </c>
      <c r="I218" t="s">
        <v>8114</v>
      </c>
      <c r="J218" t="s">
        <v>12646</v>
      </c>
      <c r="K218" t="s">
        <v>12774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t="s">
        <v>91</v>
      </c>
      <c r="E219" t="s">
        <v>8117</v>
      </c>
      <c r="F219" t="s">
        <v>60</v>
      </c>
      <c r="I219" t="s">
        <v>8102</v>
      </c>
      <c r="J219" t="s">
        <v>12646</v>
      </c>
      <c r="K219" t="s">
        <v>12775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t="s">
        <v>91</v>
      </c>
      <c r="E220" t="s">
        <v>8118</v>
      </c>
      <c r="I220" t="s">
        <v>8104</v>
      </c>
      <c r="J220" t="s">
        <v>12646</v>
      </c>
      <c r="K220" t="s">
        <v>12776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t="s">
        <v>62</v>
      </c>
      <c r="E221" t="s">
        <v>8117</v>
      </c>
      <c r="F221" t="s">
        <v>8119</v>
      </c>
      <c r="G221">
        <v>1</v>
      </c>
      <c r="I221" t="s">
        <v>8106</v>
      </c>
      <c r="J221" t="s">
        <v>12646</v>
      </c>
      <c r="K221" t="s">
        <v>12771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t="s">
        <v>62</v>
      </c>
      <c r="E222" t="s">
        <v>8118</v>
      </c>
      <c r="I222" t="s">
        <v>8108</v>
      </c>
      <c r="J222" t="s">
        <v>12646</v>
      </c>
      <c r="K222" t="s">
        <v>12772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t="s">
        <v>62</v>
      </c>
      <c r="E223" t="s">
        <v>7608</v>
      </c>
      <c r="F223" t="s">
        <v>58</v>
      </c>
      <c r="H223" s="6" t="s">
        <v>7461</v>
      </c>
      <c r="I223" t="s">
        <v>8110</v>
      </c>
      <c r="J223" t="s">
        <v>12646</v>
      </c>
      <c r="K223" t="s">
        <v>12773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t="s">
        <v>1607</v>
      </c>
      <c r="I224" t="s">
        <v>8379</v>
      </c>
      <c r="J224" t="s">
        <v>12646</v>
      </c>
      <c r="K224" t="s">
        <v>13168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t="s">
        <v>1607</v>
      </c>
      <c r="I225" t="s">
        <v>8381</v>
      </c>
      <c r="J225" t="s">
        <v>12646</v>
      </c>
      <c r="K225" t="s">
        <v>13169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t="s">
        <v>1607</v>
      </c>
      <c r="I226" t="s">
        <v>8446</v>
      </c>
      <c r="J226" t="s">
        <v>12646</v>
      </c>
      <c r="K226" t="s">
        <v>13170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t="s">
        <v>1607</v>
      </c>
      <c r="I227" t="s">
        <v>8448</v>
      </c>
      <c r="J227" t="s">
        <v>12646</v>
      </c>
      <c r="K227" t="s">
        <v>13171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t="s">
        <v>1607</v>
      </c>
      <c r="I228" t="s">
        <v>8587</v>
      </c>
      <c r="J228" t="s">
        <v>12646</v>
      </c>
      <c r="K228" t="s">
        <v>13172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t="s">
        <v>62</v>
      </c>
      <c r="E229" t="s">
        <v>8714</v>
      </c>
      <c r="F229" t="s">
        <v>58</v>
      </c>
      <c r="G229">
        <v>4</v>
      </c>
      <c r="H229" t="s">
        <v>7461</v>
      </c>
      <c r="I229" t="s">
        <v>8589</v>
      </c>
      <c r="J229" t="s">
        <v>12646</v>
      </c>
      <c r="K229" t="s">
        <v>12777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t="s">
        <v>91</v>
      </c>
      <c r="E230" t="s">
        <v>70</v>
      </c>
      <c r="F230" t="s">
        <v>4070</v>
      </c>
      <c r="I230" t="s">
        <v>8728</v>
      </c>
      <c r="J230" t="s">
        <v>12646</v>
      </c>
      <c r="K230" t="s">
        <v>13173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t="s">
        <v>62</v>
      </c>
      <c r="E231" t="s">
        <v>70</v>
      </c>
      <c r="F231" t="s">
        <v>4087</v>
      </c>
      <c r="I231" t="s">
        <v>8730</v>
      </c>
      <c r="J231" t="s">
        <v>12646</v>
      </c>
      <c r="K231" t="s">
        <v>13174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t="s">
        <v>91</v>
      </c>
      <c r="E232" t="s">
        <v>8912</v>
      </c>
      <c r="I232" t="s">
        <v>8814</v>
      </c>
      <c r="J232" t="s">
        <v>12646</v>
      </c>
      <c r="K232" t="s">
        <v>12780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t="s">
        <v>62</v>
      </c>
      <c r="E233" t="s">
        <v>8912</v>
      </c>
      <c r="F233" t="s">
        <v>53</v>
      </c>
      <c r="G233">
        <v>11</v>
      </c>
      <c r="I233" t="s">
        <v>8816</v>
      </c>
      <c r="J233" t="s">
        <v>12646</v>
      </c>
      <c r="K233" t="s">
        <v>12779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t="s">
        <v>91</v>
      </c>
      <c r="E234" t="s">
        <v>8913</v>
      </c>
      <c r="I234" t="s">
        <v>8818</v>
      </c>
      <c r="J234" t="s">
        <v>12646</v>
      </c>
      <c r="K234" t="s">
        <v>12778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t="s">
        <v>1607</v>
      </c>
      <c r="I235" t="s">
        <v>8820</v>
      </c>
      <c r="J235" t="s">
        <v>12646</v>
      </c>
      <c r="K235" t="s">
        <v>13175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t="s">
        <v>1607</v>
      </c>
      <c r="I236" t="s">
        <v>8930</v>
      </c>
      <c r="J236" t="s">
        <v>12646</v>
      </c>
      <c r="K236" t="s">
        <v>13176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t="s">
        <v>91</v>
      </c>
      <c r="E237" t="s">
        <v>9129</v>
      </c>
      <c r="F237" t="s">
        <v>60</v>
      </c>
      <c r="I237" t="s">
        <v>8932</v>
      </c>
      <c r="J237" t="s">
        <v>12646</v>
      </c>
      <c r="K237" t="s">
        <v>12782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t="s">
        <v>62</v>
      </c>
      <c r="E238" t="s">
        <v>9129</v>
      </c>
      <c r="F238" t="s">
        <v>51</v>
      </c>
      <c r="I238" t="s">
        <v>8934</v>
      </c>
      <c r="J238" t="s">
        <v>12646</v>
      </c>
      <c r="K238" t="s">
        <v>12781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t="s">
        <v>62</v>
      </c>
      <c r="E239" t="s">
        <v>4940</v>
      </c>
      <c r="F239" t="s">
        <v>9130</v>
      </c>
      <c r="I239" t="s">
        <v>8936</v>
      </c>
      <c r="J239" t="s">
        <v>12646</v>
      </c>
      <c r="K239" t="s">
        <v>13177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t="s">
        <v>91</v>
      </c>
      <c r="E240" t="s">
        <v>4940</v>
      </c>
      <c r="I240" t="s">
        <v>8938</v>
      </c>
      <c r="J240" t="s">
        <v>12646</v>
      </c>
      <c r="K240" t="s">
        <v>13178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t="s">
        <v>1607</v>
      </c>
      <c r="I241" t="s">
        <v>9158</v>
      </c>
      <c r="J241" t="s">
        <v>12646</v>
      </c>
      <c r="K241" t="s">
        <v>13179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t="s">
        <v>91</v>
      </c>
      <c r="E242" t="s">
        <v>70</v>
      </c>
      <c r="F242" t="s">
        <v>51</v>
      </c>
      <c r="I242" t="s">
        <v>9160</v>
      </c>
      <c r="J242" t="s">
        <v>12646</v>
      </c>
      <c r="K242" t="s">
        <v>13180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t="s">
        <v>62</v>
      </c>
      <c r="E243" t="s">
        <v>70</v>
      </c>
      <c r="F243" t="s">
        <v>9302</v>
      </c>
      <c r="G243">
        <v>2</v>
      </c>
      <c r="I243" t="s">
        <v>9162</v>
      </c>
      <c r="J243" t="s">
        <v>12646</v>
      </c>
      <c r="K243" t="s">
        <v>13181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t="s">
        <v>91</v>
      </c>
      <c r="E244" t="s">
        <v>70</v>
      </c>
      <c r="F244" t="s">
        <v>9302</v>
      </c>
      <c r="G244">
        <v>2</v>
      </c>
      <c r="I244" t="s">
        <v>9164</v>
      </c>
      <c r="J244" t="s">
        <v>12646</v>
      </c>
      <c r="K244" t="s">
        <v>13182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t="s">
        <v>62</v>
      </c>
      <c r="E245" t="s">
        <v>70</v>
      </c>
      <c r="F245" t="s">
        <v>51</v>
      </c>
      <c r="I245" t="s">
        <v>9166</v>
      </c>
      <c r="J245" t="s">
        <v>12646</v>
      </c>
      <c r="K245" t="s">
        <v>13183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t="s">
        <v>91</v>
      </c>
      <c r="E246" t="s">
        <v>66</v>
      </c>
      <c r="F246" t="s">
        <v>51</v>
      </c>
      <c r="I246" t="s">
        <v>9168</v>
      </c>
      <c r="J246" t="s">
        <v>12646</v>
      </c>
      <c r="K246" t="s">
        <v>12784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t="s">
        <v>62</v>
      </c>
      <c r="E247" t="s">
        <v>66</v>
      </c>
      <c r="F247" t="s">
        <v>51</v>
      </c>
      <c r="H247" t="s">
        <v>4134</v>
      </c>
      <c r="I247" t="s">
        <v>9170</v>
      </c>
      <c r="J247" t="s">
        <v>12646</v>
      </c>
      <c r="K247" t="s">
        <v>12783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t="s">
        <v>1607</v>
      </c>
      <c r="I248" t="s">
        <v>9172</v>
      </c>
      <c r="J248" t="s">
        <v>12646</v>
      </c>
      <c r="K248" t="s">
        <v>13184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t="s">
        <v>91</v>
      </c>
      <c r="E249" t="s">
        <v>9412</v>
      </c>
      <c r="I249" t="s">
        <v>9344</v>
      </c>
      <c r="J249" t="s">
        <v>12646</v>
      </c>
      <c r="K249" t="s">
        <v>12786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t="s">
        <v>62</v>
      </c>
      <c r="E250" t="s">
        <v>9412</v>
      </c>
      <c r="I250" t="s">
        <v>9346</v>
      </c>
      <c r="J250" t="s">
        <v>12646</v>
      </c>
      <c r="K250" t="s">
        <v>12785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t="s">
        <v>1607</v>
      </c>
      <c r="I251" t="s">
        <v>9348</v>
      </c>
      <c r="J251" t="s">
        <v>12646</v>
      </c>
      <c r="K251" t="s">
        <v>13185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t="s">
        <v>91</v>
      </c>
      <c r="E252" t="s">
        <v>11067</v>
      </c>
      <c r="I252" t="s">
        <v>10584</v>
      </c>
      <c r="J252" t="s">
        <v>12646</v>
      </c>
      <c r="K252" t="s">
        <v>12789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t="s">
        <v>91</v>
      </c>
      <c r="E253" t="s">
        <v>11066</v>
      </c>
      <c r="F253" t="s">
        <v>4070</v>
      </c>
      <c r="H253" t="s">
        <v>11069</v>
      </c>
      <c r="I253" t="s">
        <v>10586</v>
      </c>
      <c r="J253" t="s">
        <v>12646</v>
      </c>
      <c r="K253" t="s">
        <v>12790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t="s">
        <v>62</v>
      </c>
      <c r="E254" t="s">
        <v>11067</v>
      </c>
      <c r="F254" t="s">
        <v>165</v>
      </c>
      <c r="I254" t="s">
        <v>10588</v>
      </c>
      <c r="J254" t="s">
        <v>12646</v>
      </c>
      <c r="K254" t="s">
        <v>12787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t="s">
        <v>91</v>
      </c>
      <c r="E255" t="s">
        <v>11068</v>
      </c>
      <c r="F255" t="s">
        <v>60</v>
      </c>
      <c r="I255" t="s">
        <v>10590</v>
      </c>
      <c r="J255" t="s">
        <v>12646</v>
      </c>
      <c r="K255" t="s">
        <v>12788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t="s">
        <v>91</v>
      </c>
      <c r="E256" t="s">
        <v>11066</v>
      </c>
      <c r="F256" t="s">
        <v>4070</v>
      </c>
      <c r="I256" t="s">
        <v>10592</v>
      </c>
      <c r="J256" t="s">
        <v>12646</v>
      </c>
      <c r="K256" t="s">
        <v>12793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t="s">
        <v>62</v>
      </c>
      <c r="E257" t="s">
        <v>11068</v>
      </c>
      <c r="F257" t="s">
        <v>51</v>
      </c>
      <c r="I257" t="s">
        <v>10594</v>
      </c>
      <c r="J257" t="s">
        <v>12646</v>
      </c>
      <c r="K257" t="s">
        <v>12794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t="s">
        <v>62</v>
      </c>
      <c r="E258" t="s">
        <v>11066</v>
      </c>
      <c r="F258" t="s">
        <v>4070</v>
      </c>
      <c r="I258" t="s">
        <v>10596</v>
      </c>
      <c r="J258" t="s">
        <v>12646</v>
      </c>
      <c r="K258" t="s">
        <v>12791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t="s">
        <v>62</v>
      </c>
      <c r="E259" t="s">
        <v>11070</v>
      </c>
      <c r="F259" t="s">
        <v>58</v>
      </c>
      <c r="G259">
        <v>3</v>
      </c>
      <c r="H259" t="s">
        <v>7461</v>
      </c>
      <c r="I259" t="s">
        <v>10598</v>
      </c>
      <c r="J259" t="s">
        <v>12646</v>
      </c>
      <c r="K259" t="s">
        <v>12792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t="s">
        <v>91</v>
      </c>
      <c r="E260" t="s">
        <v>11066</v>
      </c>
      <c r="I260" t="s">
        <v>13486</v>
      </c>
      <c r="J260" t="s">
        <v>12646</v>
      </c>
      <c r="K260" t="s">
        <v>13487</v>
      </c>
      <c r="L260" t="s">
        <v>13488</v>
      </c>
      <c r="M260" s="2" t="str">
        <f>HYPERLINK(склад2въезд[[#This Row],[RelativePath]])</f>
        <v>1 Въезд на базу\GA3948333_4_20260226T144647Z.jpg</v>
      </c>
      <c r="N260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t="s">
        <v>62</v>
      </c>
      <c r="E261" t="s">
        <v>11066</v>
      </c>
      <c r="I261" t="s">
        <v>13489</v>
      </c>
      <c r="J261" t="s">
        <v>12646</v>
      </c>
      <c r="K261" t="s">
        <v>13490</v>
      </c>
      <c r="L261" t="s">
        <v>13491</v>
      </c>
      <c r="M261" s="2" t="str">
        <f>HYPERLINK(склад2въезд[[#This Row],[RelativePath]])</f>
        <v>1 Въезд на базу\GA3948333_4_20260226T173002Z.jpg</v>
      </c>
      <c r="N261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t="s">
        <v>91</v>
      </c>
      <c r="E262" t="s">
        <v>13844</v>
      </c>
      <c r="F262" t="s">
        <v>51</v>
      </c>
      <c r="H262" t="s">
        <v>13845</v>
      </c>
      <c r="I262" t="s">
        <v>13841</v>
      </c>
      <c r="J262" t="s">
        <v>12646</v>
      </c>
      <c r="K262" t="s">
        <v>13842</v>
      </c>
      <c r="L262" t="s">
        <v>13843</v>
      </c>
      <c r="M262" s="2" t="str">
        <f>HYPERLINK(склад2въезд[[#This Row],[RelativePath]])</f>
        <v>1 Въезд на базу\GA3948333_4_20260227T105507Z.jpg</v>
      </c>
      <c r="N262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t="s">
        <v>1607</v>
      </c>
      <c r="I263" t="s">
        <v>13913</v>
      </c>
      <c r="J263" t="s">
        <v>12646</v>
      </c>
      <c r="K263" t="s">
        <v>13914</v>
      </c>
      <c r="L263" t="s">
        <v>13915</v>
      </c>
      <c r="M263" s="2" t="str">
        <f>HYPERLINK(склад2въезд[[#This Row],[RelativePath]])</f>
        <v>1 Въезд на базу\GA3948333_4_20260228T170058Z.jpg</v>
      </c>
      <c r="N263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t="s">
        <v>1607</v>
      </c>
      <c r="I264" t="s">
        <v>13916</v>
      </c>
      <c r="J264" t="s">
        <v>12646</v>
      </c>
      <c r="K264" t="s">
        <v>13917</v>
      </c>
      <c r="L264" t="s">
        <v>13918</v>
      </c>
      <c r="M264" s="2" t="str">
        <f>HYPERLINK(склад2въезд[[#This Row],[RelativePath]])</f>
        <v>1 Въезд на базу\GA3948333_4_20260301T154911Z.jpg</v>
      </c>
      <c r="N264" t="str">
        <f>VLOOKUP(склад2въезд[[#This Row],[Name]], СпрСобытий!$F:$G, 2, FALSE)</f>
        <v>Въезд на базу</v>
      </c>
    </row>
  </sheetData>
  <phoneticPr fontId="2" type="noConversion"/>
  <conditionalFormatting sqref="E265:E278 D265:D275 G2:H264 D2:E264">
    <cfRule type="containsText" dxfId="918" priority="23" operator="containsText" text="Выезд с территории">
      <formula>NOT(ISERROR(SEARCH("Выезд с территории",D2)))</formula>
    </cfRule>
  </conditionalFormatting>
  <conditionalFormatting sqref="F2:F752">
    <cfRule type="notContainsText" dxfId="917" priority="21" operator="notContains" text="порожний">
      <formula>ISERROR(SEARCH("порожний",F2))</formula>
    </cfRule>
  </conditionalFormatting>
  <conditionalFormatting sqref="E2:E278">
    <cfRule type="containsText" dxfId="916" priority="12" operator="containsText" text="Газель базы">
      <formula>NOT(ISERROR(SEARCH("Газель базы",E2)))</formula>
    </cfRule>
    <cfRule type="containsText" dxfId="915" priority="13" operator="containsText" text="Погрузчик базы">
      <formula>NOT(ISERROR(SEARCH("Погрузчик базы",E2)))</formula>
    </cfRule>
  </conditionalFormatting>
  <conditionalFormatting sqref="E2:E278">
    <cfRule type="containsText" dxfId="914" priority="11" operator="containsText" text="Трактор базы">
      <formula>NOT(ISERROR(SEARCH("Трактор базы",E2)))</formula>
    </cfRule>
  </conditionalFormatting>
  <conditionalFormatting sqref="A2:C264">
    <cfRule type="expression" dxfId="913" priority="9">
      <formula>$A2="пн"</formula>
    </cfRule>
  </conditionalFormatting>
  <conditionalFormatting sqref="A2:C266">
    <cfRule type="expression" dxfId="912" priority="3">
      <formula>$A2="вс"</formula>
    </cfRule>
    <cfRule type="expression" dxfId="911" priority="4">
      <formula>$A2="сб"</formula>
    </cfRule>
    <cfRule type="expression" dxfId="910" priority="5">
      <formula>$A2="пт"</formula>
    </cfRule>
    <cfRule type="expression" dxfId="909" priority="6">
      <formula>$A2="чт"</formula>
    </cfRule>
    <cfRule type="expression" dxfId="908" priority="7">
      <formula>$A2="ср"</formula>
    </cfRule>
    <cfRule type="expression" dxfId="907" priority="8">
      <formula>$A2="вт"</formula>
    </cfRule>
  </conditionalFormatting>
  <conditionalFormatting sqref="D2:D275">
    <cfRule type="containsText" dxfId="9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5">
    <cfRule type="containsText" dxfId="9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86"/>
  <sheetViews>
    <sheetView zoomScale="90" zoomScaleNormal="90" workbookViewId="0">
      <pane ySplit="1" topLeftCell="A264" activePane="bottomLeft" state="frozen"/>
      <selection pane="bottomLeft" activeCell="I285" sqref="I285:I286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12795</v>
      </c>
      <c r="K2" t="s">
        <v>12796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8" t="s">
        <v>136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12795</v>
      </c>
      <c r="K3" t="s">
        <v>12797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8" t="s">
        <v>136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12795</v>
      </c>
      <c r="K4" t="s">
        <v>12798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8" t="s">
        <v>136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12795</v>
      </c>
      <c r="K5" t="s">
        <v>12799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8" t="s">
        <v>136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12795</v>
      </c>
      <c r="K6" t="s">
        <v>12800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8" t="s">
        <v>136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12795</v>
      </c>
      <c r="K7" t="s">
        <v>12801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8" t="s">
        <v>136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12795</v>
      </c>
      <c r="K8" t="s">
        <v>12802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8" t="s">
        <v>136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12795</v>
      </c>
      <c r="K9" t="s">
        <v>12803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12795</v>
      </c>
      <c r="K10" t="s">
        <v>12804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12795</v>
      </c>
      <c r="K11" t="s">
        <v>12805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8" t="s">
        <v>137</v>
      </c>
      <c r="E12" s="8" t="s">
        <v>63</v>
      </c>
      <c r="F12" s="8" t="s">
        <v>51</v>
      </c>
      <c r="H12" s="8"/>
      <c r="I12" s="8" t="s">
        <v>112</v>
      </c>
      <c r="J12" s="8" t="s">
        <v>12795</v>
      </c>
      <c r="K12" t="s">
        <v>12806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8" t="s">
        <v>136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12795</v>
      </c>
      <c r="K13" t="s">
        <v>12807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8" t="s">
        <v>136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12795</v>
      </c>
      <c r="K14" t="s">
        <v>12808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8" t="s">
        <v>136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12795</v>
      </c>
      <c r="K15" t="s">
        <v>12809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8" t="s">
        <v>136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12795</v>
      </c>
      <c r="K16" t="s">
        <v>12810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8" t="s">
        <v>136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12795</v>
      </c>
      <c r="K17" t="s">
        <v>12811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12795</v>
      </c>
      <c r="K18" t="s">
        <v>12812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12795</v>
      </c>
      <c r="K19" t="s">
        <v>12813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8" t="s">
        <v>137</v>
      </c>
      <c r="E20" s="8" t="s">
        <v>70</v>
      </c>
      <c r="F20" s="8"/>
      <c r="H20" s="8"/>
      <c r="I20" s="8" t="s">
        <v>128</v>
      </c>
      <c r="J20" s="8" t="s">
        <v>12795</v>
      </c>
      <c r="K20" t="s">
        <v>12814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8" t="s">
        <v>136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12795</v>
      </c>
      <c r="K21" t="s">
        <v>12815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8" t="s">
        <v>4</v>
      </c>
      <c r="E22" s="8" t="s">
        <v>138</v>
      </c>
      <c r="F22" s="8"/>
      <c r="H22" s="8"/>
      <c r="I22" s="8" t="s">
        <v>132</v>
      </c>
      <c r="J22" s="8" t="s">
        <v>12795</v>
      </c>
      <c r="K22" t="s">
        <v>12816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12795</v>
      </c>
      <c r="K23" t="s">
        <v>12817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8" t="s">
        <v>4</v>
      </c>
      <c r="E24" s="8" t="s">
        <v>8</v>
      </c>
      <c r="F24" s="8"/>
      <c r="H24" s="8"/>
      <c r="I24" s="8" t="s">
        <v>139</v>
      </c>
      <c r="J24" s="8" t="s">
        <v>12795</v>
      </c>
      <c r="K24" t="s">
        <v>12818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8" t="s">
        <v>137</v>
      </c>
      <c r="E25" s="8" t="s">
        <v>86</v>
      </c>
      <c r="F25" s="8" t="s">
        <v>165</v>
      </c>
      <c r="H25" s="8"/>
      <c r="I25" s="8" t="s">
        <v>141</v>
      </c>
      <c r="J25" s="8" t="s">
        <v>12795</v>
      </c>
      <c r="K25" t="s">
        <v>12819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8" t="s">
        <v>137</v>
      </c>
      <c r="E26" s="8" t="s">
        <v>86</v>
      </c>
      <c r="F26" s="8" t="s">
        <v>165</v>
      </c>
      <c r="H26" s="8"/>
      <c r="I26" s="8" t="s">
        <v>143</v>
      </c>
      <c r="J26" s="8" t="s">
        <v>12795</v>
      </c>
      <c r="K26" t="s">
        <v>12820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8" t="s">
        <v>166</v>
      </c>
      <c r="E27" s="8" t="s">
        <v>86</v>
      </c>
      <c r="F27" s="8" t="s">
        <v>51</v>
      </c>
      <c r="H27" s="8"/>
      <c r="I27" s="8" t="s">
        <v>145</v>
      </c>
      <c r="J27" s="8" t="s">
        <v>12795</v>
      </c>
      <c r="K27" t="s">
        <v>12821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8" t="s">
        <v>137</v>
      </c>
      <c r="E28" s="8" t="s">
        <v>86</v>
      </c>
      <c r="F28" s="8" t="s">
        <v>165</v>
      </c>
      <c r="H28" s="8"/>
      <c r="I28" s="8" t="s">
        <v>147</v>
      </c>
      <c r="J28" s="8" t="s">
        <v>12795</v>
      </c>
      <c r="K28" t="s">
        <v>12822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8" t="s">
        <v>137</v>
      </c>
      <c r="E29" s="8" t="s">
        <v>86</v>
      </c>
      <c r="F29" s="8" t="s">
        <v>165</v>
      </c>
      <c r="H29" s="8"/>
      <c r="I29" s="8" t="s">
        <v>149</v>
      </c>
      <c r="J29" s="8" t="s">
        <v>12795</v>
      </c>
      <c r="K29" t="s">
        <v>12823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8" t="s">
        <v>136</v>
      </c>
      <c r="E30" s="8" t="s">
        <v>86</v>
      </c>
      <c r="F30" s="8" t="s">
        <v>60</v>
      </c>
      <c r="G30">
        <v>1</v>
      </c>
      <c r="H30" s="8"/>
      <c r="I30" s="8" t="s">
        <v>151</v>
      </c>
      <c r="J30" s="8" t="s">
        <v>12795</v>
      </c>
      <c r="K30" t="s">
        <v>12824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8" t="s">
        <v>137</v>
      </c>
      <c r="E31" s="8" t="s">
        <v>86</v>
      </c>
      <c r="F31" s="8" t="s">
        <v>165</v>
      </c>
      <c r="H31" s="8"/>
      <c r="I31" s="8" t="s">
        <v>153</v>
      </c>
      <c r="J31" s="8" t="s">
        <v>12795</v>
      </c>
      <c r="K31" t="s">
        <v>12825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8" t="s">
        <v>137</v>
      </c>
      <c r="E32" s="8" t="s">
        <v>86</v>
      </c>
      <c r="F32" s="8" t="s">
        <v>165</v>
      </c>
      <c r="H32" s="8"/>
      <c r="I32" s="8" t="s">
        <v>155</v>
      </c>
      <c r="J32" s="8" t="s">
        <v>12795</v>
      </c>
      <c r="K32" t="s">
        <v>12826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8" t="s">
        <v>137</v>
      </c>
      <c r="E33" s="8" t="s">
        <v>86</v>
      </c>
      <c r="F33" s="8" t="s">
        <v>165</v>
      </c>
      <c r="H33" s="8"/>
      <c r="I33" s="8" t="s">
        <v>157</v>
      </c>
      <c r="J33" s="8" t="s">
        <v>12795</v>
      </c>
      <c r="K33" t="s">
        <v>12827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8" t="s">
        <v>167</v>
      </c>
      <c r="E34" s="8" t="s">
        <v>86</v>
      </c>
      <c r="F34" s="8" t="s">
        <v>51</v>
      </c>
      <c r="H34" s="8"/>
      <c r="I34" s="8" t="s">
        <v>159</v>
      </c>
      <c r="J34" s="8" t="s">
        <v>12795</v>
      </c>
      <c r="K34" t="s">
        <v>12828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8" t="s">
        <v>137</v>
      </c>
      <c r="E35" s="8" t="s">
        <v>86</v>
      </c>
      <c r="F35" s="8" t="s">
        <v>87</v>
      </c>
      <c r="H35" s="8"/>
      <c r="I35" s="8" t="s">
        <v>161</v>
      </c>
      <c r="J35" s="8" t="s">
        <v>12795</v>
      </c>
      <c r="K35" t="s">
        <v>12829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8" t="s">
        <v>4</v>
      </c>
      <c r="E36" s="8" t="s">
        <v>8</v>
      </c>
      <c r="F36" s="8"/>
      <c r="H36" s="8"/>
      <c r="I36" s="8" t="s">
        <v>163</v>
      </c>
      <c r="J36" s="8" t="s">
        <v>12795</v>
      </c>
      <c r="K36" t="s">
        <v>12830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8" t="s">
        <v>4</v>
      </c>
      <c r="E37" s="8" t="s">
        <v>8</v>
      </c>
      <c r="F37" s="8"/>
      <c r="H37" s="8" t="s">
        <v>1607</v>
      </c>
      <c r="I37" s="8" t="s">
        <v>952</v>
      </c>
      <c r="J37" s="8" t="s">
        <v>12795</v>
      </c>
      <c r="K37" t="s">
        <v>12831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8" t="s">
        <v>4</v>
      </c>
      <c r="E38" s="8" t="s">
        <v>8</v>
      </c>
      <c r="F38" s="8"/>
      <c r="H38" s="8"/>
      <c r="I38" s="8" t="s">
        <v>954</v>
      </c>
      <c r="J38" s="8" t="s">
        <v>12795</v>
      </c>
      <c r="K38" t="s">
        <v>12832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8" t="s">
        <v>4</v>
      </c>
      <c r="E39" s="8" t="s">
        <v>8</v>
      </c>
      <c r="F39" s="8"/>
      <c r="H39" s="8" t="s">
        <v>1607</v>
      </c>
      <c r="I39" s="8" t="s">
        <v>956</v>
      </c>
      <c r="J39" s="8" t="s">
        <v>12795</v>
      </c>
      <c r="K39" t="s">
        <v>12833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8" t="s">
        <v>4</v>
      </c>
      <c r="E40" s="8" t="s">
        <v>8</v>
      </c>
      <c r="F40" s="8"/>
      <c r="H40" s="8"/>
      <c r="I40" s="8" t="s">
        <v>958</v>
      </c>
      <c r="J40" s="8" t="s">
        <v>12795</v>
      </c>
      <c r="K40" t="s">
        <v>12834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8" t="s">
        <v>1607</v>
      </c>
      <c r="E41" s="8"/>
      <c r="F41" s="8"/>
      <c r="H41" s="8"/>
      <c r="I41" s="8" t="s">
        <v>1628</v>
      </c>
      <c r="J41" s="8" t="s">
        <v>12795</v>
      </c>
      <c r="K41" t="s">
        <v>12835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8" t="s">
        <v>1607</v>
      </c>
      <c r="E42" s="8"/>
      <c r="F42" s="8"/>
      <c r="H42" s="8"/>
      <c r="I42" s="8" t="s">
        <v>1630</v>
      </c>
      <c r="J42" s="8" t="s">
        <v>12795</v>
      </c>
      <c r="K42" t="s">
        <v>12836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8" t="s">
        <v>1607</v>
      </c>
      <c r="E43" s="8"/>
      <c r="F43" s="8"/>
      <c r="H43" s="8"/>
      <c r="I43" s="8" t="s">
        <v>1632</v>
      </c>
      <c r="J43" s="8" t="s">
        <v>12795</v>
      </c>
      <c r="K43" t="s">
        <v>12837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8" t="s">
        <v>2342</v>
      </c>
      <c r="E44" s="8"/>
      <c r="F44" s="8"/>
      <c r="H44" s="8"/>
      <c r="I44" s="8" t="s">
        <v>1634</v>
      </c>
      <c r="J44" s="8" t="s">
        <v>12795</v>
      </c>
      <c r="K44" t="s">
        <v>12838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8" t="s">
        <v>4</v>
      </c>
      <c r="E45" s="8" t="s">
        <v>8</v>
      </c>
      <c r="F45" s="8"/>
      <c r="H45" s="8"/>
      <c r="I45" s="8" t="s">
        <v>1636</v>
      </c>
      <c r="J45" s="8" t="s">
        <v>12795</v>
      </c>
      <c r="K45" t="s">
        <v>12839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8" t="s">
        <v>1607</v>
      </c>
      <c r="E46" s="8"/>
      <c r="F46" s="8"/>
      <c r="H46" s="8"/>
      <c r="I46" s="8" t="s">
        <v>1638</v>
      </c>
      <c r="J46" s="8" t="s">
        <v>12795</v>
      </c>
      <c r="K46" t="s">
        <v>12840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8" t="s">
        <v>1607</v>
      </c>
      <c r="E47" s="8"/>
      <c r="F47" s="8"/>
      <c r="H47" s="8"/>
      <c r="I47" s="8" t="s">
        <v>1640</v>
      </c>
      <c r="J47" s="8" t="s">
        <v>12795</v>
      </c>
      <c r="K47" t="s">
        <v>12841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8" t="s">
        <v>1607</v>
      </c>
      <c r="E48" s="8"/>
      <c r="F48" s="8"/>
      <c r="H48" s="8"/>
      <c r="I48" s="8" t="s">
        <v>1642</v>
      </c>
      <c r="J48" s="8" t="s">
        <v>12795</v>
      </c>
      <c r="K48" t="s">
        <v>12842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8" t="s">
        <v>226</v>
      </c>
      <c r="E49" s="8" t="s">
        <v>86</v>
      </c>
      <c r="F49" s="8" t="s">
        <v>2457</v>
      </c>
      <c r="H49" s="8" t="s">
        <v>2458</v>
      </c>
      <c r="I49" s="8" t="s">
        <v>2423</v>
      </c>
      <c r="J49" s="8" t="s">
        <v>12795</v>
      </c>
      <c r="K49" t="s">
        <v>12843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8" t="s">
        <v>2459</v>
      </c>
      <c r="E50" s="8" t="s">
        <v>86</v>
      </c>
      <c r="F50" s="8" t="s">
        <v>2457</v>
      </c>
      <c r="H50" s="8" t="s">
        <v>2460</v>
      </c>
      <c r="I50" s="8" t="s">
        <v>2425</v>
      </c>
      <c r="J50" s="8" t="s">
        <v>12795</v>
      </c>
      <c r="K50" t="s">
        <v>12844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8" t="s">
        <v>226</v>
      </c>
      <c r="E51" s="8" t="s">
        <v>86</v>
      </c>
      <c r="F51" s="8" t="s">
        <v>2457</v>
      </c>
      <c r="H51" s="8" t="s">
        <v>2458</v>
      </c>
      <c r="I51" s="8" t="s">
        <v>2427</v>
      </c>
      <c r="J51" s="8" t="s">
        <v>12795</v>
      </c>
      <c r="K51" t="s">
        <v>12845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8" t="s">
        <v>2459</v>
      </c>
      <c r="E52" s="8" t="s">
        <v>86</v>
      </c>
      <c r="F52" s="8" t="s">
        <v>2457</v>
      </c>
      <c r="H52" s="8" t="s">
        <v>2460</v>
      </c>
      <c r="I52" s="8" t="s">
        <v>2429</v>
      </c>
      <c r="J52" s="8" t="s">
        <v>12795</v>
      </c>
      <c r="K52" t="s">
        <v>12846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8" t="s">
        <v>136</v>
      </c>
      <c r="E53" s="8" t="s">
        <v>86</v>
      </c>
      <c r="F53" s="8" t="s">
        <v>60</v>
      </c>
      <c r="G53">
        <v>4</v>
      </c>
      <c r="H53" s="8" t="s">
        <v>2461</v>
      </c>
      <c r="I53" s="8" t="s">
        <v>2431</v>
      </c>
      <c r="J53" s="8" t="s">
        <v>12795</v>
      </c>
      <c r="K53" t="s">
        <v>12847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8" t="s">
        <v>226</v>
      </c>
      <c r="E54" s="8" t="s">
        <v>86</v>
      </c>
      <c r="F54" s="8" t="s">
        <v>2457</v>
      </c>
      <c r="H54" s="8" t="s">
        <v>2458</v>
      </c>
      <c r="I54" s="8" t="s">
        <v>2433</v>
      </c>
      <c r="J54" s="8" t="s">
        <v>12795</v>
      </c>
      <c r="K54" t="s">
        <v>12848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8" t="s">
        <v>2459</v>
      </c>
      <c r="E55" s="8" t="s">
        <v>86</v>
      </c>
      <c r="F55" s="8" t="s">
        <v>2457</v>
      </c>
      <c r="H55" s="8" t="s">
        <v>2460</v>
      </c>
      <c r="I55" s="8" t="s">
        <v>2435</v>
      </c>
      <c r="J55" s="8" t="s">
        <v>12795</v>
      </c>
      <c r="K55" t="s">
        <v>12849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8" t="s">
        <v>226</v>
      </c>
      <c r="E56" s="8" t="s">
        <v>86</v>
      </c>
      <c r="F56" s="8" t="s">
        <v>2457</v>
      </c>
      <c r="H56" s="8" t="s">
        <v>2458</v>
      </c>
      <c r="I56" s="8" t="s">
        <v>2437</v>
      </c>
      <c r="J56" s="8" t="s">
        <v>12795</v>
      </c>
      <c r="K56" t="s">
        <v>12850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8" t="s">
        <v>2459</v>
      </c>
      <c r="E57" s="8" t="s">
        <v>86</v>
      </c>
      <c r="F57" s="8" t="s">
        <v>2457</v>
      </c>
      <c r="H57" s="8" t="s">
        <v>2460</v>
      </c>
      <c r="I57" s="8" t="s">
        <v>2439</v>
      </c>
      <c r="J57" s="8" t="s">
        <v>12795</v>
      </c>
      <c r="K57" t="s">
        <v>12851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8" t="s">
        <v>226</v>
      </c>
      <c r="E58" s="8" t="s">
        <v>86</v>
      </c>
      <c r="F58" s="8" t="s">
        <v>2457</v>
      </c>
      <c r="H58" s="8" t="s">
        <v>2458</v>
      </c>
      <c r="I58" s="8" t="s">
        <v>2441</v>
      </c>
      <c r="J58" s="8" t="s">
        <v>12795</v>
      </c>
      <c r="K58" t="s">
        <v>12852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8" t="s">
        <v>2459</v>
      </c>
      <c r="E59" s="8" t="s">
        <v>86</v>
      </c>
      <c r="F59" s="8" t="s">
        <v>2457</v>
      </c>
      <c r="H59" s="8" t="s">
        <v>2460</v>
      </c>
      <c r="I59" s="8" t="s">
        <v>2443</v>
      </c>
      <c r="J59" s="8" t="s">
        <v>12795</v>
      </c>
      <c r="K59" t="s">
        <v>12853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8" t="s">
        <v>226</v>
      </c>
      <c r="E60" s="8" t="s">
        <v>86</v>
      </c>
      <c r="F60" s="8" t="s">
        <v>2462</v>
      </c>
      <c r="G60">
        <v>1</v>
      </c>
      <c r="H60" s="8"/>
      <c r="I60" s="8" t="s">
        <v>2445</v>
      </c>
      <c r="J60" s="8" t="s">
        <v>12795</v>
      </c>
      <c r="K60" t="s">
        <v>12854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8" t="s">
        <v>2459</v>
      </c>
      <c r="E61" s="8" t="s">
        <v>86</v>
      </c>
      <c r="F61" s="8" t="s">
        <v>2462</v>
      </c>
      <c r="G61">
        <v>1</v>
      </c>
      <c r="H61" s="8" t="s">
        <v>2463</v>
      </c>
      <c r="I61" s="8" t="s">
        <v>2447</v>
      </c>
      <c r="J61" s="8" t="s">
        <v>12795</v>
      </c>
      <c r="K61" t="s">
        <v>12855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8" t="s">
        <v>226</v>
      </c>
      <c r="E62" s="8" t="s">
        <v>86</v>
      </c>
      <c r="F62" s="8" t="s">
        <v>2462</v>
      </c>
      <c r="G62">
        <v>1</v>
      </c>
      <c r="H62" s="8"/>
      <c r="I62" s="8" t="s">
        <v>2449</v>
      </c>
      <c r="J62" s="8" t="s">
        <v>12795</v>
      </c>
      <c r="K62" t="s">
        <v>12856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8" t="s">
        <v>2459</v>
      </c>
      <c r="E63" s="8" t="s">
        <v>86</v>
      </c>
      <c r="F63" s="8" t="s">
        <v>2462</v>
      </c>
      <c r="G63">
        <v>1</v>
      </c>
      <c r="H63" s="8" t="s">
        <v>2463</v>
      </c>
      <c r="I63" s="8" t="s">
        <v>2451</v>
      </c>
      <c r="J63" s="8" t="s">
        <v>12795</v>
      </c>
      <c r="K63" t="s">
        <v>12857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8" t="s">
        <v>136</v>
      </c>
      <c r="E64" s="8" t="s">
        <v>86</v>
      </c>
      <c r="F64" s="8" t="s">
        <v>60</v>
      </c>
      <c r="G64">
        <v>1</v>
      </c>
      <c r="H64" s="8" t="s">
        <v>2461</v>
      </c>
      <c r="I64" s="8" t="s">
        <v>2453</v>
      </c>
      <c r="J64" s="8" t="s">
        <v>12795</v>
      </c>
      <c r="K64" t="s">
        <v>12858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8" t="s">
        <v>4</v>
      </c>
      <c r="E65" s="8" t="s">
        <v>8</v>
      </c>
      <c r="F65" s="8"/>
      <c r="H65" s="8" t="s">
        <v>2464</v>
      </c>
      <c r="I65" s="8" t="s">
        <v>2455</v>
      </c>
      <c r="J65" s="8" t="s">
        <v>12795</v>
      </c>
      <c r="K65" t="s">
        <v>12859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8" t="s">
        <v>3363</v>
      </c>
      <c r="E66" s="8" t="s">
        <v>3357</v>
      </c>
      <c r="F66" s="8" t="s">
        <v>51</v>
      </c>
      <c r="H66" s="8"/>
      <c r="I66" s="8" t="s">
        <v>2574</v>
      </c>
      <c r="J66" s="8" t="s">
        <v>12795</v>
      </c>
      <c r="K66" t="s">
        <v>12860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8" t="s">
        <v>3364</v>
      </c>
      <c r="E67" s="8" t="s">
        <v>3365</v>
      </c>
      <c r="F67" s="8"/>
      <c r="H67" s="8" t="s">
        <v>2461</v>
      </c>
      <c r="I67" s="8" t="s">
        <v>2576</v>
      </c>
      <c r="J67" s="8" t="s">
        <v>12795</v>
      </c>
      <c r="K67" t="s">
        <v>12861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8" t="s">
        <v>3364</v>
      </c>
      <c r="E68" s="8" t="s">
        <v>3365</v>
      </c>
      <c r="F68" s="8"/>
      <c r="H68" s="8" t="s">
        <v>2352</v>
      </c>
      <c r="I68" s="8" t="s">
        <v>2578</v>
      </c>
      <c r="J68" s="8" t="s">
        <v>12795</v>
      </c>
      <c r="K68" t="s">
        <v>12862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8" t="s">
        <v>3364</v>
      </c>
      <c r="E69" s="8" t="s">
        <v>3365</v>
      </c>
      <c r="F69" s="8"/>
      <c r="H69" s="8" t="s">
        <v>2352</v>
      </c>
      <c r="I69" s="8" t="s">
        <v>2580</v>
      </c>
      <c r="J69" s="8" t="s">
        <v>12795</v>
      </c>
      <c r="K69" t="s">
        <v>12863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8" t="s">
        <v>3364</v>
      </c>
      <c r="E70" s="8" t="s">
        <v>3365</v>
      </c>
      <c r="F70" s="8"/>
      <c r="H70" s="8" t="s">
        <v>2352</v>
      </c>
      <c r="I70" s="8" t="s">
        <v>2582</v>
      </c>
      <c r="J70" s="8" t="s">
        <v>12795</v>
      </c>
      <c r="K70" t="s">
        <v>12864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8" t="s">
        <v>3364</v>
      </c>
      <c r="E71" s="8" t="s">
        <v>3365</v>
      </c>
      <c r="F71" s="8"/>
      <c r="H71" s="8" t="s">
        <v>2352</v>
      </c>
      <c r="I71" s="8" t="s">
        <v>2584</v>
      </c>
      <c r="J71" s="8" t="s">
        <v>12795</v>
      </c>
      <c r="K71" t="s">
        <v>12865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8" t="s">
        <v>3364</v>
      </c>
      <c r="E72" s="8" t="s">
        <v>3365</v>
      </c>
      <c r="F72" s="8"/>
      <c r="H72" s="8" t="s">
        <v>2352</v>
      </c>
      <c r="I72" s="8" t="s">
        <v>2586</v>
      </c>
      <c r="J72" s="8" t="s">
        <v>12795</v>
      </c>
      <c r="K72" t="s">
        <v>12866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8" t="s">
        <v>3364</v>
      </c>
      <c r="E73" s="8" t="s">
        <v>3365</v>
      </c>
      <c r="F73" s="8"/>
      <c r="H73" s="8" t="s">
        <v>2352</v>
      </c>
      <c r="I73" s="8" t="s">
        <v>2588</v>
      </c>
      <c r="J73" s="8" t="s">
        <v>12795</v>
      </c>
      <c r="K73" t="s">
        <v>12867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8" t="s">
        <v>3364</v>
      </c>
      <c r="E74" s="8" t="s">
        <v>3365</v>
      </c>
      <c r="F74" s="8"/>
      <c r="H74" s="8" t="s">
        <v>2352</v>
      </c>
      <c r="I74" s="8" t="s">
        <v>2590</v>
      </c>
      <c r="J74" s="8" t="s">
        <v>12795</v>
      </c>
      <c r="K74" t="s">
        <v>12868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8" t="s">
        <v>3364</v>
      </c>
      <c r="E75" s="8" t="s">
        <v>3365</v>
      </c>
      <c r="F75" s="8"/>
      <c r="H75" s="8" t="s">
        <v>2352</v>
      </c>
      <c r="I75" s="8" t="s">
        <v>2592</v>
      </c>
      <c r="J75" s="8" t="s">
        <v>12795</v>
      </c>
      <c r="K75" t="s">
        <v>12869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8" t="s">
        <v>3364</v>
      </c>
      <c r="E76" s="8" t="s">
        <v>3365</v>
      </c>
      <c r="F76" s="8"/>
      <c r="H76" s="8" t="s">
        <v>2352</v>
      </c>
      <c r="I76" s="8" t="s">
        <v>2594</v>
      </c>
      <c r="J76" s="8" t="s">
        <v>12795</v>
      </c>
      <c r="K76" t="s">
        <v>12870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8" t="s">
        <v>3364</v>
      </c>
      <c r="E77" s="8" t="s">
        <v>3365</v>
      </c>
      <c r="F77" s="8"/>
      <c r="H77" s="8" t="s">
        <v>2352</v>
      </c>
      <c r="I77" s="8" t="s">
        <v>2596</v>
      </c>
      <c r="J77" s="8" t="s">
        <v>12795</v>
      </c>
      <c r="K77" t="s">
        <v>12871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8" t="s">
        <v>226</v>
      </c>
      <c r="E78" s="8" t="s">
        <v>86</v>
      </c>
      <c r="F78" s="8" t="s">
        <v>2457</v>
      </c>
      <c r="H78" s="8" t="s">
        <v>2458</v>
      </c>
      <c r="I78" s="8" t="s">
        <v>2598</v>
      </c>
      <c r="J78" s="8" t="s">
        <v>12795</v>
      </c>
      <c r="K78" t="s">
        <v>12872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8" t="s">
        <v>2459</v>
      </c>
      <c r="E79" s="8" t="s">
        <v>86</v>
      </c>
      <c r="F79" s="8" t="s">
        <v>2457</v>
      </c>
      <c r="H79" s="8" t="s">
        <v>2460</v>
      </c>
      <c r="I79" s="8" t="s">
        <v>2600</v>
      </c>
      <c r="J79" s="8" t="s">
        <v>12795</v>
      </c>
      <c r="K79" t="s">
        <v>12873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8" t="s">
        <v>226</v>
      </c>
      <c r="E80" s="8" t="s">
        <v>86</v>
      </c>
      <c r="F80" s="8" t="s">
        <v>2457</v>
      </c>
      <c r="H80" s="8" t="s">
        <v>2458</v>
      </c>
      <c r="I80" s="8" t="s">
        <v>2602</v>
      </c>
      <c r="J80" s="8" t="s">
        <v>12795</v>
      </c>
      <c r="K80" t="s">
        <v>12874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8" t="s">
        <v>2459</v>
      </c>
      <c r="E81" s="8" t="s">
        <v>86</v>
      </c>
      <c r="F81" s="8" t="s">
        <v>2457</v>
      </c>
      <c r="H81" s="8" t="s">
        <v>2460</v>
      </c>
      <c r="I81" s="8" t="s">
        <v>2604</v>
      </c>
      <c r="J81" s="8" t="s">
        <v>12795</v>
      </c>
      <c r="K81" t="s">
        <v>12875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8" t="s">
        <v>226</v>
      </c>
      <c r="E82" s="8" t="s">
        <v>86</v>
      </c>
      <c r="F82" s="8" t="s">
        <v>2457</v>
      </c>
      <c r="H82" s="8" t="s">
        <v>2458</v>
      </c>
      <c r="I82" s="8" t="s">
        <v>2606</v>
      </c>
      <c r="J82" s="8" t="s">
        <v>12795</v>
      </c>
      <c r="K82" t="s">
        <v>12876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8" t="s">
        <v>2459</v>
      </c>
      <c r="E83" s="8" t="s">
        <v>86</v>
      </c>
      <c r="F83" s="8" t="s">
        <v>2457</v>
      </c>
      <c r="H83" s="8" t="s">
        <v>2460</v>
      </c>
      <c r="I83" s="8" t="s">
        <v>2608</v>
      </c>
      <c r="J83" s="8" t="s">
        <v>12795</v>
      </c>
      <c r="K83" t="s">
        <v>12877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8" t="s">
        <v>226</v>
      </c>
      <c r="E84" s="8" t="s">
        <v>86</v>
      </c>
      <c r="F84" s="8" t="s">
        <v>2457</v>
      </c>
      <c r="H84" s="8" t="s">
        <v>2458</v>
      </c>
      <c r="I84" s="8" t="s">
        <v>2610</v>
      </c>
      <c r="J84" s="8" t="s">
        <v>12795</v>
      </c>
      <c r="K84" t="s">
        <v>12878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8" t="s">
        <v>2459</v>
      </c>
      <c r="E85" s="8" t="s">
        <v>86</v>
      </c>
      <c r="F85" s="8" t="s">
        <v>2457</v>
      </c>
      <c r="H85" s="8" t="s">
        <v>2460</v>
      </c>
      <c r="I85" s="8" t="s">
        <v>2612</v>
      </c>
      <c r="J85" s="8" t="s">
        <v>12795</v>
      </c>
      <c r="K85" t="s">
        <v>12879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8" t="s">
        <v>3367</v>
      </c>
      <c r="E86" s="8" t="s">
        <v>3358</v>
      </c>
      <c r="F86" s="8" t="s">
        <v>51</v>
      </c>
      <c r="H86" s="8"/>
      <c r="I86" s="8" t="s">
        <v>2614</v>
      </c>
      <c r="J86" s="8" t="s">
        <v>12795</v>
      </c>
      <c r="K86" t="s">
        <v>12880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8" t="s">
        <v>3367</v>
      </c>
      <c r="E87" s="8" t="s">
        <v>3358</v>
      </c>
      <c r="F87" s="8" t="s">
        <v>51</v>
      </c>
      <c r="H87" s="8" t="s">
        <v>2352</v>
      </c>
      <c r="I87" s="8" t="s">
        <v>2616</v>
      </c>
      <c r="J87" s="8" t="s">
        <v>12795</v>
      </c>
      <c r="K87" t="s">
        <v>12881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8" t="s">
        <v>3367</v>
      </c>
      <c r="E88" s="8" t="s">
        <v>3358</v>
      </c>
      <c r="F88" s="8" t="s">
        <v>51</v>
      </c>
      <c r="H88" s="8" t="s">
        <v>2352</v>
      </c>
      <c r="I88" s="8" t="s">
        <v>2618</v>
      </c>
      <c r="J88" s="8" t="s">
        <v>12795</v>
      </c>
      <c r="K88" t="s">
        <v>12882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8" t="s">
        <v>3366</v>
      </c>
      <c r="E89" s="8" t="s">
        <v>3358</v>
      </c>
      <c r="F89" s="8"/>
      <c r="H89" s="8"/>
      <c r="I89" s="8" t="s">
        <v>2620</v>
      </c>
      <c r="J89" s="8" t="s">
        <v>12795</v>
      </c>
      <c r="K89" t="s">
        <v>12883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8" t="s">
        <v>4</v>
      </c>
      <c r="E90" s="8" t="s">
        <v>8</v>
      </c>
      <c r="F90" s="8"/>
      <c r="H90" s="8" t="s">
        <v>2464</v>
      </c>
      <c r="I90" s="8" t="s">
        <v>2622</v>
      </c>
      <c r="J90" s="8" t="s">
        <v>12795</v>
      </c>
      <c r="K90" t="s">
        <v>12884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8" t="s">
        <v>1607</v>
      </c>
      <c r="E91" s="8"/>
      <c r="F91" s="8"/>
      <c r="H91" s="8"/>
      <c r="I91" s="8" t="s">
        <v>3421</v>
      </c>
      <c r="J91" s="8" t="s">
        <v>12795</v>
      </c>
      <c r="K91" t="s">
        <v>12885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8" t="s">
        <v>4072</v>
      </c>
      <c r="E92" s="8" t="s">
        <v>1274</v>
      </c>
      <c r="F92" s="8" t="s">
        <v>4073</v>
      </c>
      <c r="H92" s="8" t="s">
        <v>4074</v>
      </c>
      <c r="I92" s="8" t="s">
        <v>3456</v>
      </c>
      <c r="J92" s="8" t="s">
        <v>12795</v>
      </c>
      <c r="K92" t="s">
        <v>12886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8" t="s">
        <v>4075</v>
      </c>
      <c r="E93" s="8" t="s">
        <v>86</v>
      </c>
      <c r="F93" s="8" t="s">
        <v>2457</v>
      </c>
      <c r="H93" s="8" t="s">
        <v>4076</v>
      </c>
      <c r="I93" s="8" t="s">
        <v>3458</v>
      </c>
      <c r="J93" s="8" t="s">
        <v>12795</v>
      </c>
      <c r="K93" t="s">
        <v>12887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3460</v>
      </c>
      <c r="J94" s="8" t="s">
        <v>12795</v>
      </c>
      <c r="K94" t="s">
        <v>12888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8" t="s">
        <v>4</v>
      </c>
      <c r="E95" s="8" t="s">
        <v>86</v>
      </c>
      <c r="F95" s="8" t="s">
        <v>2354</v>
      </c>
      <c r="H95" s="8"/>
      <c r="I95" s="8" t="s">
        <v>3462</v>
      </c>
      <c r="J95" s="8" t="s">
        <v>12795</v>
      </c>
      <c r="K95" t="s">
        <v>12889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8" t="s">
        <v>4075</v>
      </c>
      <c r="E96" s="8" t="s">
        <v>86</v>
      </c>
      <c r="F96" s="8" t="s">
        <v>2354</v>
      </c>
      <c r="H96" s="8" t="s">
        <v>4076</v>
      </c>
      <c r="I96" s="8" t="s">
        <v>3464</v>
      </c>
      <c r="J96" s="8" t="s">
        <v>12795</v>
      </c>
      <c r="K96" t="s">
        <v>12890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8" t="s">
        <v>4</v>
      </c>
      <c r="E97" s="8" t="s">
        <v>86</v>
      </c>
      <c r="F97" s="8" t="s">
        <v>4077</v>
      </c>
      <c r="H97" s="8" t="s">
        <v>4078</v>
      </c>
      <c r="I97" s="8" t="s">
        <v>3466</v>
      </c>
      <c r="J97" s="8" t="s">
        <v>12795</v>
      </c>
      <c r="K97" t="s">
        <v>12891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8" t="s">
        <v>4</v>
      </c>
      <c r="E98" s="8" t="s">
        <v>8</v>
      </c>
      <c r="F98" s="8"/>
      <c r="H98" s="8"/>
      <c r="I98" s="8" t="s">
        <v>3469</v>
      </c>
      <c r="J98" s="8" t="s">
        <v>12795</v>
      </c>
      <c r="K98" t="s">
        <v>12892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8" t="s">
        <v>136</v>
      </c>
      <c r="E99" s="8" t="s">
        <v>86</v>
      </c>
      <c r="F99" s="8" t="s">
        <v>60</v>
      </c>
      <c r="G99">
        <v>2</v>
      </c>
      <c r="H99" s="8" t="s">
        <v>2461</v>
      </c>
      <c r="I99" s="8" t="s">
        <v>3471</v>
      </c>
      <c r="J99" s="8" t="s">
        <v>12795</v>
      </c>
      <c r="K99" t="s">
        <v>12893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8" t="s">
        <v>136</v>
      </c>
      <c r="E100" s="8" t="s">
        <v>86</v>
      </c>
      <c r="F100" s="8" t="s">
        <v>60</v>
      </c>
      <c r="G100">
        <v>1</v>
      </c>
      <c r="H100" s="8" t="s">
        <v>2461</v>
      </c>
      <c r="I100" s="8" t="s">
        <v>3473</v>
      </c>
      <c r="J100" s="8" t="s">
        <v>12795</v>
      </c>
      <c r="K100" t="s">
        <v>12894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8" t="s">
        <v>136</v>
      </c>
      <c r="E101" s="8" t="s">
        <v>86</v>
      </c>
      <c r="F101" s="8" t="s">
        <v>60</v>
      </c>
      <c r="G101">
        <v>2</v>
      </c>
      <c r="H101" s="8" t="s">
        <v>2461</v>
      </c>
      <c r="I101" s="8" t="s">
        <v>3475</v>
      </c>
      <c r="J101" s="8" t="s">
        <v>12795</v>
      </c>
      <c r="K101" t="s">
        <v>12895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8" t="s">
        <v>136</v>
      </c>
      <c r="E102" s="8" t="s">
        <v>86</v>
      </c>
      <c r="F102" s="8" t="s">
        <v>165</v>
      </c>
      <c r="G102">
        <v>2</v>
      </c>
      <c r="H102" s="8" t="s">
        <v>2461</v>
      </c>
      <c r="I102" s="8" t="s">
        <v>3477</v>
      </c>
      <c r="J102" s="8" t="s">
        <v>12795</v>
      </c>
      <c r="K102" t="s">
        <v>12896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8" t="s">
        <v>136</v>
      </c>
      <c r="E103" s="8" t="s">
        <v>86</v>
      </c>
      <c r="F103" s="8" t="s">
        <v>165</v>
      </c>
      <c r="G103">
        <v>4</v>
      </c>
      <c r="H103" s="8" t="s">
        <v>2461</v>
      </c>
      <c r="I103" s="8" t="s">
        <v>3479</v>
      </c>
      <c r="J103" s="8" t="s">
        <v>12795</v>
      </c>
      <c r="K103" t="s">
        <v>12897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8" t="s">
        <v>136</v>
      </c>
      <c r="E104" s="8" t="s">
        <v>86</v>
      </c>
      <c r="F104" s="8" t="s">
        <v>165</v>
      </c>
      <c r="G104">
        <v>4</v>
      </c>
      <c r="H104" s="8" t="s">
        <v>2461</v>
      </c>
      <c r="I104" s="8" t="s">
        <v>3481</v>
      </c>
      <c r="J104" s="8" t="s">
        <v>12795</v>
      </c>
      <c r="K104" t="s">
        <v>12898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8" t="s">
        <v>136</v>
      </c>
      <c r="E105" s="8" t="s">
        <v>86</v>
      </c>
      <c r="F105" s="8" t="s">
        <v>165</v>
      </c>
      <c r="G105">
        <v>1</v>
      </c>
      <c r="H105" s="8" t="s">
        <v>2461</v>
      </c>
      <c r="I105" s="8" t="s">
        <v>3483</v>
      </c>
      <c r="J105" s="8" t="s">
        <v>12795</v>
      </c>
      <c r="K105" t="s">
        <v>12899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8" t="s">
        <v>136</v>
      </c>
      <c r="E106" s="8" t="s">
        <v>86</v>
      </c>
      <c r="F106" s="8" t="s">
        <v>4079</v>
      </c>
      <c r="G106">
        <v>3</v>
      </c>
      <c r="H106" s="8" t="s">
        <v>2461</v>
      </c>
      <c r="I106" s="8" t="s">
        <v>3485</v>
      </c>
      <c r="J106" s="8" t="s">
        <v>12795</v>
      </c>
      <c r="K106" t="s">
        <v>12900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8" t="s">
        <v>136</v>
      </c>
      <c r="E107" s="8" t="s">
        <v>86</v>
      </c>
      <c r="F107" s="8" t="s">
        <v>4079</v>
      </c>
      <c r="G107">
        <v>3</v>
      </c>
      <c r="H107" s="8" t="s">
        <v>2461</v>
      </c>
      <c r="I107" s="8" t="s">
        <v>3487</v>
      </c>
      <c r="J107" s="8" t="s">
        <v>12795</v>
      </c>
      <c r="K107" t="s">
        <v>12901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8" t="s">
        <v>136</v>
      </c>
      <c r="E108" s="8" t="s">
        <v>86</v>
      </c>
      <c r="F108" s="8" t="s">
        <v>4079</v>
      </c>
      <c r="G108">
        <v>3</v>
      </c>
      <c r="H108" s="8" t="s">
        <v>2461</v>
      </c>
      <c r="I108" s="8" t="s">
        <v>3489</v>
      </c>
      <c r="J108" s="8" t="s">
        <v>12795</v>
      </c>
      <c r="K108" t="s">
        <v>12902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8" t="s">
        <v>3386</v>
      </c>
      <c r="E109" s="8" t="s">
        <v>86</v>
      </c>
      <c r="F109" s="8" t="s">
        <v>3405</v>
      </c>
      <c r="H109" s="8" t="s">
        <v>3401</v>
      </c>
      <c r="I109" s="8" t="s">
        <v>3491</v>
      </c>
      <c r="J109" s="8" t="s">
        <v>12795</v>
      </c>
      <c r="K109" t="s">
        <v>12903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8" t="s">
        <v>3386</v>
      </c>
      <c r="E110" s="8" t="s">
        <v>86</v>
      </c>
      <c r="F110" s="8" t="s">
        <v>3405</v>
      </c>
      <c r="H110" s="8" t="s">
        <v>2352</v>
      </c>
      <c r="I110" s="8" t="s">
        <v>3493</v>
      </c>
      <c r="J110" s="8" t="s">
        <v>12795</v>
      </c>
      <c r="K110" t="s">
        <v>12904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8" t="s">
        <v>136</v>
      </c>
      <c r="E111" s="8" t="s">
        <v>86</v>
      </c>
      <c r="F111" s="8" t="s">
        <v>4079</v>
      </c>
      <c r="G111">
        <v>3</v>
      </c>
      <c r="H111" s="8" t="s">
        <v>2461</v>
      </c>
      <c r="I111" s="8" t="s">
        <v>3495</v>
      </c>
      <c r="J111" s="8" t="s">
        <v>12795</v>
      </c>
      <c r="K111" t="s">
        <v>12905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8" t="s">
        <v>136</v>
      </c>
      <c r="E112" s="8" t="s">
        <v>86</v>
      </c>
      <c r="F112" s="8" t="s">
        <v>165</v>
      </c>
      <c r="G112">
        <v>2</v>
      </c>
      <c r="H112" s="8" t="s">
        <v>2461</v>
      </c>
      <c r="I112" s="8" t="s">
        <v>3497</v>
      </c>
      <c r="J112" s="8" t="s">
        <v>12795</v>
      </c>
      <c r="K112" t="s">
        <v>12906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8" t="s">
        <v>136</v>
      </c>
      <c r="E113" s="8" t="s">
        <v>86</v>
      </c>
      <c r="F113" s="8" t="s">
        <v>165</v>
      </c>
      <c r="G113">
        <v>5</v>
      </c>
      <c r="H113" s="8" t="s">
        <v>2461</v>
      </c>
      <c r="I113" s="8" t="s">
        <v>3499</v>
      </c>
      <c r="J113" s="8" t="s">
        <v>12795</v>
      </c>
      <c r="K113" t="s">
        <v>12907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8" t="s">
        <v>136</v>
      </c>
      <c r="E114" s="8" t="s">
        <v>86</v>
      </c>
      <c r="F114" s="8" t="s">
        <v>165</v>
      </c>
      <c r="G114">
        <v>4</v>
      </c>
      <c r="H114" s="8" t="s">
        <v>2461</v>
      </c>
      <c r="I114" s="8" t="s">
        <v>3501</v>
      </c>
      <c r="J114" s="8" t="s">
        <v>12795</v>
      </c>
      <c r="K114" t="s">
        <v>12908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8" t="s">
        <v>136</v>
      </c>
      <c r="E115" s="8" t="s">
        <v>86</v>
      </c>
      <c r="F115" s="8" t="s">
        <v>165</v>
      </c>
      <c r="G115">
        <v>4</v>
      </c>
      <c r="H115" s="8" t="s">
        <v>2461</v>
      </c>
      <c r="I115" s="8" t="s">
        <v>3503</v>
      </c>
      <c r="J115" s="8" t="s">
        <v>12795</v>
      </c>
      <c r="K115" t="s">
        <v>12909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8" t="s">
        <v>136</v>
      </c>
      <c r="E116" s="8" t="s">
        <v>86</v>
      </c>
      <c r="F116" s="8" t="s">
        <v>60</v>
      </c>
      <c r="G116">
        <v>2</v>
      </c>
      <c r="H116" s="8" t="s">
        <v>2461</v>
      </c>
      <c r="I116" s="8" t="s">
        <v>3505</v>
      </c>
      <c r="J116" s="8" t="s">
        <v>12795</v>
      </c>
      <c r="K116" t="s">
        <v>12910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8" t="s">
        <v>136</v>
      </c>
      <c r="E117" s="8" t="s">
        <v>86</v>
      </c>
      <c r="F117" s="8" t="s">
        <v>165</v>
      </c>
      <c r="G117">
        <v>1</v>
      </c>
      <c r="H117" s="8" t="s">
        <v>2461</v>
      </c>
      <c r="I117" s="8" t="s">
        <v>3507</v>
      </c>
      <c r="J117" s="8" t="s">
        <v>12795</v>
      </c>
      <c r="K117" t="s">
        <v>12911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8" t="s">
        <v>3386</v>
      </c>
      <c r="E118" s="8" t="s">
        <v>86</v>
      </c>
      <c r="F118" s="8" t="s">
        <v>2354</v>
      </c>
      <c r="H118" s="8" t="s">
        <v>3401</v>
      </c>
      <c r="I118" s="8" t="s">
        <v>3509</v>
      </c>
      <c r="J118" s="8" t="s">
        <v>12795</v>
      </c>
      <c r="K118" t="s">
        <v>12912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8" t="s">
        <v>3386</v>
      </c>
      <c r="E119" s="8" t="s">
        <v>86</v>
      </c>
      <c r="F119" s="8" t="s">
        <v>2354</v>
      </c>
      <c r="H119" s="8" t="s">
        <v>2352</v>
      </c>
      <c r="I119" s="8" t="s">
        <v>3511</v>
      </c>
      <c r="J119" s="8" t="s">
        <v>12795</v>
      </c>
      <c r="K119" t="s">
        <v>12913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8" t="s">
        <v>136</v>
      </c>
      <c r="E120" s="8" t="s">
        <v>86</v>
      </c>
      <c r="F120" s="8" t="s">
        <v>165</v>
      </c>
      <c r="G120">
        <v>4</v>
      </c>
      <c r="H120" s="8" t="s">
        <v>2461</v>
      </c>
      <c r="I120" s="8" t="s">
        <v>3513</v>
      </c>
      <c r="J120" s="8" t="s">
        <v>12795</v>
      </c>
      <c r="K120" t="s">
        <v>12914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8" t="s">
        <v>136</v>
      </c>
      <c r="E121" s="8" t="s">
        <v>86</v>
      </c>
      <c r="F121" s="8" t="s">
        <v>165</v>
      </c>
      <c r="G121">
        <v>3</v>
      </c>
      <c r="H121" s="8" t="s">
        <v>2461</v>
      </c>
      <c r="I121" s="8" t="s">
        <v>3515</v>
      </c>
      <c r="J121" s="8" t="s">
        <v>12795</v>
      </c>
      <c r="K121" t="s">
        <v>12915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8" t="s">
        <v>136</v>
      </c>
      <c r="E122" s="8" t="s">
        <v>86</v>
      </c>
      <c r="F122" s="8" t="s">
        <v>165</v>
      </c>
      <c r="G122">
        <v>2</v>
      </c>
      <c r="H122" s="8" t="s">
        <v>2461</v>
      </c>
      <c r="I122" s="8" t="s">
        <v>3517</v>
      </c>
      <c r="J122" s="8" t="s">
        <v>12795</v>
      </c>
      <c r="K122" t="s">
        <v>12916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8" t="s">
        <v>136</v>
      </c>
      <c r="E123" s="8" t="s">
        <v>86</v>
      </c>
      <c r="F123" s="8" t="s">
        <v>165</v>
      </c>
      <c r="G123">
        <v>3</v>
      </c>
      <c r="H123" s="8" t="s">
        <v>2461</v>
      </c>
      <c r="I123" s="8" t="s">
        <v>3519</v>
      </c>
      <c r="J123" s="8" t="s">
        <v>12795</v>
      </c>
      <c r="K123" t="s">
        <v>12917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8" t="s">
        <v>136</v>
      </c>
      <c r="E124" s="8" t="s">
        <v>86</v>
      </c>
      <c r="F124" s="8" t="s">
        <v>165</v>
      </c>
      <c r="G124">
        <v>4</v>
      </c>
      <c r="H124" s="8" t="s">
        <v>2461</v>
      </c>
      <c r="I124" s="8" t="s">
        <v>3521</v>
      </c>
      <c r="J124" s="8" t="s">
        <v>12795</v>
      </c>
      <c r="K124" t="s">
        <v>12918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8" t="s">
        <v>1607</v>
      </c>
      <c r="E125" s="8"/>
      <c r="F125" s="8"/>
      <c r="H125" s="8"/>
      <c r="I125" s="8" t="s">
        <v>3523</v>
      </c>
      <c r="J125" s="8" t="s">
        <v>12795</v>
      </c>
      <c r="K125" t="s">
        <v>12919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8" t="s">
        <v>1607</v>
      </c>
      <c r="E126" s="8"/>
      <c r="F126" s="8"/>
      <c r="H126" s="8"/>
      <c r="I126" s="8" t="s">
        <v>4185</v>
      </c>
      <c r="J126" s="8" t="s">
        <v>12795</v>
      </c>
      <c r="K126" t="s">
        <v>12920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8" t="s">
        <v>4</v>
      </c>
      <c r="E127" s="8" t="s">
        <v>3358</v>
      </c>
      <c r="F127" s="8" t="s">
        <v>4070</v>
      </c>
      <c r="H127" s="8"/>
      <c r="I127" s="8" t="s">
        <v>4252</v>
      </c>
      <c r="J127" s="8" t="s">
        <v>12795</v>
      </c>
      <c r="K127" t="s">
        <v>12921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8" t="s">
        <v>4</v>
      </c>
      <c r="E128" s="8" t="s">
        <v>3358</v>
      </c>
      <c r="F128" s="8" t="s">
        <v>4070</v>
      </c>
      <c r="H128" s="8" t="s">
        <v>4390</v>
      </c>
      <c r="I128" s="8" t="s">
        <v>4242</v>
      </c>
      <c r="J128" s="8" t="s">
        <v>12795</v>
      </c>
      <c r="K128" t="s">
        <v>12922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8" t="s">
        <v>136</v>
      </c>
      <c r="E129" s="8" t="s">
        <v>86</v>
      </c>
      <c r="F129" s="8" t="s">
        <v>165</v>
      </c>
      <c r="G129">
        <v>3</v>
      </c>
      <c r="H129" s="8" t="s">
        <v>2461</v>
      </c>
      <c r="I129" s="8" t="s">
        <v>4254</v>
      </c>
      <c r="J129" s="8" t="s">
        <v>12795</v>
      </c>
      <c r="K129" t="s">
        <v>12923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8" t="s">
        <v>136</v>
      </c>
      <c r="E130" s="8" t="s">
        <v>86</v>
      </c>
      <c r="F130" s="8" t="s">
        <v>165</v>
      </c>
      <c r="G130">
        <v>4</v>
      </c>
      <c r="H130" s="8" t="s">
        <v>2461</v>
      </c>
      <c r="I130" s="8" t="s">
        <v>4256</v>
      </c>
      <c r="J130" s="8" t="s">
        <v>12795</v>
      </c>
      <c r="K130" t="s">
        <v>12924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8" t="s">
        <v>4</v>
      </c>
      <c r="E131" s="8" t="s">
        <v>4391</v>
      </c>
      <c r="F131" s="8" t="s">
        <v>4070</v>
      </c>
      <c r="H131" s="8" t="s">
        <v>4390</v>
      </c>
      <c r="I131" s="8" t="s">
        <v>4258</v>
      </c>
      <c r="J131" s="8" t="s">
        <v>12795</v>
      </c>
      <c r="K131" t="s">
        <v>12925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8" t="s">
        <v>4</v>
      </c>
      <c r="E132" s="8" t="s">
        <v>8</v>
      </c>
      <c r="F132" s="8"/>
      <c r="H132" s="8"/>
      <c r="I132" s="8" t="s">
        <v>4260</v>
      </c>
      <c r="J132" s="8" t="s">
        <v>12795</v>
      </c>
      <c r="K132" t="s">
        <v>12926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8" t="s">
        <v>3363</v>
      </c>
      <c r="E133" s="8" t="s">
        <v>86</v>
      </c>
      <c r="F133" s="8" t="s">
        <v>4920</v>
      </c>
      <c r="H133" s="8"/>
      <c r="I133" s="8" t="s">
        <v>4414</v>
      </c>
      <c r="J133" s="8" t="s">
        <v>12795</v>
      </c>
      <c r="K133" t="s">
        <v>12927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8" t="s">
        <v>1273</v>
      </c>
      <c r="E134" s="8" t="s">
        <v>3358</v>
      </c>
      <c r="F134" s="8" t="s">
        <v>4070</v>
      </c>
      <c r="H134" s="8"/>
      <c r="I134" s="8" t="s">
        <v>4416</v>
      </c>
      <c r="J134" s="8" t="s">
        <v>12795</v>
      </c>
      <c r="K134" t="s">
        <v>12928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8" t="s">
        <v>4921</v>
      </c>
      <c r="E135" s="8" t="s">
        <v>3358</v>
      </c>
      <c r="F135" s="8" t="s">
        <v>4070</v>
      </c>
      <c r="H135" s="8" t="s">
        <v>4390</v>
      </c>
      <c r="I135" s="8" t="s">
        <v>4418</v>
      </c>
      <c r="J135" s="8" t="s">
        <v>12795</v>
      </c>
      <c r="K135" t="s">
        <v>12929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8" t="s">
        <v>1273</v>
      </c>
      <c r="E136" s="8" t="s">
        <v>3358</v>
      </c>
      <c r="F136" s="8" t="s">
        <v>4070</v>
      </c>
      <c r="H136" s="8"/>
      <c r="I136" s="8" t="s">
        <v>4420</v>
      </c>
      <c r="J136" s="8" t="s">
        <v>12795</v>
      </c>
      <c r="K136" t="s">
        <v>12930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8" t="s">
        <v>4921</v>
      </c>
      <c r="E137" s="8" t="s">
        <v>3358</v>
      </c>
      <c r="F137" s="8" t="s">
        <v>4070</v>
      </c>
      <c r="H137" s="8" t="s">
        <v>4390</v>
      </c>
      <c r="I137" s="8" t="s">
        <v>4422</v>
      </c>
      <c r="J137" s="8" t="s">
        <v>12795</v>
      </c>
      <c r="K137" t="s">
        <v>12931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8" t="s">
        <v>3363</v>
      </c>
      <c r="E138" s="8" t="s">
        <v>86</v>
      </c>
      <c r="F138" s="8" t="s">
        <v>2360</v>
      </c>
      <c r="H138" s="8"/>
      <c r="I138" s="8" t="s">
        <v>4424</v>
      </c>
      <c r="J138" s="8" t="s">
        <v>12795</v>
      </c>
      <c r="K138" t="s">
        <v>12932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8" t="s">
        <v>3363</v>
      </c>
      <c r="E139" s="8" t="s">
        <v>86</v>
      </c>
      <c r="F139" s="8" t="s">
        <v>2360</v>
      </c>
      <c r="H139" s="8" t="s">
        <v>2352</v>
      </c>
      <c r="I139" s="8" t="s">
        <v>4426</v>
      </c>
      <c r="J139" s="8" t="s">
        <v>12795</v>
      </c>
      <c r="K139" t="s">
        <v>12933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8" t="s">
        <v>3363</v>
      </c>
      <c r="E140" s="8" t="s">
        <v>86</v>
      </c>
      <c r="F140" s="8" t="s">
        <v>465</v>
      </c>
      <c r="H140" s="8"/>
      <c r="I140" s="8" t="s">
        <v>4428</v>
      </c>
      <c r="J140" s="8" t="s">
        <v>12795</v>
      </c>
      <c r="K140" t="s">
        <v>12934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8" t="s">
        <v>3363</v>
      </c>
      <c r="E141" s="8" t="s">
        <v>86</v>
      </c>
      <c r="F141" s="8" t="s">
        <v>465</v>
      </c>
      <c r="H141" s="8" t="s">
        <v>2352</v>
      </c>
      <c r="I141" s="8" t="s">
        <v>4430</v>
      </c>
      <c r="J141" s="8" t="s">
        <v>12795</v>
      </c>
      <c r="K141" t="s">
        <v>12935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8" t="s">
        <v>1273</v>
      </c>
      <c r="E142" s="8" t="s">
        <v>3358</v>
      </c>
      <c r="F142" s="8" t="s">
        <v>4070</v>
      </c>
      <c r="H142" s="8"/>
      <c r="I142" s="8" t="s">
        <v>4432</v>
      </c>
      <c r="J142" s="8" t="s">
        <v>12795</v>
      </c>
      <c r="K142" t="s">
        <v>12936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8" t="s">
        <v>4921</v>
      </c>
      <c r="E143" s="8" t="s">
        <v>3358</v>
      </c>
      <c r="F143" s="8" t="s">
        <v>4070</v>
      </c>
      <c r="H143" s="8" t="s">
        <v>4390</v>
      </c>
      <c r="I143" s="8" t="s">
        <v>4434</v>
      </c>
      <c r="J143" s="8" t="s">
        <v>12795</v>
      </c>
      <c r="K143" t="s">
        <v>12937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8" t="s">
        <v>4</v>
      </c>
      <c r="E144" s="8" t="s">
        <v>8</v>
      </c>
      <c r="F144" s="8"/>
      <c r="H144" s="8"/>
      <c r="I144" s="8" t="s">
        <v>4633</v>
      </c>
      <c r="J144" s="8" t="s">
        <v>12795</v>
      </c>
      <c r="K144" t="s">
        <v>12938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8" t="s">
        <v>3363</v>
      </c>
      <c r="E145" s="8" t="s">
        <v>86</v>
      </c>
      <c r="F145" s="8" t="s">
        <v>4922</v>
      </c>
      <c r="H145" s="8"/>
      <c r="I145" s="8" t="s">
        <v>4635</v>
      </c>
      <c r="J145" s="8" t="s">
        <v>12795</v>
      </c>
      <c r="K145" t="s">
        <v>12939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8" t="s">
        <v>136</v>
      </c>
      <c r="E146" s="8" t="s">
        <v>86</v>
      </c>
      <c r="F146" s="8" t="s">
        <v>165</v>
      </c>
      <c r="G146">
        <v>3</v>
      </c>
      <c r="H146" s="8" t="s">
        <v>2461</v>
      </c>
      <c r="I146" s="8" t="s">
        <v>4637</v>
      </c>
      <c r="J146" s="8" t="s">
        <v>12795</v>
      </c>
      <c r="K146" t="s">
        <v>12940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8" t="s">
        <v>136</v>
      </c>
      <c r="E147" s="8" t="s">
        <v>86</v>
      </c>
      <c r="F147" s="8" t="s">
        <v>165</v>
      </c>
      <c r="G147">
        <v>4</v>
      </c>
      <c r="H147" s="8" t="s">
        <v>2461</v>
      </c>
      <c r="I147" s="8" t="s">
        <v>4639</v>
      </c>
      <c r="J147" s="8" t="s">
        <v>12795</v>
      </c>
      <c r="K147" t="s">
        <v>12941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8" t="s">
        <v>136</v>
      </c>
      <c r="E148" s="8" t="s">
        <v>86</v>
      </c>
      <c r="F148" s="8" t="s">
        <v>60</v>
      </c>
      <c r="G148">
        <v>2</v>
      </c>
      <c r="H148" s="8" t="s">
        <v>2461</v>
      </c>
      <c r="I148" s="8" t="s">
        <v>4641</v>
      </c>
      <c r="J148" s="8" t="s">
        <v>12795</v>
      </c>
      <c r="K148" t="s">
        <v>12942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8" t="s">
        <v>136</v>
      </c>
      <c r="E149" s="8" t="s">
        <v>86</v>
      </c>
      <c r="F149" s="8" t="s">
        <v>165</v>
      </c>
      <c r="G149">
        <v>2</v>
      </c>
      <c r="H149" s="8" t="s">
        <v>2461</v>
      </c>
      <c r="I149" s="8" t="s">
        <v>4643</v>
      </c>
      <c r="J149" s="8" t="s">
        <v>12795</v>
      </c>
      <c r="K149" t="s">
        <v>12943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8" t="s">
        <v>136</v>
      </c>
      <c r="E150" s="8" t="s">
        <v>86</v>
      </c>
      <c r="F150" s="8" t="s">
        <v>60</v>
      </c>
      <c r="G150">
        <v>3</v>
      </c>
      <c r="H150" s="8" t="s">
        <v>2461</v>
      </c>
      <c r="I150" s="8" t="s">
        <v>4645</v>
      </c>
      <c r="J150" s="8" t="s">
        <v>12795</v>
      </c>
      <c r="K150" t="s">
        <v>12944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8" t="s">
        <v>136</v>
      </c>
      <c r="E151" s="8" t="s">
        <v>86</v>
      </c>
      <c r="F151" s="8" t="s">
        <v>60</v>
      </c>
      <c r="G151">
        <v>3</v>
      </c>
      <c r="H151" s="8" t="s">
        <v>2461</v>
      </c>
      <c r="I151" s="8" t="s">
        <v>4647</v>
      </c>
      <c r="J151" s="8" t="s">
        <v>12795</v>
      </c>
      <c r="K151" t="s">
        <v>12945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8" t="s">
        <v>136</v>
      </c>
      <c r="E152" s="8" t="s">
        <v>86</v>
      </c>
      <c r="F152" s="8" t="s">
        <v>165</v>
      </c>
      <c r="G152">
        <v>2</v>
      </c>
      <c r="H152" s="8" t="s">
        <v>2461</v>
      </c>
      <c r="I152" s="8" t="s">
        <v>4649</v>
      </c>
      <c r="J152" s="8" t="s">
        <v>12795</v>
      </c>
      <c r="K152" t="s">
        <v>12946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8" t="s">
        <v>1607</v>
      </c>
      <c r="E153" s="8" t="s">
        <v>8</v>
      </c>
      <c r="F153" s="8"/>
      <c r="H153" s="8"/>
      <c r="I153" s="8" t="s">
        <v>4800</v>
      </c>
      <c r="J153" s="8" t="s">
        <v>12795</v>
      </c>
      <c r="K153" t="s">
        <v>12947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8" t="s">
        <v>1607</v>
      </c>
      <c r="E154" s="8" t="s">
        <v>8</v>
      </c>
      <c r="F154" s="8"/>
      <c r="H154" s="8"/>
      <c r="I154" s="8" t="s">
        <v>4942</v>
      </c>
      <c r="J154" s="8" t="s">
        <v>12795</v>
      </c>
      <c r="K154" t="s">
        <v>12948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8" t="s">
        <v>226</v>
      </c>
      <c r="E155" s="8" t="s">
        <v>86</v>
      </c>
      <c r="F155" s="8" t="s">
        <v>3405</v>
      </c>
      <c r="H155" s="8"/>
      <c r="I155" s="8" t="s">
        <v>5007</v>
      </c>
      <c r="J155" s="8" t="s">
        <v>12795</v>
      </c>
      <c r="K155" t="s">
        <v>12949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8" t="s">
        <v>3363</v>
      </c>
      <c r="E156" s="8" t="s">
        <v>86</v>
      </c>
      <c r="F156" s="8" t="s">
        <v>3405</v>
      </c>
      <c r="H156" s="8" t="s">
        <v>1287</v>
      </c>
      <c r="I156" s="8" t="s">
        <v>5009</v>
      </c>
      <c r="J156" s="8" t="s">
        <v>12795</v>
      </c>
      <c r="K156" t="s">
        <v>12950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8" t="s">
        <v>3363</v>
      </c>
      <c r="E157" s="8" t="s">
        <v>86</v>
      </c>
      <c r="F157" s="8" t="s">
        <v>4932</v>
      </c>
      <c r="H157" s="8" t="s">
        <v>5055</v>
      </c>
      <c r="I157" s="8" t="s">
        <v>5011</v>
      </c>
      <c r="J157" s="8" t="s">
        <v>12795</v>
      </c>
      <c r="K157" t="s">
        <v>12951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8" t="s">
        <v>1273</v>
      </c>
      <c r="E158" s="8" t="s">
        <v>3358</v>
      </c>
      <c r="F158" s="8" t="s">
        <v>4070</v>
      </c>
      <c r="H158" s="8"/>
      <c r="I158" s="8" t="s">
        <v>5013</v>
      </c>
      <c r="J158" s="8" t="s">
        <v>12795</v>
      </c>
      <c r="K158" t="s">
        <v>12952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8" t="s">
        <v>4921</v>
      </c>
      <c r="E159" s="8" t="s">
        <v>3358</v>
      </c>
      <c r="F159" s="8" t="s">
        <v>4070</v>
      </c>
      <c r="H159" s="8" t="s">
        <v>4390</v>
      </c>
      <c r="I159" s="8" t="s">
        <v>5015</v>
      </c>
      <c r="J159" s="8" t="s">
        <v>12795</v>
      </c>
      <c r="K159" t="s">
        <v>12953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8" t="s">
        <v>587</v>
      </c>
      <c r="E160" s="8" t="s">
        <v>3358</v>
      </c>
      <c r="F160" s="8" t="s">
        <v>4070</v>
      </c>
      <c r="H160" s="8"/>
      <c r="I160" s="8" t="s">
        <v>5018</v>
      </c>
      <c r="J160" s="8" t="s">
        <v>12795</v>
      </c>
      <c r="K160" t="s">
        <v>12954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8" t="s">
        <v>136</v>
      </c>
      <c r="E161" s="8" t="s">
        <v>86</v>
      </c>
      <c r="F161" s="8" t="s">
        <v>465</v>
      </c>
      <c r="G161">
        <v>1</v>
      </c>
      <c r="H161" s="8" t="s">
        <v>2461</v>
      </c>
      <c r="I161" s="8" t="s">
        <v>5020</v>
      </c>
      <c r="J161" s="8" t="s">
        <v>12795</v>
      </c>
      <c r="K161" t="s">
        <v>12955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8" t="s">
        <v>136</v>
      </c>
      <c r="E162" s="8" t="s">
        <v>86</v>
      </c>
      <c r="F162" s="8" t="s">
        <v>465</v>
      </c>
      <c r="G162">
        <v>1</v>
      </c>
      <c r="H162" s="8" t="s">
        <v>2461</v>
      </c>
      <c r="I162" s="8" t="s">
        <v>5022</v>
      </c>
      <c r="J162" s="8" t="s">
        <v>12795</v>
      </c>
      <c r="K162" t="s">
        <v>12956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8" t="s">
        <v>136</v>
      </c>
      <c r="E163" s="8" t="s">
        <v>86</v>
      </c>
      <c r="F163" s="8" t="s">
        <v>165</v>
      </c>
      <c r="G163">
        <v>1</v>
      </c>
      <c r="H163" s="8" t="s">
        <v>2461</v>
      </c>
      <c r="I163" s="8" t="s">
        <v>5024</v>
      </c>
      <c r="J163" s="8" t="s">
        <v>12795</v>
      </c>
      <c r="K163" t="s">
        <v>12957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8" t="s">
        <v>4921</v>
      </c>
      <c r="E164" s="8" t="s">
        <v>3358</v>
      </c>
      <c r="F164" s="8" t="s">
        <v>4070</v>
      </c>
      <c r="H164" s="8" t="s">
        <v>4390</v>
      </c>
      <c r="I164" s="8" t="s">
        <v>5232</v>
      </c>
      <c r="J164" s="8" t="s">
        <v>12795</v>
      </c>
      <c r="K164" t="s">
        <v>12958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8" t="s">
        <v>587</v>
      </c>
      <c r="E165" s="8" t="s">
        <v>3358</v>
      </c>
      <c r="F165" s="8" t="s">
        <v>4070</v>
      </c>
      <c r="H165" s="8"/>
      <c r="I165" s="8" t="s">
        <v>5234</v>
      </c>
      <c r="J165" s="8" t="s">
        <v>12795</v>
      </c>
      <c r="K165" t="s">
        <v>12959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8" t="s">
        <v>470</v>
      </c>
      <c r="E166" s="8" t="s">
        <v>1274</v>
      </c>
      <c r="F166" s="8" t="s">
        <v>892</v>
      </c>
      <c r="H166" s="8" t="s">
        <v>1287</v>
      </c>
      <c r="I166" s="8" t="s">
        <v>5328</v>
      </c>
      <c r="J166" s="8" t="s">
        <v>12795</v>
      </c>
      <c r="K166" t="s">
        <v>12960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8" t="s">
        <v>3386</v>
      </c>
      <c r="E167" s="8" t="s">
        <v>86</v>
      </c>
      <c r="F167" s="8" t="s">
        <v>2360</v>
      </c>
      <c r="H167" s="8" t="s">
        <v>1287</v>
      </c>
      <c r="I167" s="8" t="s">
        <v>5330</v>
      </c>
      <c r="J167" s="8" t="s">
        <v>12795</v>
      </c>
      <c r="K167" t="s">
        <v>12961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8" t="s">
        <v>3386</v>
      </c>
      <c r="E168" s="8" t="s">
        <v>86</v>
      </c>
      <c r="F168" s="8" t="s">
        <v>2360</v>
      </c>
      <c r="H168" s="8" t="s">
        <v>2352</v>
      </c>
      <c r="I168" s="8" t="s">
        <v>5332</v>
      </c>
      <c r="J168" s="8" t="s">
        <v>12795</v>
      </c>
      <c r="K168" t="s">
        <v>12962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8" t="s">
        <v>136</v>
      </c>
      <c r="E169" s="8" t="s">
        <v>86</v>
      </c>
      <c r="F169" s="8" t="s">
        <v>465</v>
      </c>
      <c r="G169">
        <v>1</v>
      </c>
      <c r="H169" s="8" t="s">
        <v>2461</v>
      </c>
      <c r="I169" s="8" t="s">
        <v>5334</v>
      </c>
      <c r="J169" s="8" t="s">
        <v>12795</v>
      </c>
      <c r="K169" t="s">
        <v>12963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8" t="s">
        <v>1273</v>
      </c>
      <c r="E170" s="8" t="s">
        <v>3358</v>
      </c>
      <c r="F170" s="8" t="s">
        <v>4070</v>
      </c>
      <c r="H170" s="8"/>
      <c r="I170" s="8" t="s">
        <v>5336</v>
      </c>
      <c r="J170" s="8" t="s">
        <v>12795</v>
      </c>
      <c r="K170" t="s">
        <v>12964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8" t="s">
        <v>4921</v>
      </c>
      <c r="E171" s="8" t="s">
        <v>3358</v>
      </c>
      <c r="F171" s="8" t="s">
        <v>4070</v>
      </c>
      <c r="H171" s="8" t="s">
        <v>4390</v>
      </c>
      <c r="I171" s="8" t="s">
        <v>5338</v>
      </c>
      <c r="J171" s="8" t="s">
        <v>12795</v>
      </c>
      <c r="K171" t="s">
        <v>12965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8" t="s">
        <v>587</v>
      </c>
      <c r="E172" s="8" t="s">
        <v>3358</v>
      </c>
      <c r="F172" s="8" t="s">
        <v>4070</v>
      </c>
      <c r="H172" s="8"/>
      <c r="I172" s="8" t="s">
        <v>5340</v>
      </c>
      <c r="J172" s="8" t="s">
        <v>12795</v>
      </c>
      <c r="K172" t="s">
        <v>12966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8" t="s">
        <v>3386</v>
      </c>
      <c r="E173" s="8" t="s">
        <v>86</v>
      </c>
      <c r="F173" s="8" t="s">
        <v>892</v>
      </c>
      <c r="H173" s="8" t="s">
        <v>3401</v>
      </c>
      <c r="I173" s="8" t="s">
        <v>5482</v>
      </c>
      <c r="J173" s="8" t="s">
        <v>12795</v>
      </c>
      <c r="K173" t="s">
        <v>12967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8" t="s">
        <v>3386</v>
      </c>
      <c r="E174" s="8" t="s">
        <v>86</v>
      </c>
      <c r="F174" s="8" t="s">
        <v>892</v>
      </c>
      <c r="H174" s="8" t="s">
        <v>3401</v>
      </c>
      <c r="I174" s="8" t="s">
        <v>5484</v>
      </c>
      <c r="J174" s="8" t="s">
        <v>12795</v>
      </c>
      <c r="K174" t="s">
        <v>12968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8" t="s">
        <v>3386</v>
      </c>
      <c r="E175" s="8" t="s">
        <v>86</v>
      </c>
      <c r="F175" s="8" t="s">
        <v>892</v>
      </c>
      <c r="H175" s="8" t="s">
        <v>3401</v>
      </c>
      <c r="I175" s="8" t="s">
        <v>5486</v>
      </c>
      <c r="J175" s="8" t="s">
        <v>12795</v>
      </c>
      <c r="K175" t="s">
        <v>12969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8" t="s">
        <v>3386</v>
      </c>
      <c r="E176" s="8" t="s">
        <v>86</v>
      </c>
      <c r="F176" s="8" t="s">
        <v>892</v>
      </c>
      <c r="H176" s="8" t="s">
        <v>3401</v>
      </c>
      <c r="I176" s="8" t="s">
        <v>5488</v>
      </c>
      <c r="J176" s="8" t="s">
        <v>12795</v>
      </c>
      <c r="K176" t="s">
        <v>12970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8" t="s">
        <v>3386</v>
      </c>
      <c r="E177" s="8" t="s">
        <v>86</v>
      </c>
      <c r="F177" s="8" t="s">
        <v>892</v>
      </c>
      <c r="H177" s="8" t="s">
        <v>3401</v>
      </c>
      <c r="I177" s="8" t="s">
        <v>5490</v>
      </c>
      <c r="J177" s="8" t="s">
        <v>12795</v>
      </c>
      <c r="K177" t="s">
        <v>12971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8" t="s">
        <v>3386</v>
      </c>
      <c r="E178" s="8" t="s">
        <v>86</v>
      </c>
      <c r="F178" s="8" t="s">
        <v>892</v>
      </c>
      <c r="H178" s="8" t="s">
        <v>3401</v>
      </c>
      <c r="I178" s="8" t="s">
        <v>5492</v>
      </c>
      <c r="J178" s="8" t="s">
        <v>12795</v>
      </c>
      <c r="K178" t="s">
        <v>12972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8" t="s">
        <v>1607</v>
      </c>
      <c r="E179" s="8" t="s">
        <v>8</v>
      </c>
      <c r="F179" s="8"/>
      <c r="H179" s="8"/>
      <c r="I179" s="8" t="s">
        <v>5494</v>
      </c>
      <c r="J179" s="8" t="s">
        <v>12795</v>
      </c>
      <c r="K179" t="s">
        <v>12973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8" t="s">
        <v>1607</v>
      </c>
      <c r="E180" s="8" t="s">
        <v>8</v>
      </c>
      <c r="F180" s="8"/>
      <c r="H180" s="8"/>
      <c r="I180" s="8" t="s">
        <v>5705</v>
      </c>
      <c r="J180" s="8" t="s">
        <v>12795</v>
      </c>
      <c r="K180" t="s">
        <v>12974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8" t="s">
        <v>1273</v>
      </c>
      <c r="E181" s="8" t="s">
        <v>3358</v>
      </c>
      <c r="F181" s="8" t="s">
        <v>4070</v>
      </c>
      <c r="H181" s="8"/>
      <c r="I181" s="8" t="s">
        <v>5737</v>
      </c>
      <c r="J181" s="8" t="s">
        <v>12795</v>
      </c>
      <c r="K181" t="s">
        <v>12975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8" t="s">
        <v>587</v>
      </c>
      <c r="E182" s="8" t="s">
        <v>3358</v>
      </c>
      <c r="F182" s="8" t="s">
        <v>4070</v>
      </c>
      <c r="H182" s="8"/>
      <c r="I182" s="8" t="s">
        <v>5739</v>
      </c>
      <c r="J182" s="8" t="s">
        <v>12795</v>
      </c>
      <c r="K182" t="s">
        <v>12976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8" t="s">
        <v>1607</v>
      </c>
      <c r="E183" s="8" t="s">
        <v>8</v>
      </c>
      <c r="F183" s="8"/>
      <c r="H183" s="8"/>
      <c r="I183" s="8" t="s">
        <v>5741</v>
      </c>
      <c r="J183" s="8" t="s">
        <v>12795</v>
      </c>
      <c r="K183" t="s">
        <v>12977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8" t="s">
        <v>1607</v>
      </c>
      <c r="E184" s="8" t="s">
        <v>8</v>
      </c>
      <c r="F184" s="8"/>
      <c r="H184" s="8"/>
      <c r="I184" s="8" t="s">
        <v>5925</v>
      </c>
      <c r="J184" s="8" t="s">
        <v>12795</v>
      </c>
      <c r="K184" t="s">
        <v>12978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8" t="s">
        <v>1607</v>
      </c>
      <c r="E185" s="8" t="s">
        <v>8</v>
      </c>
      <c r="F185" s="8"/>
      <c r="H185" s="8"/>
      <c r="I185" s="8" t="s">
        <v>5927</v>
      </c>
      <c r="J185" s="8" t="s">
        <v>12795</v>
      </c>
      <c r="K185" t="s">
        <v>12979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8" t="s">
        <v>1607</v>
      </c>
      <c r="E186" s="8" t="s">
        <v>8</v>
      </c>
      <c r="F186" s="8"/>
      <c r="H186" s="8"/>
      <c r="I186" s="8" t="s">
        <v>6168</v>
      </c>
      <c r="J186" s="8" t="s">
        <v>12795</v>
      </c>
      <c r="K186" t="s">
        <v>12980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8" t="s">
        <v>1273</v>
      </c>
      <c r="E187" s="8" t="s">
        <v>3358</v>
      </c>
      <c r="F187" s="8" t="s">
        <v>4070</v>
      </c>
      <c r="H187" s="8"/>
      <c r="I187" s="8" t="s">
        <v>6300</v>
      </c>
      <c r="J187" s="8" t="s">
        <v>12795</v>
      </c>
      <c r="K187" t="s">
        <v>12981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8" t="s">
        <v>4921</v>
      </c>
      <c r="E188" s="8" t="s">
        <v>3358</v>
      </c>
      <c r="F188" s="8" t="s">
        <v>4070</v>
      </c>
      <c r="H188" s="8" t="s">
        <v>4390</v>
      </c>
      <c r="I188" s="8" t="s">
        <v>6302</v>
      </c>
      <c r="J188" s="8" t="s">
        <v>12795</v>
      </c>
      <c r="K188" t="s">
        <v>12982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8" t="s">
        <v>587</v>
      </c>
      <c r="E189" s="8" t="s">
        <v>3358</v>
      </c>
      <c r="F189" s="8" t="s">
        <v>4070</v>
      </c>
      <c r="H189" s="8"/>
      <c r="I189" s="8" t="s">
        <v>6304</v>
      </c>
      <c r="J189" s="8" t="s">
        <v>12795</v>
      </c>
      <c r="K189" t="s">
        <v>12983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8" t="s">
        <v>6436</v>
      </c>
      <c r="E190" s="8" t="s">
        <v>5045</v>
      </c>
      <c r="F190" s="8" t="s">
        <v>4070</v>
      </c>
      <c r="H190" s="8"/>
      <c r="I190" s="8" t="s">
        <v>6306</v>
      </c>
      <c r="J190" s="8" t="s">
        <v>12795</v>
      </c>
      <c r="K190" t="s">
        <v>12984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8" t="s">
        <v>1273</v>
      </c>
      <c r="E191" s="8" t="s">
        <v>3358</v>
      </c>
      <c r="F191" s="8" t="s">
        <v>4070</v>
      </c>
      <c r="H191" s="8"/>
      <c r="I191" s="8" t="s">
        <v>6308</v>
      </c>
      <c r="J191" s="8" t="s">
        <v>12795</v>
      </c>
      <c r="K191" t="s">
        <v>12985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8" t="s">
        <v>587</v>
      </c>
      <c r="E192" s="8" t="s">
        <v>3358</v>
      </c>
      <c r="F192" s="8" t="s">
        <v>4070</v>
      </c>
      <c r="H192" s="8"/>
      <c r="I192" s="8" t="s">
        <v>6310</v>
      </c>
      <c r="J192" s="8" t="s">
        <v>12795</v>
      </c>
      <c r="K192" t="s">
        <v>12986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8" t="s">
        <v>470</v>
      </c>
      <c r="E193" s="8" t="s">
        <v>468</v>
      </c>
      <c r="F193" s="8" t="s">
        <v>1288</v>
      </c>
      <c r="H193" s="8" t="s">
        <v>1287</v>
      </c>
      <c r="I193" s="8" t="s">
        <v>6464</v>
      </c>
      <c r="J193" s="8" t="s">
        <v>12795</v>
      </c>
      <c r="K193" t="s">
        <v>12987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8" t="s">
        <v>1607</v>
      </c>
      <c r="E194" s="8" t="s">
        <v>8</v>
      </c>
      <c r="F194" s="8"/>
      <c r="H194" s="8"/>
      <c r="I194" s="8" t="s">
        <v>6466</v>
      </c>
      <c r="J194" s="8" t="s">
        <v>12795</v>
      </c>
      <c r="K194" t="s">
        <v>12988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8" t="s">
        <v>1607</v>
      </c>
      <c r="E195" s="8" t="s">
        <v>8</v>
      </c>
      <c r="F195" s="8"/>
      <c r="H195" s="8"/>
      <c r="I195" s="8" t="s">
        <v>6468</v>
      </c>
      <c r="J195" s="8" t="s">
        <v>12795</v>
      </c>
      <c r="K195" t="s">
        <v>12989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8" t="s">
        <v>1607</v>
      </c>
      <c r="E196" s="8" t="s">
        <v>8</v>
      </c>
      <c r="F196" s="8"/>
      <c r="H196" s="8"/>
      <c r="I196" s="8" t="s">
        <v>6470</v>
      </c>
      <c r="J196" s="8" t="s">
        <v>12795</v>
      </c>
      <c r="K196" t="s">
        <v>12990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8" t="s">
        <v>1607</v>
      </c>
      <c r="E197" s="8" t="s">
        <v>8</v>
      </c>
      <c r="F197" s="8"/>
      <c r="H197" s="8"/>
      <c r="I197" s="8" t="s">
        <v>6690</v>
      </c>
      <c r="J197" s="8" t="s">
        <v>12795</v>
      </c>
      <c r="K197" t="s">
        <v>12991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8" t="s">
        <v>1607</v>
      </c>
      <c r="E198" s="8" t="s">
        <v>8</v>
      </c>
      <c r="F198" s="8"/>
      <c r="H198" s="8"/>
      <c r="I198" s="8" t="s">
        <v>6692</v>
      </c>
      <c r="J198" s="8" t="s">
        <v>12795</v>
      </c>
      <c r="K198" t="s">
        <v>12992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8" t="s">
        <v>1607</v>
      </c>
      <c r="E199" s="8" t="s">
        <v>8</v>
      </c>
      <c r="F199" s="8"/>
      <c r="H199" s="8"/>
      <c r="I199" s="8" t="s">
        <v>6694</v>
      </c>
      <c r="J199" s="8" t="s">
        <v>12795</v>
      </c>
      <c r="K199" t="s">
        <v>12993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8" t="s">
        <v>1607</v>
      </c>
      <c r="E200" s="8" t="s">
        <v>8</v>
      </c>
      <c r="F200" s="8"/>
      <c r="H200" s="8"/>
      <c r="I200" s="8" t="s">
        <v>6789</v>
      </c>
      <c r="J200" s="8" t="s">
        <v>12795</v>
      </c>
      <c r="K200" t="s">
        <v>12994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8" t="s">
        <v>1607</v>
      </c>
      <c r="E201" s="8" t="s">
        <v>8</v>
      </c>
      <c r="F201" s="8"/>
      <c r="H201" s="8"/>
      <c r="I201" s="8" t="s">
        <v>6791</v>
      </c>
      <c r="J201" s="8" t="s">
        <v>12795</v>
      </c>
      <c r="K201" t="s">
        <v>12995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8" t="s">
        <v>1607</v>
      </c>
      <c r="E202" s="8" t="s">
        <v>8</v>
      </c>
      <c r="F202" s="8"/>
      <c r="H202" s="8"/>
      <c r="I202" s="8" t="s">
        <v>6793</v>
      </c>
      <c r="J202" s="8" t="s">
        <v>12795</v>
      </c>
      <c r="K202" t="s">
        <v>12996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8" t="s">
        <v>1607</v>
      </c>
      <c r="E203" s="8" t="s">
        <v>8</v>
      </c>
      <c r="F203" s="8"/>
      <c r="H203" s="8"/>
      <c r="I203" s="8" t="s">
        <v>6795</v>
      </c>
      <c r="J203" s="8" t="s">
        <v>12795</v>
      </c>
      <c r="K203" t="s">
        <v>12997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8" t="s">
        <v>1607</v>
      </c>
      <c r="E204" s="8" t="s">
        <v>8</v>
      </c>
      <c r="F204" s="8"/>
      <c r="H204" s="8"/>
      <c r="I204" s="8" t="s">
        <v>6797</v>
      </c>
      <c r="J204" s="8" t="s">
        <v>12795</v>
      </c>
      <c r="K204" t="s">
        <v>12998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8" t="s">
        <v>1607</v>
      </c>
      <c r="E205" s="8" t="s">
        <v>8</v>
      </c>
      <c r="F205" s="8"/>
      <c r="H205" s="8"/>
      <c r="I205" s="8" t="s">
        <v>6799</v>
      </c>
      <c r="J205" s="8" t="s">
        <v>12795</v>
      </c>
      <c r="K205" t="s">
        <v>12999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8" t="s">
        <v>1607</v>
      </c>
      <c r="E206" s="8" t="s">
        <v>8</v>
      </c>
      <c r="F206" s="8"/>
      <c r="H206" s="8"/>
      <c r="I206" s="8" t="s">
        <v>6801</v>
      </c>
      <c r="J206" s="8" t="s">
        <v>12795</v>
      </c>
      <c r="K206" t="s">
        <v>13000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8" t="s">
        <v>3386</v>
      </c>
      <c r="E207" s="8" t="s">
        <v>86</v>
      </c>
      <c r="F207" s="8" t="s">
        <v>3405</v>
      </c>
      <c r="H207" s="8" t="s">
        <v>1287</v>
      </c>
      <c r="I207" s="8" t="s">
        <v>7070</v>
      </c>
      <c r="J207" s="8" t="s">
        <v>12795</v>
      </c>
      <c r="K207" t="s">
        <v>13001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8" t="s">
        <v>3386</v>
      </c>
      <c r="E208" s="8" t="s">
        <v>86</v>
      </c>
      <c r="F208" s="8" t="s">
        <v>3405</v>
      </c>
      <c r="H208" s="8" t="s">
        <v>3401</v>
      </c>
      <c r="I208" s="8" t="s">
        <v>7072</v>
      </c>
      <c r="J208" s="8" t="s">
        <v>12795</v>
      </c>
      <c r="K208" t="s">
        <v>13002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8" t="s">
        <v>136</v>
      </c>
      <c r="E209" s="8" t="s">
        <v>86</v>
      </c>
      <c r="F209" s="8" t="s">
        <v>60</v>
      </c>
      <c r="G209">
        <v>3</v>
      </c>
      <c r="H209" s="8" t="s">
        <v>2461</v>
      </c>
      <c r="I209" s="8" t="s">
        <v>7074</v>
      </c>
      <c r="J209" s="8" t="s">
        <v>12795</v>
      </c>
      <c r="K209" t="s">
        <v>13003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8" t="s">
        <v>136</v>
      </c>
      <c r="E210" s="8" t="s">
        <v>86</v>
      </c>
      <c r="F210" s="8" t="s">
        <v>60</v>
      </c>
      <c r="G210">
        <v>2</v>
      </c>
      <c r="H210" s="8" t="s">
        <v>2461</v>
      </c>
      <c r="I210" s="8" t="s">
        <v>7076</v>
      </c>
      <c r="J210" s="8" t="s">
        <v>12795</v>
      </c>
      <c r="K210" t="s">
        <v>13004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8" t="s">
        <v>136</v>
      </c>
      <c r="E211" s="8" t="s">
        <v>86</v>
      </c>
      <c r="F211" s="8" t="s">
        <v>60</v>
      </c>
      <c r="G211">
        <v>1</v>
      </c>
      <c r="H211" s="8" t="s">
        <v>2461</v>
      </c>
      <c r="I211" s="8" t="s">
        <v>7078</v>
      </c>
      <c r="J211" s="8" t="s">
        <v>12795</v>
      </c>
      <c r="K211" t="s">
        <v>13005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8" t="s">
        <v>3386</v>
      </c>
      <c r="E212" s="8" t="s">
        <v>86</v>
      </c>
      <c r="F212" s="8" t="s">
        <v>7343</v>
      </c>
      <c r="H212" s="8" t="s">
        <v>1287</v>
      </c>
      <c r="I212" s="8" t="s">
        <v>7080</v>
      </c>
      <c r="J212" s="8" t="s">
        <v>12795</v>
      </c>
      <c r="K212" t="s">
        <v>13006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8" t="s">
        <v>3386</v>
      </c>
      <c r="E213" s="8" t="s">
        <v>86</v>
      </c>
      <c r="F213" s="8" t="s">
        <v>7343</v>
      </c>
      <c r="H213" s="8" t="s">
        <v>2352</v>
      </c>
      <c r="I213" s="8" t="s">
        <v>7082</v>
      </c>
      <c r="J213" s="8" t="s">
        <v>12795</v>
      </c>
      <c r="K213" t="s">
        <v>13007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8" t="s">
        <v>136</v>
      </c>
      <c r="E214" s="8" t="s">
        <v>86</v>
      </c>
      <c r="F214" s="8" t="s">
        <v>60</v>
      </c>
      <c r="G214">
        <v>1</v>
      </c>
      <c r="H214" s="8" t="s">
        <v>2461</v>
      </c>
      <c r="I214" s="8" t="s">
        <v>7084</v>
      </c>
      <c r="J214" s="8" t="s">
        <v>12795</v>
      </c>
      <c r="K214" t="s">
        <v>13008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8" t="s">
        <v>1273</v>
      </c>
      <c r="E215" s="8" t="s">
        <v>3358</v>
      </c>
      <c r="F215" s="8"/>
      <c r="H215" s="8"/>
      <c r="I215" s="8" t="s">
        <v>7367</v>
      </c>
      <c r="J215" s="8" t="s">
        <v>12795</v>
      </c>
      <c r="K215" t="s">
        <v>13009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8" t="s">
        <v>7462</v>
      </c>
      <c r="E216" s="8" t="s">
        <v>3358</v>
      </c>
      <c r="F216" s="8"/>
      <c r="H216" s="8"/>
      <c r="I216" s="8" t="s">
        <v>7369</v>
      </c>
      <c r="J216" s="8" t="s">
        <v>12795</v>
      </c>
      <c r="K216" t="s">
        <v>13010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8" t="s">
        <v>7462</v>
      </c>
      <c r="E217" s="8" t="s">
        <v>3358</v>
      </c>
      <c r="F217" s="8"/>
      <c r="H217" s="8" t="s">
        <v>7463</v>
      </c>
      <c r="I217" s="8" t="s">
        <v>7371</v>
      </c>
      <c r="J217" s="8" t="s">
        <v>12795</v>
      </c>
      <c r="K217" t="s">
        <v>13011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8" t="s">
        <v>7462</v>
      </c>
      <c r="E218" s="8" t="s">
        <v>3358</v>
      </c>
      <c r="F218" s="8" t="s">
        <v>7464</v>
      </c>
      <c r="H218" s="8" t="s">
        <v>7465</v>
      </c>
      <c r="I218" s="8" t="s">
        <v>7373</v>
      </c>
      <c r="J218" s="8" t="s">
        <v>12795</v>
      </c>
      <c r="K218" t="s">
        <v>13012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8" t="s">
        <v>587</v>
      </c>
      <c r="E219" s="8" t="s">
        <v>3358</v>
      </c>
      <c r="F219" s="8"/>
      <c r="H219" s="8"/>
      <c r="I219" s="8" t="s">
        <v>7375</v>
      </c>
      <c r="J219" s="8" t="s">
        <v>12795</v>
      </c>
      <c r="K219" t="s">
        <v>13013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8" t="s">
        <v>1607</v>
      </c>
      <c r="E220" s="8" t="s">
        <v>8</v>
      </c>
      <c r="F220" s="8"/>
      <c r="H220" s="8"/>
      <c r="I220" s="8" t="s">
        <v>7377</v>
      </c>
      <c r="J220" s="8" t="s">
        <v>12795</v>
      </c>
      <c r="K220" t="s">
        <v>13014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8" t="s">
        <v>470</v>
      </c>
      <c r="E221" s="8" t="s">
        <v>468</v>
      </c>
      <c r="F221" s="8" t="s">
        <v>2345</v>
      </c>
      <c r="H221" s="8"/>
      <c r="I221" s="8" t="s">
        <v>7379</v>
      </c>
      <c r="J221" s="8" t="s">
        <v>12795</v>
      </c>
      <c r="K221" t="s">
        <v>13015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8" t="s">
        <v>470</v>
      </c>
      <c r="E222" s="8" t="s">
        <v>468</v>
      </c>
      <c r="F222" s="8" t="s">
        <v>2345</v>
      </c>
      <c r="H222" s="8" t="s">
        <v>2352</v>
      </c>
      <c r="I222" s="8" t="s">
        <v>7381</v>
      </c>
      <c r="J222" s="8" t="s">
        <v>12795</v>
      </c>
      <c r="K222" t="s">
        <v>13016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8" t="s">
        <v>7466</v>
      </c>
      <c r="E223" s="8" t="s">
        <v>7467</v>
      </c>
      <c r="F223" s="8"/>
      <c r="H223" s="8" t="s">
        <v>5216</v>
      </c>
      <c r="I223" s="8" t="s">
        <v>7383</v>
      </c>
      <c r="J223" s="8" t="s">
        <v>12795</v>
      </c>
      <c r="K223" t="s">
        <v>13017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8" t="s">
        <v>1273</v>
      </c>
      <c r="E224" s="8" t="s">
        <v>5310</v>
      </c>
      <c r="F224" s="8" t="s">
        <v>51</v>
      </c>
      <c r="H224" s="8"/>
      <c r="I224" s="8" t="s">
        <v>7651</v>
      </c>
      <c r="J224" s="8" t="s">
        <v>12795</v>
      </c>
      <c r="K224" t="s">
        <v>13018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8" t="s">
        <v>587</v>
      </c>
      <c r="E225" s="8" t="s">
        <v>5310</v>
      </c>
      <c r="F225" s="8" t="s">
        <v>3405</v>
      </c>
      <c r="H225" s="8"/>
      <c r="I225" s="8" t="s">
        <v>7653</v>
      </c>
      <c r="J225" s="8" t="s">
        <v>12795</v>
      </c>
      <c r="K225" t="s">
        <v>13019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8" t="s">
        <v>1273</v>
      </c>
      <c r="E226" s="8" t="s">
        <v>5310</v>
      </c>
      <c r="F226" s="8" t="s">
        <v>51</v>
      </c>
      <c r="H226" s="8"/>
      <c r="I226" s="8" t="s">
        <v>7655</v>
      </c>
      <c r="J226" s="8" t="s">
        <v>12795</v>
      </c>
      <c r="K226" t="s">
        <v>13020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8" t="s">
        <v>587</v>
      </c>
      <c r="E227" s="8" t="s">
        <v>5310</v>
      </c>
      <c r="F227" s="8" t="s">
        <v>7738</v>
      </c>
      <c r="H227" s="8"/>
      <c r="I227" s="8" t="s">
        <v>7657</v>
      </c>
      <c r="J227" s="8" t="s">
        <v>12795</v>
      </c>
      <c r="K227" t="s">
        <v>13021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8" t="s">
        <v>1607</v>
      </c>
      <c r="E228" s="8" t="s">
        <v>8</v>
      </c>
      <c r="F228" s="8"/>
      <c r="H228" s="8"/>
      <c r="I228" s="8" t="s">
        <v>7659</v>
      </c>
      <c r="J228" s="8" t="s">
        <v>12795</v>
      </c>
      <c r="K228" t="s">
        <v>13022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8" t="s">
        <v>1607</v>
      </c>
      <c r="E229" s="8" t="s">
        <v>8</v>
      </c>
      <c r="F229" s="8"/>
      <c r="H229" s="8"/>
      <c r="I229" s="8" t="s">
        <v>7766</v>
      </c>
      <c r="J229" s="8" t="s">
        <v>12795</v>
      </c>
      <c r="K229" t="s">
        <v>13023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8" t="s">
        <v>1607</v>
      </c>
      <c r="E230" s="8" t="s">
        <v>8</v>
      </c>
      <c r="F230" s="8"/>
      <c r="H230" s="8"/>
      <c r="I230" s="8" t="s">
        <v>7768</v>
      </c>
      <c r="J230" s="8" t="s">
        <v>12795</v>
      </c>
      <c r="K230" t="s">
        <v>13024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8" t="s">
        <v>1273</v>
      </c>
      <c r="E231" s="8" t="s">
        <v>8099</v>
      </c>
      <c r="F231" s="8"/>
      <c r="H231" s="8" t="s">
        <v>4390</v>
      </c>
      <c r="I231" s="8" t="s">
        <v>7926</v>
      </c>
      <c r="J231" s="8" t="s">
        <v>12795</v>
      </c>
      <c r="K231" t="s">
        <v>13025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8" t="s">
        <v>587</v>
      </c>
      <c r="E232" s="8" t="s">
        <v>8099</v>
      </c>
      <c r="F232" s="8"/>
      <c r="H232" s="8"/>
      <c r="I232" s="8" t="s">
        <v>7928</v>
      </c>
      <c r="J232" s="8" t="s">
        <v>12795</v>
      </c>
      <c r="K232" t="s">
        <v>13026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8" t="s">
        <v>1273</v>
      </c>
      <c r="E233" s="8" t="s">
        <v>3358</v>
      </c>
      <c r="F233" s="8"/>
      <c r="H233" s="8" t="s">
        <v>4390</v>
      </c>
      <c r="I233" s="8" t="s">
        <v>7930</v>
      </c>
      <c r="J233" s="8" t="s">
        <v>12795</v>
      </c>
      <c r="K233" t="s">
        <v>13027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8" t="s">
        <v>587</v>
      </c>
      <c r="E234" s="8" t="s">
        <v>3358</v>
      </c>
      <c r="F234" s="8"/>
      <c r="H234" s="8"/>
      <c r="I234" s="8" t="s">
        <v>7932</v>
      </c>
      <c r="J234" s="8" t="s">
        <v>12795</v>
      </c>
      <c r="K234" t="s">
        <v>13028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8" t="s">
        <v>1273</v>
      </c>
      <c r="E235" s="8" t="s">
        <v>8118</v>
      </c>
      <c r="F235" s="8" t="s">
        <v>4070</v>
      </c>
      <c r="H235" s="8"/>
      <c r="I235" s="8" t="s">
        <v>8120</v>
      </c>
      <c r="J235" s="8" t="s">
        <v>12795</v>
      </c>
      <c r="K235" t="s">
        <v>13029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8" t="s">
        <v>4921</v>
      </c>
      <c r="E236" s="8" t="s">
        <v>8118</v>
      </c>
      <c r="F236" s="8" t="s">
        <v>4070</v>
      </c>
      <c r="H236" s="8" t="s">
        <v>4390</v>
      </c>
      <c r="I236" s="8" t="s">
        <v>8122</v>
      </c>
      <c r="J236" s="8" t="s">
        <v>12795</v>
      </c>
      <c r="K236" t="s">
        <v>13030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8" t="s">
        <v>587</v>
      </c>
      <c r="E237" s="8" t="s">
        <v>8118</v>
      </c>
      <c r="F237" s="8" t="s">
        <v>4070</v>
      </c>
      <c r="H237" s="8"/>
      <c r="I237" s="8" t="s">
        <v>8124</v>
      </c>
      <c r="J237" s="8" t="s">
        <v>12795</v>
      </c>
      <c r="K237" t="s">
        <v>13031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8" t="s">
        <v>1607</v>
      </c>
      <c r="E238" s="8" t="s">
        <v>8</v>
      </c>
      <c r="F238" s="8"/>
      <c r="H238" s="8"/>
      <c r="I238" s="8" t="s">
        <v>8375</v>
      </c>
      <c r="J238" s="8" t="s">
        <v>12795</v>
      </c>
      <c r="K238" t="s">
        <v>13032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8" t="s">
        <v>1607</v>
      </c>
      <c r="E239" s="8" t="s">
        <v>8</v>
      </c>
      <c r="F239" s="8"/>
      <c r="H239" s="8"/>
      <c r="I239" s="8" t="s">
        <v>8377</v>
      </c>
      <c r="J239" s="8" t="s">
        <v>12795</v>
      </c>
      <c r="K239" t="s">
        <v>13033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8" t="s">
        <v>1607</v>
      </c>
      <c r="E240" s="8" t="s">
        <v>8</v>
      </c>
      <c r="F240" s="8"/>
      <c r="H240" s="8"/>
      <c r="I240" s="8" t="s">
        <v>8442</v>
      </c>
      <c r="J240" s="8" t="s">
        <v>12795</v>
      </c>
      <c r="K240" t="s">
        <v>13034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8" t="s">
        <v>1607</v>
      </c>
      <c r="E241" s="8" t="s">
        <v>8</v>
      </c>
      <c r="F241" s="8"/>
      <c r="H241" s="8"/>
      <c r="I241" s="8" t="s">
        <v>8444</v>
      </c>
      <c r="J241" s="8" t="s">
        <v>12795</v>
      </c>
      <c r="K241" t="s">
        <v>13035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8" t="s">
        <v>136</v>
      </c>
      <c r="E242" s="8" t="s">
        <v>1274</v>
      </c>
      <c r="F242" s="8" t="s">
        <v>2345</v>
      </c>
      <c r="G242">
        <v>1</v>
      </c>
      <c r="H242" s="8" t="s">
        <v>2461</v>
      </c>
      <c r="I242" s="8" t="s">
        <v>8531</v>
      </c>
      <c r="J242" s="8" t="s">
        <v>12795</v>
      </c>
      <c r="K242" t="s">
        <v>13036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8" t="s">
        <v>136</v>
      </c>
      <c r="E243" s="8" t="s">
        <v>1274</v>
      </c>
      <c r="F243" s="8" t="s">
        <v>2345</v>
      </c>
      <c r="G243">
        <v>1</v>
      </c>
      <c r="H243" s="8" t="s">
        <v>2461</v>
      </c>
      <c r="I243" s="8" t="s">
        <v>8533</v>
      </c>
      <c r="J243" s="8" t="s">
        <v>12795</v>
      </c>
      <c r="K243" t="s">
        <v>13037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8" t="s">
        <v>136</v>
      </c>
      <c r="E244" s="8" t="s">
        <v>1274</v>
      </c>
      <c r="F244" s="8" t="s">
        <v>2345</v>
      </c>
      <c r="G244">
        <v>1</v>
      </c>
      <c r="H244" s="8" t="s">
        <v>2461</v>
      </c>
      <c r="I244" s="8" t="s">
        <v>8535</v>
      </c>
      <c r="J244" s="8" t="s">
        <v>12795</v>
      </c>
      <c r="K244" t="s">
        <v>13038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8" t="s">
        <v>136</v>
      </c>
      <c r="E245" s="8" t="s">
        <v>1274</v>
      </c>
      <c r="F245" s="8" t="s">
        <v>2345</v>
      </c>
      <c r="G245">
        <v>1</v>
      </c>
      <c r="H245" s="8" t="s">
        <v>2461</v>
      </c>
      <c r="I245" s="8" t="s">
        <v>8537</v>
      </c>
      <c r="J245" s="8" t="s">
        <v>12795</v>
      </c>
      <c r="K245" t="s">
        <v>13039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8" t="s">
        <v>226</v>
      </c>
      <c r="E246" s="8" t="s">
        <v>8714</v>
      </c>
      <c r="F246" s="8" t="s">
        <v>2345</v>
      </c>
      <c r="G246">
        <v>1</v>
      </c>
      <c r="H246" s="8"/>
      <c r="I246" s="8" t="s">
        <v>8539</v>
      </c>
      <c r="J246" s="8" t="s">
        <v>12795</v>
      </c>
      <c r="K246" t="s">
        <v>13040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8" t="s">
        <v>226</v>
      </c>
      <c r="E247" s="8" t="s">
        <v>8714</v>
      </c>
      <c r="F247" s="8" t="s">
        <v>2345</v>
      </c>
      <c r="G247">
        <v>1</v>
      </c>
      <c r="H247" s="8" t="s">
        <v>2352</v>
      </c>
      <c r="I247" s="8" t="s">
        <v>8542</v>
      </c>
      <c r="J247" s="8" t="s">
        <v>12795</v>
      </c>
      <c r="K247" t="s">
        <v>13041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8" t="s">
        <v>226</v>
      </c>
      <c r="E248" s="8" t="s">
        <v>8714</v>
      </c>
      <c r="F248" s="8" t="s">
        <v>2345</v>
      </c>
      <c r="G248">
        <v>1</v>
      </c>
      <c r="H248" s="8" t="s">
        <v>2352</v>
      </c>
      <c r="I248" s="8" t="s">
        <v>8545</v>
      </c>
      <c r="J248" s="8" t="s">
        <v>12795</v>
      </c>
      <c r="K248" t="s">
        <v>13042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8" t="s">
        <v>226</v>
      </c>
      <c r="E249" s="8" t="s">
        <v>8714</v>
      </c>
      <c r="F249" s="8" t="s">
        <v>2345</v>
      </c>
      <c r="G249">
        <v>1</v>
      </c>
      <c r="H249" s="8" t="s">
        <v>2352</v>
      </c>
      <c r="I249" s="8" t="s">
        <v>8548</v>
      </c>
      <c r="J249" s="8" t="s">
        <v>12795</v>
      </c>
      <c r="K249" t="s">
        <v>13043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8" t="s">
        <v>587</v>
      </c>
      <c r="E250" s="8" t="s">
        <v>8714</v>
      </c>
      <c r="F250" s="8" t="s">
        <v>58</v>
      </c>
      <c r="H250" s="8" t="s">
        <v>7461</v>
      </c>
      <c r="I250" s="8" t="s">
        <v>8551</v>
      </c>
      <c r="J250" s="8" t="s">
        <v>12795</v>
      </c>
      <c r="K250" t="s">
        <v>13044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8" t="s">
        <v>136</v>
      </c>
      <c r="E251" s="8" t="s">
        <v>1274</v>
      </c>
      <c r="F251" s="8" t="s">
        <v>2345</v>
      </c>
      <c r="G251">
        <v>1</v>
      </c>
      <c r="H251" s="8" t="s">
        <v>2461</v>
      </c>
      <c r="I251" s="8" t="s">
        <v>8553</v>
      </c>
      <c r="J251" s="8" t="s">
        <v>12795</v>
      </c>
      <c r="K251" t="s">
        <v>13045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8" t="s">
        <v>136</v>
      </c>
      <c r="E252" s="8" t="s">
        <v>1274</v>
      </c>
      <c r="F252" s="8" t="s">
        <v>2345</v>
      </c>
      <c r="G252">
        <v>2</v>
      </c>
      <c r="H252" s="8" t="s">
        <v>2461</v>
      </c>
      <c r="I252" s="8" t="s">
        <v>8555</v>
      </c>
      <c r="J252" s="8" t="s">
        <v>12795</v>
      </c>
      <c r="K252" t="s">
        <v>13046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8" t="s">
        <v>136</v>
      </c>
      <c r="E253" s="8" t="s">
        <v>1274</v>
      </c>
      <c r="F253" s="8" t="s">
        <v>2345</v>
      </c>
      <c r="G253">
        <v>2</v>
      </c>
      <c r="H253" s="8" t="s">
        <v>2461</v>
      </c>
      <c r="I253" s="8" t="s">
        <v>8557</v>
      </c>
      <c r="J253" s="8" t="s">
        <v>12795</v>
      </c>
      <c r="K253" t="s">
        <v>13047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8" t="s">
        <v>136</v>
      </c>
      <c r="E254" s="8" t="s">
        <v>1274</v>
      </c>
      <c r="F254" s="8" t="s">
        <v>2345</v>
      </c>
      <c r="G254">
        <v>2</v>
      </c>
      <c r="H254" s="8" t="s">
        <v>2461</v>
      </c>
      <c r="I254" s="8" t="s">
        <v>8559</v>
      </c>
      <c r="J254" s="8" t="s">
        <v>12795</v>
      </c>
      <c r="K254" t="s">
        <v>13048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8" t="s">
        <v>470</v>
      </c>
      <c r="E255" s="8" t="s">
        <v>468</v>
      </c>
      <c r="F255" s="8" t="s">
        <v>2345</v>
      </c>
      <c r="H255" s="8" t="s">
        <v>8715</v>
      </c>
      <c r="I255" s="8" t="s">
        <v>8561</v>
      </c>
      <c r="J255" s="8" t="s">
        <v>12795</v>
      </c>
      <c r="K255" t="s">
        <v>13049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8" t="s">
        <v>470</v>
      </c>
      <c r="E256" s="8" t="s">
        <v>468</v>
      </c>
      <c r="F256" s="8" t="s">
        <v>2345</v>
      </c>
      <c r="H256" s="8" t="s">
        <v>8715</v>
      </c>
      <c r="I256" s="8" t="s">
        <v>8563</v>
      </c>
      <c r="J256" s="8" t="s">
        <v>12795</v>
      </c>
      <c r="K256" t="s">
        <v>13050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8" t="s">
        <v>470</v>
      </c>
      <c r="E257" s="8" t="s">
        <v>468</v>
      </c>
      <c r="F257" s="8" t="s">
        <v>2345</v>
      </c>
      <c r="H257" s="8" t="s">
        <v>8715</v>
      </c>
      <c r="I257" s="8" t="s">
        <v>8565</v>
      </c>
      <c r="J257" s="8" t="s">
        <v>12795</v>
      </c>
      <c r="K257" t="s">
        <v>13051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8" t="s">
        <v>470</v>
      </c>
      <c r="E258" s="8" t="s">
        <v>468</v>
      </c>
      <c r="F258" s="8" t="s">
        <v>2345</v>
      </c>
      <c r="H258" s="8" t="s">
        <v>8715</v>
      </c>
      <c r="I258" s="8" t="s">
        <v>8567</v>
      </c>
      <c r="J258" s="8" t="s">
        <v>12795</v>
      </c>
      <c r="K258" t="s">
        <v>13052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8" t="s">
        <v>470</v>
      </c>
      <c r="E259" s="8" t="s">
        <v>468</v>
      </c>
      <c r="F259" s="8" t="s">
        <v>2345</v>
      </c>
      <c r="H259" s="8" t="s">
        <v>8715</v>
      </c>
      <c r="I259" s="8" t="s">
        <v>8569</v>
      </c>
      <c r="J259" s="8" t="s">
        <v>12795</v>
      </c>
      <c r="K259" t="s">
        <v>13053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8" t="s">
        <v>470</v>
      </c>
      <c r="E260" s="8" t="s">
        <v>468</v>
      </c>
      <c r="F260" s="8" t="s">
        <v>2345</v>
      </c>
      <c r="H260" s="8" t="s">
        <v>8715</v>
      </c>
      <c r="I260" s="8" t="s">
        <v>8571</v>
      </c>
      <c r="J260" s="8" t="s">
        <v>12795</v>
      </c>
      <c r="K260" t="s">
        <v>13054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8" t="s">
        <v>470</v>
      </c>
      <c r="E261" s="8" t="s">
        <v>468</v>
      </c>
      <c r="F261" s="8" t="s">
        <v>2345</v>
      </c>
      <c r="H261" s="8" t="s">
        <v>8715</v>
      </c>
      <c r="I261" s="8" t="s">
        <v>8573</v>
      </c>
      <c r="J261" s="8" t="s">
        <v>12795</v>
      </c>
      <c r="K261" t="s">
        <v>13055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8" t="s">
        <v>470</v>
      </c>
      <c r="E262" s="8" t="s">
        <v>468</v>
      </c>
      <c r="F262" s="8" t="s">
        <v>2345</v>
      </c>
      <c r="H262" s="8" t="s">
        <v>8715</v>
      </c>
      <c r="I262" s="8" t="s">
        <v>8575</v>
      </c>
      <c r="J262" s="8" t="s">
        <v>12795</v>
      </c>
      <c r="K262" t="s">
        <v>13056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8" t="s">
        <v>470</v>
      </c>
      <c r="E263" s="8" t="s">
        <v>468</v>
      </c>
      <c r="F263" s="8" t="s">
        <v>2345</v>
      </c>
      <c r="H263" s="8" t="s">
        <v>8715</v>
      </c>
      <c r="I263" s="8" t="s">
        <v>8577</v>
      </c>
      <c r="J263" s="8" t="s">
        <v>12795</v>
      </c>
      <c r="K263" t="s">
        <v>13057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8" t="s">
        <v>470</v>
      </c>
      <c r="E264" s="8" t="s">
        <v>468</v>
      </c>
      <c r="F264" s="8" t="s">
        <v>2345</v>
      </c>
      <c r="H264" s="8" t="s">
        <v>8715</v>
      </c>
      <c r="I264" s="8" t="s">
        <v>8579</v>
      </c>
      <c r="J264" s="8" t="s">
        <v>12795</v>
      </c>
      <c r="K264" t="s">
        <v>13058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8" t="s">
        <v>1273</v>
      </c>
      <c r="E265" s="8" t="s">
        <v>8099</v>
      </c>
      <c r="F265" s="8"/>
      <c r="H265" s="8"/>
      <c r="I265" s="8" t="s">
        <v>8720</v>
      </c>
      <c r="J265" s="8" t="s">
        <v>12795</v>
      </c>
      <c r="K265" t="s">
        <v>13059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8" t="s">
        <v>587</v>
      </c>
      <c r="E266" s="8" t="s">
        <v>8099</v>
      </c>
      <c r="F266" s="8"/>
      <c r="H266" s="8"/>
      <c r="I266" s="8" t="s">
        <v>8722</v>
      </c>
      <c r="J266" s="8" t="s">
        <v>12795</v>
      </c>
      <c r="K266" t="s">
        <v>13060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8" t="s">
        <v>1607</v>
      </c>
      <c r="E267" s="8" t="s">
        <v>8</v>
      </c>
      <c r="F267" s="8"/>
      <c r="H267" s="8"/>
      <c r="I267" s="8" t="s">
        <v>8822</v>
      </c>
      <c r="J267" s="8" t="s">
        <v>12795</v>
      </c>
      <c r="K267" t="s">
        <v>13061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8" t="s">
        <v>1607</v>
      </c>
      <c r="E268" s="8" t="s">
        <v>8</v>
      </c>
      <c r="F268" s="8"/>
      <c r="H268" s="8"/>
      <c r="I268" s="8" t="s">
        <v>8824</v>
      </c>
      <c r="J268" s="8" t="s">
        <v>12795</v>
      </c>
      <c r="K268" t="s">
        <v>13062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8" t="s">
        <v>1607</v>
      </c>
      <c r="E269" s="8" t="s">
        <v>8</v>
      </c>
      <c r="F269" s="8"/>
      <c r="H269" s="8"/>
      <c r="I269" s="8" t="s">
        <v>8926</v>
      </c>
      <c r="J269" s="8" t="s">
        <v>12795</v>
      </c>
      <c r="K269" t="s">
        <v>13063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8" t="s">
        <v>4</v>
      </c>
      <c r="E270" s="8" t="s">
        <v>8099</v>
      </c>
      <c r="F270" s="8"/>
      <c r="H270" s="8"/>
      <c r="I270" s="8" t="s">
        <v>8928</v>
      </c>
      <c r="J270" s="8" t="s">
        <v>12795</v>
      </c>
      <c r="K270" t="s">
        <v>13064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8" t="s">
        <v>136</v>
      </c>
      <c r="E271" s="8" t="s">
        <v>86</v>
      </c>
      <c r="F271" s="8" t="s">
        <v>60</v>
      </c>
      <c r="G271">
        <v>1</v>
      </c>
      <c r="H271" s="8" t="s">
        <v>2461</v>
      </c>
      <c r="I271" s="8" t="s">
        <v>9144</v>
      </c>
      <c r="J271" s="8" t="s">
        <v>12795</v>
      </c>
      <c r="K271" t="s">
        <v>13065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8" t="s">
        <v>136</v>
      </c>
      <c r="E272" s="8" t="s">
        <v>86</v>
      </c>
      <c r="F272" s="8" t="s">
        <v>58</v>
      </c>
      <c r="H272" s="8" t="s">
        <v>2461</v>
      </c>
      <c r="I272" s="8" t="s">
        <v>9146</v>
      </c>
      <c r="J272" s="8" t="s">
        <v>12795</v>
      </c>
      <c r="K272" t="s">
        <v>13066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8" t="s">
        <v>136</v>
      </c>
      <c r="E273" s="8" t="s">
        <v>86</v>
      </c>
      <c r="F273" s="8" t="s">
        <v>58</v>
      </c>
      <c r="H273" s="8" t="s">
        <v>2461</v>
      </c>
      <c r="I273" s="8" t="s">
        <v>9148</v>
      </c>
      <c r="J273" s="8" t="s">
        <v>12795</v>
      </c>
      <c r="K273" t="s">
        <v>13067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8" t="s">
        <v>470</v>
      </c>
      <c r="E274" s="8" t="s">
        <v>468</v>
      </c>
      <c r="F274" s="8" t="s">
        <v>2345</v>
      </c>
      <c r="H274" s="8" t="s">
        <v>8715</v>
      </c>
      <c r="I274" s="8" t="s">
        <v>9150</v>
      </c>
      <c r="J274" s="8" t="s">
        <v>12795</v>
      </c>
      <c r="K274" t="s">
        <v>13068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8" t="s">
        <v>470</v>
      </c>
      <c r="E275" s="8" t="s">
        <v>468</v>
      </c>
      <c r="F275" s="8" t="s">
        <v>2345</v>
      </c>
      <c r="H275" s="8" t="s">
        <v>8715</v>
      </c>
      <c r="I275" s="8" t="s">
        <v>9152</v>
      </c>
      <c r="J275" s="8" t="s">
        <v>12795</v>
      </c>
      <c r="K275" t="s">
        <v>13069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8" t="s">
        <v>470</v>
      </c>
      <c r="E276" s="8" t="s">
        <v>468</v>
      </c>
      <c r="F276" s="8" t="s">
        <v>2345</v>
      </c>
      <c r="H276" s="8" t="s">
        <v>8715</v>
      </c>
      <c r="I276" s="8" t="s">
        <v>9154</v>
      </c>
      <c r="J276" s="8" t="s">
        <v>12795</v>
      </c>
      <c r="K276" t="s">
        <v>13070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8" t="s">
        <v>470</v>
      </c>
      <c r="E277" s="8" t="s">
        <v>468</v>
      </c>
      <c r="F277" s="8" t="s">
        <v>2345</v>
      </c>
      <c r="H277" s="8" t="s">
        <v>8715</v>
      </c>
      <c r="I277" s="8" t="s">
        <v>9156</v>
      </c>
      <c r="J277" s="8" t="s">
        <v>12795</v>
      </c>
      <c r="K277" t="s">
        <v>13071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8" t="s">
        <v>1607</v>
      </c>
      <c r="E278" s="8" t="s">
        <v>8</v>
      </c>
      <c r="F278" s="8"/>
      <c r="H278" s="8"/>
      <c r="I278" s="8" t="s">
        <v>9326</v>
      </c>
      <c r="J278" s="8" t="s">
        <v>12795</v>
      </c>
      <c r="K278" t="s">
        <v>13072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8" t="s">
        <v>1607</v>
      </c>
      <c r="E279" s="8" t="s">
        <v>8</v>
      </c>
      <c r="F279" s="8"/>
      <c r="H279" s="8"/>
      <c r="I279" s="8" t="s">
        <v>9413</v>
      </c>
      <c r="J279" s="8" t="s">
        <v>12795</v>
      </c>
      <c r="K279" t="s">
        <v>13073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8" t="s">
        <v>1607</v>
      </c>
      <c r="E280" s="8" t="s">
        <v>8</v>
      </c>
      <c r="F280" s="8"/>
      <c r="H280" s="8"/>
      <c r="I280" s="8" t="s">
        <v>10604</v>
      </c>
      <c r="J280" s="8" t="s">
        <v>12795</v>
      </c>
      <c r="K280" t="s">
        <v>13074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8" t="s">
        <v>1607</v>
      </c>
      <c r="E281" s="8" t="s">
        <v>8</v>
      </c>
      <c r="F281" s="8"/>
      <c r="H281" s="8"/>
      <c r="I281" s="8" t="s">
        <v>10606</v>
      </c>
      <c r="J281" s="8" t="s">
        <v>12795</v>
      </c>
      <c r="K281" t="s">
        <v>13075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8" t="s">
        <v>1607</v>
      </c>
      <c r="E282" s="8" t="s">
        <v>8</v>
      </c>
      <c r="F282" s="8"/>
      <c r="H282" s="8"/>
      <c r="I282" s="8" t="s">
        <v>13492</v>
      </c>
      <c r="J282" s="8" t="s">
        <v>12795</v>
      </c>
      <c r="K282" t="s">
        <v>13493</v>
      </c>
      <c r="L282" t="s">
        <v>13494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8" t="s">
        <v>13846</v>
      </c>
      <c r="E283" s="8" t="s">
        <v>86</v>
      </c>
      <c r="F283" s="8"/>
      <c r="H283" s="8"/>
      <c r="I283" s="8" t="s">
        <v>13495</v>
      </c>
      <c r="J283" s="8" t="s">
        <v>12795</v>
      </c>
      <c r="K283" t="s">
        <v>13496</v>
      </c>
      <c r="L283" t="s">
        <v>13497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8" t="s">
        <v>13847</v>
      </c>
      <c r="E284" s="8" t="s">
        <v>86</v>
      </c>
      <c r="F284" s="8"/>
      <c r="H284" s="8"/>
      <c r="I284" s="8" t="s">
        <v>13498</v>
      </c>
      <c r="J284" s="8" t="s">
        <v>12795</v>
      </c>
      <c r="K284" t="s">
        <v>13499</v>
      </c>
      <c r="L284" t="s">
        <v>13500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8" t="s">
        <v>1607</v>
      </c>
      <c r="E285" s="8" t="s">
        <v>8</v>
      </c>
      <c r="F285" s="8"/>
      <c r="H285" s="8"/>
      <c r="I285" s="8" t="s">
        <v>13907</v>
      </c>
      <c r="J285" s="8" t="s">
        <v>12795</v>
      </c>
      <c r="K285" t="s">
        <v>13908</v>
      </c>
      <c r="L285" t="s">
        <v>13909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8" t="s">
        <v>1607</v>
      </c>
      <c r="E286" s="8" t="s">
        <v>8</v>
      </c>
      <c r="F286" s="8"/>
      <c r="H286" s="8"/>
      <c r="I286" s="8" t="s">
        <v>13910</v>
      </c>
      <c r="J286" s="8" t="s">
        <v>12795</v>
      </c>
      <c r="K286" t="s">
        <v>13911</v>
      </c>
      <c r="L286" t="s">
        <v>13912</v>
      </c>
      <c r="M286" s="2" t="str">
        <f>HYPERLINK(склад2въезд14[[#This Row],[RelativePath]])</f>
        <v>2 Поката пилорама\GA3948333_8_20260301T170301Z.jpg</v>
      </c>
    </row>
  </sheetData>
  <conditionalFormatting sqref="D287:D297 E287:E300 G2:H286 D2:E286">
    <cfRule type="containsText" dxfId="904" priority="14" operator="containsText" text="Выезд с территории">
      <formula>NOT(ISERROR(SEARCH("Выезд с территории",D2)))</formula>
    </cfRule>
  </conditionalFormatting>
  <conditionalFormatting sqref="F2:F286">
    <cfRule type="notContainsText" dxfId="903" priority="13" operator="notContains" text="порожний">
      <formula>ISERROR(SEARCH("порожний",F2))</formula>
    </cfRule>
  </conditionalFormatting>
  <conditionalFormatting sqref="E2:E300">
    <cfRule type="containsText" dxfId="902" priority="11" operator="containsText" text="Газель базы">
      <formula>NOT(ISERROR(SEARCH("Газель базы",E2)))</formula>
    </cfRule>
    <cfRule type="containsText" dxfId="901" priority="12" operator="containsText" text="Погрузчик базы">
      <formula>NOT(ISERROR(SEARCH("Погрузчик базы",E2)))</formula>
    </cfRule>
  </conditionalFormatting>
  <conditionalFormatting sqref="E2:E300">
    <cfRule type="containsText" dxfId="900" priority="10" operator="containsText" text="Трактор базы">
      <formula>NOT(ISERROR(SEARCH("Трактор базы",E2)))</formula>
    </cfRule>
  </conditionalFormatting>
  <conditionalFormatting sqref="A2:C286">
    <cfRule type="expression" dxfId="899" priority="9">
      <formula>$A2="пн"</formula>
    </cfRule>
  </conditionalFormatting>
  <conditionalFormatting sqref="A2:C288">
    <cfRule type="expression" dxfId="898" priority="3">
      <formula>$A2="вс"</formula>
    </cfRule>
    <cfRule type="expression" dxfId="897" priority="4">
      <formula>$A2="сб"</formula>
    </cfRule>
    <cfRule type="expression" dxfId="896" priority="5">
      <formula>$A2="пт"</formula>
    </cfRule>
    <cfRule type="expression" dxfId="895" priority="6">
      <formula>$A2="чт"</formula>
    </cfRule>
    <cfRule type="expression" dxfId="894" priority="7">
      <formula>$A2="ср"</formula>
    </cfRule>
    <cfRule type="expression" dxfId="893" priority="8">
      <formula>$A2="вт"</formula>
    </cfRule>
  </conditionalFormatting>
  <conditionalFormatting sqref="D2:D297">
    <cfRule type="containsText" dxfId="89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7">
    <cfRule type="containsText" dxfId="89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67"/>
  <sheetViews>
    <sheetView zoomScale="90" zoomScaleNormal="90" workbookViewId="0">
      <pane ySplit="1" topLeftCell="A155" activePane="bottomLeft" state="frozen"/>
      <selection pane="bottomLeft" activeCell="I166" sqref="I166:I16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8" t="s">
        <v>4</v>
      </c>
      <c r="E2" s="8" t="s">
        <v>8</v>
      </c>
      <c r="F2" s="8"/>
      <c r="H2" s="8"/>
      <c r="I2" s="8" t="s">
        <v>168</v>
      </c>
      <c r="J2" s="8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8" t="s">
        <v>4</v>
      </c>
      <c r="E3" s="8" t="s">
        <v>8</v>
      </c>
      <c r="F3" s="8"/>
      <c r="H3" s="8"/>
      <c r="I3" s="8" t="s">
        <v>171</v>
      </c>
      <c r="J3" s="8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8" t="s">
        <v>4</v>
      </c>
      <c r="E4" s="8" t="s">
        <v>8</v>
      </c>
      <c r="F4" s="8"/>
      <c r="H4" s="8"/>
      <c r="I4" s="8" t="s">
        <v>173</v>
      </c>
      <c r="J4" s="8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8" t="s">
        <v>4</v>
      </c>
      <c r="E5" s="8" t="s">
        <v>8</v>
      </c>
      <c r="F5" s="8"/>
      <c r="H5" s="8"/>
      <c r="I5" s="8" t="s">
        <v>175</v>
      </c>
      <c r="J5" s="8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8" t="s">
        <v>4</v>
      </c>
      <c r="E6" s="8" t="s">
        <v>8</v>
      </c>
      <c r="F6" s="8"/>
      <c r="H6" s="8"/>
      <c r="I6" s="8" t="s">
        <v>177</v>
      </c>
      <c r="J6" s="8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8" t="s">
        <v>4</v>
      </c>
      <c r="E7" s="8" t="s">
        <v>8</v>
      </c>
      <c r="F7" s="8"/>
      <c r="H7" s="8"/>
      <c r="I7" s="8" t="s">
        <v>179</v>
      </c>
      <c r="J7" s="8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8" t="s">
        <v>4</v>
      </c>
      <c r="E8" s="8" t="s">
        <v>8</v>
      </c>
      <c r="F8" s="8"/>
      <c r="H8" s="8"/>
      <c r="I8" s="8" t="s">
        <v>181</v>
      </c>
      <c r="J8" s="8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8" t="s">
        <v>4</v>
      </c>
      <c r="E9" s="8" t="s">
        <v>8</v>
      </c>
      <c r="F9" s="8"/>
      <c r="H9" s="8"/>
      <c r="I9" s="8" t="s">
        <v>183</v>
      </c>
      <c r="J9" s="8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8" t="s">
        <v>4</v>
      </c>
      <c r="E10" s="8" t="s">
        <v>8</v>
      </c>
      <c r="F10" s="8"/>
      <c r="H10" s="8"/>
      <c r="I10" s="8" t="s">
        <v>185</v>
      </c>
      <c r="J10" s="8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8" t="s">
        <v>4</v>
      </c>
      <c r="E11" s="8" t="s">
        <v>8</v>
      </c>
      <c r="F11" s="8"/>
      <c r="H11" s="8"/>
      <c r="I11" s="8" t="s">
        <v>187</v>
      </c>
      <c r="J11" s="8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8" t="s">
        <v>4</v>
      </c>
      <c r="E12" s="8" t="s">
        <v>8</v>
      </c>
      <c r="F12" s="8"/>
      <c r="H12" s="8"/>
      <c r="I12" s="8" t="s">
        <v>189</v>
      </c>
      <c r="J12" s="8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8" t="s">
        <v>4</v>
      </c>
      <c r="E13" s="8" t="s">
        <v>8</v>
      </c>
      <c r="F13" s="8"/>
      <c r="H13" s="8"/>
      <c r="I13" s="8" t="s">
        <v>191</v>
      </c>
      <c r="J13" s="8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8" t="s">
        <v>4</v>
      </c>
      <c r="E14" s="8" t="s">
        <v>8</v>
      </c>
      <c r="F14" s="8"/>
      <c r="H14" s="8"/>
      <c r="I14" s="8" t="s">
        <v>193</v>
      </c>
      <c r="J14" s="8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8" t="s">
        <v>4</v>
      </c>
      <c r="E15" s="8" t="s">
        <v>8</v>
      </c>
      <c r="F15" s="8"/>
      <c r="H15" s="8"/>
      <c r="I15" s="8" t="s">
        <v>195</v>
      </c>
      <c r="J15" s="8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8" t="s">
        <v>4</v>
      </c>
      <c r="E16" s="8" t="s">
        <v>8</v>
      </c>
      <c r="F16" s="8"/>
      <c r="H16" s="8"/>
      <c r="I16" s="8" t="s">
        <v>197</v>
      </c>
      <c r="J16" s="8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8" t="s">
        <v>226</v>
      </c>
      <c r="E17" s="8" t="s">
        <v>66</v>
      </c>
      <c r="F17" s="8" t="s">
        <v>225</v>
      </c>
      <c r="H17" s="8"/>
      <c r="I17" s="8" t="s">
        <v>199</v>
      </c>
      <c r="J17" s="8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8" t="s">
        <v>4</v>
      </c>
      <c r="E18" s="8" t="s">
        <v>8</v>
      </c>
      <c r="F18" s="8"/>
      <c r="H18" s="8"/>
      <c r="I18" s="8" t="s">
        <v>201</v>
      </c>
      <c r="J18" s="8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8" t="s">
        <v>4</v>
      </c>
      <c r="E19" s="8" t="s">
        <v>8</v>
      </c>
      <c r="F19" s="8"/>
      <c r="H19" s="8"/>
      <c r="I19" s="8" t="s">
        <v>203</v>
      </c>
      <c r="J19" s="8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8" t="s">
        <v>4</v>
      </c>
      <c r="E20" s="8" t="s">
        <v>8</v>
      </c>
      <c r="F20" s="8"/>
      <c r="H20" s="8"/>
      <c r="I20" s="8" t="s">
        <v>205</v>
      </c>
      <c r="J20" s="8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8" t="s">
        <v>4</v>
      </c>
      <c r="E21" s="8" t="s">
        <v>8</v>
      </c>
      <c r="F21" s="8"/>
      <c r="H21" s="8"/>
      <c r="I21" s="8" t="s">
        <v>207</v>
      </c>
      <c r="J21" s="8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8" t="s">
        <v>4</v>
      </c>
      <c r="E22" s="8" t="s">
        <v>8</v>
      </c>
      <c r="F22" s="8"/>
      <c r="H22" s="8"/>
      <c r="I22" s="8" t="s">
        <v>209</v>
      </c>
      <c r="J22" s="8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8" t="s">
        <v>4</v>
      </c>
      <c r="E23" s="8" t="s">
        <v>8</v>
      </c>
      <c r="F23" s="8"/>
      <c r="H23" s="8"/>
      <c r="I23" s="8" t="s">
        <v>211</v>
      </c>
      <c r="J23" s="8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8" t="s">
        <v>4</v>
      </c>
      <c r="E24" s="8" t="s">
        <v>8</v>
      </c>
      <c r="F24" s="8"/>
      <c r="H24" s="8"/>
      <c r="I24" s="8" t="s">
        <v>213</v>
      </c>
      <c r="J24" s="8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8" t="s">
        <v>4</v>
      </c>
      <c r="E25" s="8" t="s">
        <v>8</v>
      </c>
      <c r="F25" s="8"/>
      <c r="H25" s="8"/>
      <c r="I25" s="8" t="s">
        <v>215</v>
      </c>
      <c r="J25" s="8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8" t="s">
        <v>4</v>
      </c>
      <c r="E26" s="8" t="s">
        <v>8</v>
      </c>
      <c r="F26" s="8"/>
      <c r="H26" s="8"/>
      <c r="I26" s="8" t="s">
        <v>217</v>
      </c>
      <c r="J26" s="8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8" t="s">
        <v>227</v>
      </c>
      <c r="E27" s="8" t="s">
        <v>66</v>
      </c>
      <c r="F27" s="8" t="s">
        <v>88</v>
      </c>
      <c r="H27" s="8"/>
      <c r="I27" s="8" t="s">
        <v>219</v>
      </c>
      <c r="J27" s="8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8" t="s">
        <v>4</v>
      </c>
      <c r="E28" s="8" t="s">
        <v>8</v>
      </c>
      <c r="F28" s="8"/>
      <c r="H28" s="8"/>
      <c r="I28" s="8" t="s">
        <v>221</v>
      </c>
      <c r="J28" s="8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8" t="s">
        <v>4</v>
      </c>
      <c r="E29" s="8" t="s">
        <v>8</v>
      </c>
      <c r="F29" s="8"/>
      <c r="H29" s="8"/>
      <c r="I29" s="8" t="s">
        <v>223</v>
      </c>
      <c r="J29" s="8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8" t="s">
        <v>4</v>
      </c>
      <c r="E30" s="8" t="s">
        <v>8</v>
      </c>
      <c r="F30" s="8"/>
      <c r="H30" s="8"/>
      <c r="I30" s="8" t="s">
        <v>974</v>
      </c>
      <c r="J30" s="8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8" t="s">
        <v>4</v>
      </c>
      <c r="E31" s="8" t="s">
        <v>1608</v>
      </c>
      <c r="F31" s="8"/>
      <c r="H31" s="8" t="s">
        <v>1609</v>
      </c>
      <c r="I31" s="8" t="s">
        <v>976</v>
      </c>
      <c r="J31" s="8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8" t="s">
        <v>4</v>
      </c>
      <c r="E32" s="8" t="s">
        <v>1608</v>
      </c>
      <c r="F32" s="8"/>
      <c r="H32" s="8" t="s">
        <v>1610</v>
      </c>
      <c r="I32" s="8" t="s">
        <v>978</v>
      </c>
      <c r="J32" s="8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8" t="s">
        <v>4</v>
      </c>
      <c r="E33" s="8" t="s">
        <v>56</v>
      </c>
      <c r="F33" s="8"/>
      <c r="H33" s="8" t="s">
        <v>1611</v>
      </c>
      <c r="I33" s="8" t="s">
        <v>980</v>
      </c>
      <c r="J33" s="8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8" t="s">
        <v>4</v>
      </c>
      <c r="E34" s="8" t="s">
        <v>8</v>
      </c>
      <c r="F34" s="8"/>
      <c r="H34" s="8"/>
      <c r="I34" s="8" t="s">
        <v>982</v>
      </c>
      <c r="J34" s="8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8" t="s">
        <v>4</v>
      </c>
      <c r="E35" s="8" t="s">
        <v>8</v>
      </c>
      <c r="F35" s="8"/>
      <c r="H35" s="8" t="s">
        <v>1292</v>
      </c>
      <c r="I35" s="8" t="s">
        <v>984</v>
      </c>
      <c r="J35" s="8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8" t="s">
        <v>4</v>
      </c>
      <c r="E36" s="8" t="s">
        <v>8</v>
      </c>
      <c r="F36" s="8"/>
      <c r="H36" s="8" t="s">
        <v>1612</v>
      </c>
      <c r="I36" s="8" t="s">
        <v>986</v>
      </c>
      <c r="J36" s="8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8" t="s">
        <v>4</v>
      </c>
      <c r="E37" s="8" t="s">
        <v>8</v>
      </c>
      <c r="F37" s="8"/>
      <c r="H37" s="8" t="s">
        <v>1607</v>
      </c>
      <c r="I37" s="8" t="s">
        <v>988</v>
      </c>
      <c r="J37" s="8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8" t="s">
        <v>4</v>
      </c>
      <c r="E38" s="8" t="s">
        <v>8</v>
      </c>
      <c r="F38" s="8"/>
      <c r="H38" s="8" t="s">
        <v>1292</v>
      </c>
      <c r="I38" s="8" t="s">
        <v>990</v>
      </c>
      <c r="J38" s="8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8" t="s">
        <v>1607</v>
      </c>
      <c r="E39" s="8"/>
      <c r="F39" s="8"/>
      <c r="H39" s="8"/>
      <c r="I39" s="8" t="s">
        <v>1659</v>
      </c>
      <c r="J39" s="8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8" t="s">
        <v>4</v>
      </c>
      <c r="E40" s="8" t="s">
        <v>8</v>
      </c>
      <c r="F40" s="8"/>
      <c r="H40" s="8"/>
      <c r="I40" s="8" t="s">
        <v>1661</v>
      </c>
      <c r="J40" s="8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8" t="s">
        <v>226</v>
      </c>
      <c r="E41" s="8" t="s">
        <v>2343</v>
      </c>
      <c r="F41" s="8" t="s">
        <v>58</v>
      </c>
      <c r="H41" s="8" t="s">
        <v>2344</v>
      </c>
      <c r="I41" s="8" t="s">
        <v>1663</v>
      </c>
      <c r="J41" s="8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8" t="s">
        <v>4</v>
      </c>
      <c r="E42" s="8" t="s">
        <v>8</v>
      </c>
      <c r="F42" s="8"/>
      <c r="H42" s="8"/>
      <c r="I42" s="8" t="s">
        <v>1666</v>
      </c>
      <c r="J42" s="8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8" t="s">
        <v>4</v>
      </c>
      <c r="E43" s="8" t="s">
        <v>8</v>
      </c>
      <c r="F43" s="8"/>
      <c r="H43" s="8"/>
      <c r="I43" s="8" t="s">
        <v>1668</v>
      </c>
      <c r="J43" s="8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8" t="s">
        <v>4</v>
      </c>
      <c r="E44" s="8" t="s">
        <v>8</v>
      </c>
      <c r="F44" s="8"/>
      <c r="H44" s="8"/>
      <c r="I44" s="8" t="s">
        <v>1670</v>
      </c>
      <c r="J44" s="8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8" t="s">
        <v>226</v>
      </c>
      <c r="E45" s="8" t="s">
        <v>2343</v>
      </c>
      <c r="F45" s="8" t="s">
        <v>2345</v>
      </c>
      <c r="H45" s="8" t="s">
        <v>3368</v>
      </c>
      <c r="I45" s="8" t="s">
        <v>1672</v>
      </c>
      <c r="J45" s="8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8" t="s">
        <v>4</v>
      </c>
      <c r="E46" s="8" t="s">
        <v>8</v>
      </c>
      <c r="F46" s="8"/>
      <c r="H46" s="8"/>
      <c r="I46" s="8" t="s">
        <v>1675</v>
      </c>
      <c r="J46" s="8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8" t="s">
        <v>1607</v>
      </c>
      <c r="E47" s="8"/>
      <c r="F47" s="8"/>
      <c r="H47" s="8"/>
      <c r="I47" s="8" t="s">
        <v>1677</v>
      </c>
      <c r="J47" s="8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8" t="s">
        <v>1607</v>
      </c>
      <c r="E48" s="8"/>
      <c r="F48" s="8"/>
      <c r="H48" s="8"/>
      <c r="I48" s="8" t="s">
        <v>1679</v>
      </c>
      <c r="J48" s="8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8" t="s">
        <v>4</v>
      </c>
      <c r="E49" s="8" t="s">
        <v>8</v>
      </c>
      <c r="F49" s="8"/>
      <c r="H49" s="8"/>
      <c r="I49" s="8" t="s">
        <v>2624</v>
      </c>
      <c r="J49" s="8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8" t="s">
        <v>4</v>
      </c>
      <c r="E50" s="8" t="s">
        <v>8</v>
      </c>
      <c r="F50" s="8"/>
      <c r="H50" s="8"/>
      <c r="I50" s="8" t="s">
        <v>2626</v>
      </c>
      <c r="J50" s="8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2628</v>
      </c>
      <c r="J51" s="8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8" t="s">
        <v>4</v>
      </c>
      <c r="E52" s="8" t="s">
        <v>70</v>
      </c>
      <c r="F52" s="8" t="s">
        <v>51</v>
      </c>
      <c r="H52" s="8" t="s">
        <v>3369</v>
      </c>
      <c r="I52" s="8" t="s">
        <v>2630</v>
      </c>
      <c r="J52" s="8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8" t="s">
        <v>4</v>
      </c>
      <c r="E53" s="8" t="s">
        <v>8</v>
      </c>
      <c r="F53" s="8"/>
      <c r="H53" s="8"/>
      <c r="I53" s="8" t="s">
        <v>2632</v>
      </c>
      <c r="J53" s="8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8" t="s">
        <v>1607</v>
      </c>
      <c r="E54" s="8"/>
      <c r="F54" s="8"/>
      <c r="H54" s="8"/>
      <c r="I54" s="8" t="s">
        <v>2634</v>
      </c>
      <c r="J54" s="8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8" t="s">
        <v>4</v>
      </c>
      <c r="E55" s="8" t="s">
        <v>3357</v>
      </c>
      <c r="F55" s="8" t="s">
        <v>58</v>
      </c>
      <c r="H55" s="8"/>
      <c r="I55" s="8" t="s">
        <v>2636</v>
      </c>
      <c r="J55" s="8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8" t="s">
        <v>4</v>
      </c>
      <c r="E56" s="8" t="s">
        <v>8</v>
      </c>
      <c r="F56" s="8"/>
      <c r="H56" s="8"/>
      <c r="I56" s="8" t="s">
        <v>2638</v>
      </c>
      <c r="J56" s="8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8" t="s">
        <v>4</v>
      </c>
      <c r="E57" s="8" t="s">
        <v>8</v>
      </c>
      <c r="F57" s="8"/>
      <c r="H57" s="8"/>
      <c r="I57" s="8" t="s">
        <v>2640</v>
      </c>
      <c r="J57" s="8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8" t="s">
        <v>1607</v>
      </c>
      <c r="E58" s="8"/>
      <c r="F58" s="8"/>
      <c r="H58" s="8"/>
      <c r="I58" s="8" t="s">
        <v>2642</v>
      </c>
      <c r="J58" s="8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8" t="s">
        <v>4</v>
      </c>
      <c r="E59" s="8" t="s">
        <v>8</v>
      </c>
      <c r="F59" s="8"/>
      <c r="H59" s="8"/>
      <c r="I59" s="8" t="s">
        <v>2644</v>
      </c>
      <c r="J59" s="8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8" t="s">
        <v>1607</v>
      </c>
      <c r="E60" s="8"/>
      <c r="F60" s="8"/>
      <c r="H60" s="8"/>
      <c r="I60" s="8" t="s">
        <v>2646</v>
      </c>
      <c r="J60" s="8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8" t="s">
        <v>4</v>
      </c>
      <c r="E61" s="8" t="s">
        <v>8</v>
      </c>
      <c r="F61" s="8"/>
      <c r="H61" s="8"/>
      <c r="I61" s="8" t="s">
        <v>2648</v>
      </c>
      <c r="J61" s="8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8" t="s">
        <v>226</v>
      </c>
      <c r="E62" s="8" t="s">
        <v>2343</v>
      </c>
      <c r="F62" s="8" t="s">
        <v>53</v>
      </c>
      <c r="G62">
        <v>4</v>
      </c>
      <c r="H62" s="8"/>
      <c r="I62" s="8" t="s">
        <v>2650</v>
      </c>
      <c r="J62" s="8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8" t="s">
        <v>4</v>
      </c>
      <c r="E63" s="8" t="s">
        <v>3359</v>
      </c>
      <c r="F63" s="8" t="s">
        <v>3361</v>
      </c>
      <c r="H63" s="8"/>
      <c r="I63" s="8" t="s">
        <v>2653</v>
      </c>
      <c r="J63" s="8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8" t="s">
        <v>1607</v>
      </c>
      <c r="E64" s="8"/>
      <c r="F64" s="8"/>
      <c r="H64" s="8"/>
      <c r="I64" s="8" t="s">
        <v>3423</v>
      </c>
      <c r="J64" s="8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8" t="s">
        <v>4</v>
      </c>
      <c r="E65" s="8" t="s">
        <v>8</v>
      </c>
      <c r="F65" s="8"/>
      <c r="H65" s="8"/>
      <c r="I65" s="8" t="s">
        <v>3665</v>
      </c>
      <c r="J65" s="8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8" t="s">
        <v>4</v>
      </c>
      <c r="E66" s="8" t="s">
        <v>3359</v>
      </c>
      <c r="F66" s="8"/>
      <c r="H66" s="8" t="s">
        <v>4083</v>
      </c>
      <c r="I66" s="8" t="s">
        <v>3667</v>
      </c>
      <c r="J66" s="8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8" t="s">
        <v>4</v>
      </c>
      <c r="E67" s="8" t="s">
        <v>8</v>
      </c>
      <c r="F67" s="8"/>
      <c r="H67" s="8"/>
      <c r="I67" s="8" t="s">
        <v>3669</v>
      </c>
      <c r="J67" s="8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8" t="s">
        <v>4</v>
      </c>
      <c r="E68" s="8" t="s">
        <v>8</v>
      </c>
      <c r="F68" s="8"/>
      <c r="H68" s="8"/>
      <c r="I68" s="8" t="s">
        <v>3671</v>
      </c>
      <c r="J68" s="8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8" t="s">
        <v>226</v>
      </c>
      <c r="E69" s="8" t="s">
        <v>2343</v>
      </c>
      <c r="F69" s="8" t="s">
        <v>53</v>
      </c>
      <c r="G69">
        <v>3</v>
      </c>
      <c r="H69" s="8"/>
      <c r="I69" s="8" t="s">
        <v>4080</v>
      </c>
      <c r="J69" s="8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8" t="s">
        <v>4</v>
      </c>
      <c r="E70" s="8" t="s">
        <v>8</v>
      </c>
      <c r="F70" s="8"/>
      <c r="H70" s="8"/>
      <c r="I70" s="8" t="s">
        <v>3673</v>
      </c>
      <c r="J70" s="8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8" t="s">
        <v>1607</v>
      </c>
      <c r="E71" s="8"/>
      <c r="F71" s="8"/>
      <c r="H71" s="8"/>
      <c r="I71" s="8" t="s">
        <v>3675</v>
      </c>
      <c r="J71" s="8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8" t="s">
        <v>4</v>
      </c>
      <c r="E72" s="8" t="s">
        <v>4235</v>
      </c>
      <c r="F72" s="8" t="s">
        <v>1276</v>
      </c>
      <c r="H72" s="8"/>
      <c r="I72" s="8" t="s">
        <v>4135</v>
      </c>
      <c r="J72" s="8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8" t="s">
        <v>4</v>
      </c>
      <c r="E73" s="8" t="s">
        <v>8</v>
      </c>
      <c r="F73" s="8"/>
      <c r="H73" s="8"/>
      <c r="I73" s="8" t="s">
        <v>4248</v>
      </c>
      <c r="J73" s="8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8" t="s">
        <v>1607</v>
      </c>
      <c r="E74" s="8"/>
      <c r="F74" s="8"/>
      <c r="H74" s="8"/>
      <c r="I74" s="8" t="s">
        <v>4250</v>
      </c>
      <c r="J74" s="8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8" t="s">
        <v>4</v>
      </c>
      <c r="E75" s="8" t="s">
        <v>8</v>
      </c>
      <c r="F75" s="8"/>
      <c r="H75" s="8"/>
      <c r="I75" s="8" t="s">
        <v>4548</v>
      </c>
      <c r="J75" s="8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8" t="s">
        <v>4</v>
      </c>
      <c r="E76" s="8" t="s">
        <v>8</v>
      </c>
      <c r="F76" s="8"/>
      <c r="H76" s="8"/>
      <c r="I76" s="8" t="s">
        <v>4550</v>
      </c>
      <c r="J76" s="8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8" t="s">
        <v>4</v>
      </c>
      <c r="E77" s="8" t="s">
        <v>8</v>
      </c>
      <c r="F77" s="8"/>
      <c r="H77" s="8"/>
      <c r="I77" s="8" t="s">
        <v>4552</v>
      </c>
      <c r="J77" s="8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8" t="s">
        <v>1607</v>
      </c>
      <c r="E78" s="8" t="s">
        <v>8</v>
      </c>
      <c r="F78" s="8"/>
      <c r="H78" s="8"/>
      <c r="I78" s="8" t="s">
        <v>4554</v>
      </c>
      <c r="J78" s="8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8" t="s">
        <v>4</v>
      </c>
      <c r="E79" s="8" t="s">
        <v>8</v>
      </c>
      <c r="F79" s="8"/>
      <c r="H79" s="8"/>
      <c r="I79" s="8" t="s">
        <v>4667</v>
      </c>
      <c r="J79" s="8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8" t="s">
        <v>1607</v>
      </c>
      <c r="E80" s="8" t="s">
        <v>8</v>
      </c>
      <c r="F80" s="8"/>
      <c r="H80" s="8"/>
      <c r="I80" s="8" t="s">
        <v>4669</v>
      </c>
      <c r="J80" s="8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8" t="s">
        <v>1607</v>
      </c>
      <c r="E81" s="8" t="s">
        <v>8</v>
      </c>
      <c r="F81" s="8"/>
      <c r="H81" s="8"/>
      <c r="I81" s="8" t="s">
        <v>4671</v>
      </c>
      <c r="J81" s="8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8" t="s">
        <v>4</v>
      </c>
      <c r="E82" s="8" t="s">
        <v>8</v>
      </c>
      <c r="F82" s="8"/>
      <c r="H82" s="8"/>
      <c r="I82" s="8" t="s">
        <v>4837</v>
      </c>
      <c r="J82" s="8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8" t="s">
        <v>4</v>
      </c>
      <c r="E83" s="8" t="s">
        <v>8</v>
      </c>
      <c r="F83" s="8"/>
      <c r="H83" s="8"/>
      <c r="I83" s="8" t="s">
        <v>4839</v>
      </c>
      <c r="J83" s="8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8" t="s">
        <v>4</v>
      </c>
      <c r="E84" s="8" t="s">
        <v>8</v>
      </c>
      <c r="F84" s="8"/>
      <c r="H84" s="8"/>
      <c r="I84" s="8" t="s">
        <v>4841</v>
      </c>
      <c r="J84" s="8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8" t="s">
        <v>1607</v>
      </c>
      <c r="E85" s="8" t="s">
        <v>8</v>
      </c>
      <c r="F85" s="8"/>
      <c r="H85" s="8"/>
      <c r="I85" s="8" t="s">
        <v>4944</v>
      </c>
      <c r="J85" s="8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8" t="s">
        <v>4</v>
      </c>
      <c r="E86" s="8" t="s">
        <v>8</v>
      </c>
      <c r="F86" s="8"/>
      <c r="H86" s="8"/>
      <c r="I86" s="8" t="s">
        <v>5040</v>
      </c>
      <c r="J86" s="8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8" t="s">
        <v>4</v>
      </c>
      <c r="E87" s="8" t="s">
        <v>8</v>
      </c>
      <c r="F87" s="8"/>
      <c r="H87" s="8"/>
      <c r="I87" s="8" t="s">
        <v>5236</v>
      </c>
      <c r="J87" s="8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8" t="s">
        <v>1607</v>
      </c>
      <c r="E88" s="8" t="s">
        <v>8</v>
      </c>
      <c r="F88" s="8"/>
      <c r="H88" s="8"/>
      <c r="I88" s="8" t="s">
        <v>5312</v>
      </c>
      <c r="J88" s="8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8" t="s">
        <v>1607</v>
      </c>
      <c r="E89" s="8" t="s">
        <v>8</v>
      </c>
      <c r="F89" s="8"/>
      <c r="H89" s="8"/>
      <c r="I89" s="8" t="s">
        <v>5314</v>
      </c>
      <c r="J89" s="8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8" t="s">
        <v>1607</v>
      </c>
      <c r="E90" s="8" t="s">
        <v>8</v>
      </c>
      <c r="F90" s="8"/>
      <c r="H90" s="8"/>
      <c r="I90" s="8" t="s">
        <v>5506</v>
      </c>
      <c r="J90" s="8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8" t="s">
        <v>1607</v>
      </c>
      <c r="E91" s="8" t="s">
        <v>8</v>
      </c>
      <c r="F91" s="8"/>
      <c r="H91" s="8"/>
      <c r="I91" s="8" t="s">
        <v>5508</v>
      </c>
      <c r="J91" s="8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8" t="s">
        <v>1607</v>
      </c>
      <c r="E92" s="8" t="s">
        <v>8</v>
      </c>
      <c r="F92" s="8"/>
      <c r="H92" s="8"/>
      <c r="I92" s="8" t="s">
        <v>5707</v>
      </c>
      <c r="J92" s="8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8" t="s">
        <v>1607</v>
      </c>
      <c r="E93" s="8" t="s">
        <v>8</v>
      </c>
      <c r="F93" s="8"/>
      <c r="H93" s="8"/>
      <c r="I93" s="8" t="s">
        <v>5772</v>
      </c>
      <c r="J93" s="8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8" t="s">
        <v>4</v>
      </c>
      <c r="E94" s="8" t="s">
        <v>8</v>
      </c>
      <c r="F94" s="8"/>
      <c r="H94" s="8"/>
      <c r="I94" s="8" t="s">
        <v>5774</v>
      </c>
      <c r="J94" s="8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8" t="s">
        <v>4</v>
      </c>
      <c r="E95" s="8" t="s">
        <v>5903</v>
      </c>
      <c r="F95" s="8" t="s">
        <v>51</v>
      </c>
      <c r="H95" s="8"/>
      <c r="I95" s="8" t="s">
        <v>5776</v>
      </c>
      <c r="J95" s="8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8" t="s">
        <v>1607</v>
      </c>
      <c r="E96" s="8" t="s">
        <v>8</v>
      </c>
      <c r="F96" s="8"/>
      <c r="H96" s="8"/>
      <c r="I96" s="8" t="s">
        <v>5951</v>
      </c>
      <c r="J96" s="8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8" t="s">
        <v>4</v>
      </c>
      <c r="E97" s="8" t="s">
        <v>6154</v>
      </c>
      <c r="F97" s="8" t="s">
        <v>60</v>
      </c>
      <c r="H97" s="8"/>
      <c r="I97" s="8" t="s">
        <v>5953</v>
      </c>
      <c r="J97" s="8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8" t="s">
        <v>4</v>
      </c>
      <c r="E98" s="8" t="s">
        <v>6154</v>
      </c>
      <c r="F98" s="8" t="s">
        <v>51</v>
      </c>
      <c r="H98" s="8"/>
      <c r="I98" s="8" t="s">
        <v>5955</v>
      </c>
      <c r="J98" s="8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8" t="s">
        <v>1607</v>
      </c>
      <c r="E99" s="8" t="s">
        <v>8</v>
      </c>
      <c r="F99" s="8"/>
      <c r="H99" s="8"/>
      <c r="I99" s="8" t="s">
        <v>5957</v>
      </c>
      <c r="J99" s="8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8" t="s">
        <v>226</v>
      </c>
      <c r="E100" s="8" t="s">
        <v>2343</v>
      </c>
      <c r="F100" s="8" t="s">
        <v>5697</v>
      </c>
      <c r="H100" s="8"/>
      <c r="I100" s="8" t="s">
        <v>6248</v>
      </c>
      <c r="J100" s="8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8" t="s">
        <v>226</v>
      </c>
      <c r="E101" s="8" t="s">
        <v>2343</v>
      </c>
      <c r="F101" s="8" t="s">
        <v>5697</v>
      </c>
      <c r="H101" s="8" t="s">
        <v>2352</v>
      </c>
      <c r="I101" s="8" t="s">
        <v>6251</v>
      </c>
      <c r="J101" s="8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8" t="s">
        <v>226</v>
      </c>
      <c r="E102" s="8" t="s">
        <v>2343</v>
      </c>
      <c r="F102" s="8" t="s">
        <v>5697</v>
      </c>
      <c r="H102" s="8" t="s">
        <v>2352</v>
      </c>
      <c r="I102" s="8" t="s">
        <v>6254</v>
      </c>
      <c r="J102" s="8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8" t="s">
        <v>1607</v>
      </c>
      <c r="E103" s="8" t="s">
        <v>8</v>
      </c>
      <c r="F103" s="8"/>
      <c r="H103" s="8"/>
      <c r="I103" s="8" t="s">
        <v>6353</v>
      </c>
      <c r="J103" s="8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8" t="s">
        <v>1607</v>
      </c>
      <c r="E104" s="8" t="s">
        <v>8</v>
      </c>
      <c r="F104" s="8"/>
      <c r="H104" s="8"/>
      <c r="I104" s="8" t="s">
        <v>6355</v>
      </c>
      <c r="J104" s="8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8" t="s">
        <v>4</v>
      </c>
      <c r="E105" s="8" t="s">
        <v>468</v>
      </c>
      <c r="F105" s="8"/>
      <c r="H105" s="8"/>
      <c r="I105" s="8" t="s">
        <v>6357</v>
      </c>
      <c r="J105" s="8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8" t="s">
        <v>1607</v>
      </c>
      <c r="E106" s="8" t="s">
        <v>8</v>
      </c>
      <c r="F106" s="8"/>
      <c r="H106" s="8"/>
      <c r="I106" s="8" t="s">
        <v>6359</v>
      </c>
      <c r="J106" s="8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8" t="s">
        <v>1607</v>
      </c>
      <c r="E107" s="8" t="s">
        <v>8</v>
      </c>
      <c r="F107" s="8"/>
      <c r="H107" s="8"/>
      <c r="I107" s="8" t="s">
        <v>6490</v>
      </c>
      <c r="J107" s="8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8" t="s">
        <v>1607</v>
      </c>
      <c r="E108" s="8" t="s">
        <v>8</v>
      </c>
      <c r="F108" s="8"/>
      <c r="H108" s="8"/>
      <c r="I108" s="8" t="s">
        <v>6492</v>
      </c>
      <c r="J108" s="8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8" t="s">
        <v>1607</v>
      </c>
      <c r="E109" s="8" t="s">
        <v>8</v>
      </c>
      <c r="F109" s="8"/>
      <c r="H109" s="8"/>
      <c r="I109" s="8" t="s">
        <v>6494</v>
      </c>
      <c r="J109" s="8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8" t="s">
        <v>1607</v>
      </c>
      <c r="E110" s="8" t="s">
        <v>8</v>
      </c>
      <c r="F110" s="8"/>
      <c r="H110" s="8"/>
      <c r="I110" s="8" t="s">
        <v>6496</v>
      </c>
      <c r="J110" s="8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8" t="s">
        <v>1607</v>
      </c>
      <c r="E111" s="8" t="s">
        <v>8</v>
      </c>
      <c r="F111" s="8"/>
      <c r="H111" s="8"/>
      <c r="I111" s="8" t="s">
        <v>6704</v>
      </c>
      <c r="J111" s="8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8" t="s">
        <v>1607</v>
      </c>
      <c r="E112" s="8" t="s">
        <v>8</v>
      </c>
      <c r="F112" s="8"/>
      <c r="H112" s="8"/>
      <c r="I112" s="8" t="s">
        <v>6706</v>
      </c>
      <c r="J112" s="8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8" t="s">
        <v>1607</v>
      </c>
      <c r="E113" s="8" t="s">
        <v>8</v>
      </c>
      <c r="F113" s="8"/>
      <c r="H113" s="8"/>
      <c r="I113" s="8" t="s">
        <v>6708</v>
      </c>
      <c r="J113" s="8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8" t="s">
        <v>1607</v>
      </c>
      <c r="E114" s="8" t="s">
        <v>8</v>
      </c>
      <c r="F114" s="8"/>
      <c r="H114" s="8"/>
      <c r="I114" s="8" t="s">
        <v>6893</v>
      </c>
      <c r="J114" s="8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8" t="s">
        <v>4</v>
      </c>
      <c r="E115" s="8" t="s">
        <v>7045</v>
      </c>
      <c r="F115" s="8"/>
      <c r="H115" s="8"/>
      <c r="I115" s="8" t="s">
        <v>6895</v>
      </c>
      <c r="J115" s="8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8" t="s">
        <v>4</v>
      </c>
      <c r="E116" s="8" t="s">
        <v>7045</v>
      </c>
      <c r="F116" s="8"/>
      <c r="H116" s="8"/>
      <c r="I116" s="8" t="s">
        <v>6897</v>
      </c>
      <c r="J116" s="8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8" t="s">
        <v>4</v>
      </c>
      <c r="E117" s="8" t="s">
        <v>7045</v>
      </c>
      <c r="F117" s="8"/>
      <c r="H117" s="8"/>
      <c r="I117" s="8" t="s">
        <v>6899</v>
      </c>
      <c r="J117" s="8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8" t="s">
        <v>4</v>
      </c>
      <c r="E118" s="8" t="s">
        <v>7045</v>
      </c>
      <c r="F118" s="8"/>
      <c r="H118" s="8"/>
      <c r="I118" s="8" t="s">
        <v>6901</v>
      </c>
      <c r="J118" s="8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8" t="s">
        <v>4</v>
      </c>
      <c r="E119" s="8" t="s">
        <v>7045</v>
      </c>
      <c r="F119" s="8"/>
      <c r="H119" s="8"/>
      <c r="I119" s="8" t="s">
        <v>6903</v>
      </c>
      <c r="J119" s="8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8" t="s">
        <v>1607</v>
      </c>
      <c r="E120" s="8" t="s">
        <v>8</v>
      </c>
      <c r="F120" s="8"/>
      <c r="H120" s="8"/>
      <c r="I120" s="8" t="s">
        <v>6905</v>
      </c>
      <c r="J120" s="8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8" t="s">
        <v>4</v>
      </c>
      <c r="E121" s="8" t="s">
        <v>7045</v>
      </c>
      <c r="F121" s="8"/>
      <c r="H121" s="8"/>
      <c r="I121" s="8" t="s">
        <v>7180</v>
      </c>
      <c r="J121" s="8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8" t="s">
        <v>226</v>
      </c>
      <c r="E122" s="8" t="s">
        <v>7341</v>
      </c>
      <c r="F122" s="8" t="s">
        <v>7342</v>
      </c>
      <c r="H122" s="8"/>
      <c r="I122" s="8" t="s">
        <v>7183</v>
      </c>
      <c r="J122" s="8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8" t="s">
        <v>226</v>
      </c>
      <c r="E123" s="8" t="s">
        <v>7341</v>
      </c>
      <c r="F123" s="8" t="s">
        <v>7342</v>
      </c>
      <c r="H123" s="8" t="s">
        <v>2352</v>
      </c>
      <c r="I123" s="8" t="s">
        <v>7186</v>
      </c>
      <c r="J123" s="8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8" t="s">
        <v>4</v>
      </c>
      <c r="E124" s="8" t="s">
        <v>7045</v>
      </c>
      <c r="F124" s="8"/>
      <c r="H124" s="8"/>
      <c r="I124" s="8" t="s">
        <v>7189</v>
      </c>
      <c r="J124" s="8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8" t="s">
        <v>4</v>
      </c>
      <c r="E125" s="8" t="s">
        <v>7045</v>
      </c>
      <c r="F125" s="8"/>
      <c r="H125" s="8"/>
      <c r="I125" s="8" t="s">
        <v>7385</v>
      </c>
      <c r="J125" s="8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8" t="s">
        <v>4</v>
      </c>
      <c r="E126" s="8" t="s">
        <v>7045</v>
      </c>
      <c r="F126" s="8"/>
      <c r="H126" s="8"/>
      <c r="I126" s="8" t="s">
        <v>7468</v>
      </c>
      <c r="J126" s="8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8" t="s">
        <v>4</v>
      </c>
      <c r="E127" s="8" t="s">
        <v>7045</v>
      </c>
      <c r="F127" s="8"/>
      <c r="H127" s="8"/>
      <c r="I127" s="8" t="s">
        <v>7470</v>
      </c>
      <c r="J127" s="8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8" t="s">
        <v>4</v>
      </c>
      <c r="E128" s="8" t="s">
        <v>7045</v>
      </c>
      <c r="F128" s="8"/>
      <c r="H128" s="8"/>
      <c r="I128" s="8" t="s">
        <v>7472</v>
      </c>
      <c r="J128" s="8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8" t="s">
        <v>4</v>
      </c>
      <c r="E129" s="8" t="s">
        <v>7739</v>
      </c>
      <c r="F129" s="8"/>
      <c r="H129" s="8"/>
      <c r="I129" s="8" t="s">
        <v>7661</v>
      </c>
      <c r="J129" s="8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8" t="s">
        <v>1607</v>
      </c>
      <c r="E130" s="8" t="s">
        <v>8</v>
      </c>
      <c r="F130" s="8"/>
      <c r="H130" s="8"/>
      <c r="I130" s="8" t="s">
        <v>7663</v>
      </c>
      <c r="J130" s="8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8" t="s">
        <v>4</v>
      </c>
      <c r="E131" s="8" t="s">
        <v>7045</v>
      </c>
      <c r="F131" s="8"/>
      <c r="H131" s="8"/>
      <c r="I131" s="8" t="s">
        <v>7770</v>
      </c>
      <c r="J131" s="8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8" t="s">
        <v>4</v>
      </c>
      <c r="E132" s="8" t="s">
        <v>7045</v>
      </c>
      <c r="F132" s="8"/>
      <c r="H132" s="8"/>
      <c r="I132" s="8" t="s">
        <v>7772</v>
      </c>
      <c r="J132" s="8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8" t="s">
        <v>4</v>
      </c>
      <c r="E133" s="8" t="s">
        <v>7045</v>
      </c>
      <c r="F133" s="8"/>
      <c r="H133" s="8"/>
      <c r="I133" s="8" t="s">
        <v>7955</v>
      </c>
      <c r="J133" s="8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8" t="s">
        <v>4</v>
      </c>
      <c r="E134" s="8" t="s">
        <v>7045</v>
      </c>
      <c r="F134" s="8"/>
      <c r="H134" s="8"/>
      <c r="I134" s="8" t="s">
        <v>7957</v>
      </c>
      <c r="J134" s="8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8" t="s">
        <v>4</v>
      </c>
      <c r="E135" s="8" t="s">
        <v>7045</v>
      </c>
      <c r="F135" s="8"/>
      <c r="H135" s="8"/>
      <c r="I135" s="8" t="s">
        <v>7959</v>
      </c>
      <c r="J135" s="8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8" t="s">
        <v>4</v>
      </c>
      <c r="E136" s="8" t="s">
        <v>7045</v>
      </c>
      <c r="F136" s="8"/>
      <c r="H136" s="8"/>
      <c r="I136" s="8" t="s">
        <v>8126</v>
      </c>
      <c r="J136" s="8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8" t="s">
        <v>1607</v>
      </c>
      <c r="E137" s="8" t="s">
        <v>8</v>
      </c>
      <c r="F137" s="8"/>
      <c r="H137" s="8"/>
      <c r="I137" s="8" t="s">
        <v>8440</v>
      </c>
      <c r="J137" s="8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8" t="s">
        <v>1607</v>
      </c>
      <c r="E138" s="8" t="s">
        <v>8</v>
      </c>
      <c r="F138" s="8"/>
      <c r="H138" s="8"/>
      <c r="I138" s="8" t="s">
        <v>8409</v>
      </c>
      <c r="J138" s="8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8" t="s">
        <v>4</v>
      </c>
      <c r="E139" s="8" t="s">
        <v>7045</v>
      </c>
      <c r="F139" s="8"/>
      <c r="H139" s="8"/>
      <c r="I139" s="8" t="s">
        <v>8468</v>
      </c>
      <c r="J139" s="8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8" t="s">
        <v>4</v>
      </c>
      <c r="E140" s="8" t="s">
        <v>7045</v>
      </c>
      <c r="F140" s="8"/>
      <c r="H140" s="8"/>
      <c r="I140" s="8" t="s">
        <v>8470</v>
      </c>
      <c r="J140" s="8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8" t="s">
        <v>4</v>
      </c>
      <c r="E141" s="8" t="s">
        <v>7045</v>
      </c>
      <c r="F141" s="8"/>
      <c r="H141" s="8"/>
      <c r="I141" s="8" t="s">
        <v>8606</v>
      </c>
      <c r="J141" s="8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8" t="s">
        <v>4</v>
      </c>
      <c r="E142" s="8" t="s">
        <v>7045</v>
      </c>
      <c r="F142" s="8"/>
      <c r="H142" s="8"/>
      <c r="I142" s="8" t="s">
        <v>8608</v>
      </c>
      <c r="J142" s="8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8" t="s">
        <v>4</v>
      </c>
      <c r="E143" s="8" t="s">
        <v>7045</v>
      </c>
      <c r="F143" s="8"/>
      <c r="H143" s="8"/>
      <c r="I143" s="8" t="s">
        <v>8724</v>
      </c>
      <c r="J143" s="8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8" t="s">
        <v>4</v>
      </c>
      <c r="E144" s="8" t="s">
        <v>7045</v>
      </c>
      <c r="F144" s="8"/>
      <c r="H144" s="8"/>
      <c r="I144" s="8" t="s">
        <v>8726</v>
      </c>
      <c r="J144" s="8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8" t="s">
        <v>4</v>
      </c>
      <c r="E145" s="8" t="s">
        <v>8912</v>
      </c>
      <c r="F145" s="8"/>
      <c r="H145" s="8"/>
      <c r="I145" s="8" t="s">
        <v>8854</v>
      </c>
      <c r="J145" s="8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8" t="s">
        <v>1607</v>
      </c>
      <c r="E146" s="8" t="s">
        <v>8</v>
      </c>
      <c r="F146" s="8"/>
      <c r="H146" s="8"/>
      <c r="I146" s="8" t="s">
        <v>8856</v>
      </c>
      <c r="J146" s="8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8" t="s">
        <v>4</v>
      </c>
      <c r="E147" s="8" t="s">
        <v>7045</v>
      </c>
      <c r="F147" s="8"/>
      <c r="H147" s="8"/>
      <c r="I147" s="8" t="s">
        <v>8952</v>
      </c>
      <c r="J147" s="8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8" t="s">
        <v>4</v>
      </c>
      <c r="E148" s="8" t="s">
        <v>7045</v>
      </c>
      <c r="F148" s="8"/>
      <c r="H148" s="8"/>
      <c r="I148" s="8" t="s">
        <v>8954</v>
      </c>
      <c r="J148" s="8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8" t="s">
        <v>4</v>
      </c>
      <c r="E149" s="8" t="s">
        <v>7045</v>
      </c>
      <c r="F149" s="8"/>
      <c r="H149" s="8"/>
      <c r="I149" s="8" t="s">
        <v>8956</v>
      </c>
      <c r="J149" s="8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8" t="s">
        <v>4</v>
      </c>
      <c r="E150" s="8" t="s">
        <v>7045</v>
      </c>
      <c r="F150" s="8"/>
      <c r="H150" s="8"/>
      <c r="I150" s="8" t="s">
        <v>9254</v>
      </c>
      <c r="J150" s="8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8" t="s">
        <v>226</v>
      </c>
      <c r="E151" s="8" t="s">
        <v>70</v>
      </c>
      <c r="F151" s="8" t="s">
        <v>9302</v>
      </c>
      <c r="G151">
        <v>2</v>
      </c>
      <c r="H151" s="8"/>
      <c r="I151" s="8" t="s">
        <v>9256</v>
      </c>
      <c r="J151" s="8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8" t="s">
        <v>587</v>
      </c>
      <c r="E152" s="8" t="s">
        <v>70</v>
      </c>
      <c r="F152" s="8" t="s">
        <v>9302</v>
      </c>
      <c r="H152" s="8"/>
      <c r="I152" s="8" t="s">
        <v>9259</v>
      </c>
      <c r="J152" s="8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8" t="s">
        <v>1273</v>
      </c>
      <c r="E153" s="8" t="s">
        <v>70</v>
      </c>
      <c r="F153" s="8"/>
      <c r="H153" s="8"/>
      <c r="I153" s="8" t="s">
        <v>9261</v>
      </c>
      <c r="J153" s="8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8" t="s">
        <v>227</v>
      </c>
      <c r="E154" s="8" t="s">
        <v>70</v>
      </c>
      <c r="F154" s="8" t="s">
        <v>9302</v>
      </c>
      <c r="G154">
        <v>2</v>
      </c>
      <c r="H154" s="8"/>
      <c r="I154" s="8" t="s">
        <v>9263</v>
      </c>
      <c r="J154" s="8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8" t="s">
        <v>587</v>
      </c>
      <c r="E155" s="8" t="s">
        <v>70</v>
      </c>
      <c r="F155" s="8"/>
      <c r="H155" s="8"/>
      <c r="I155" s="8" t="s">
        <v>9265</v>
      </c>
      <c r="J155" s="8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8" t="s">
        <v>1273</v>
      </c>
      <c r="E156" s="8" t="s">
        <v>66</v>
      </c>
      <c r="F156" s="8"/>
      <c r="H156" s="8"/>
      <c r="I156" s="8" t="s">
        <v>9267</v>
      </c>
      <c r="J156" s="8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8" t="s">
        <v>4921</v>
      </c>
      <c r="E157" s="8" t="s">
        <v>66</v>
      </c>
      <c r="F157" s="8"/>
      <c r="H157" s="8"/>
      <c r="I157" s="8" t="s">
        <v>9269</v>
      </c>
      <c r="J157" s="8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8" t="s">
        <v>587</v>
      </c>
      <c r="E158" s="8" t="s">
        <v>66</v>
      </c>
      <c r="F158" s="8"/>
      <c r="H158" s="8"/>
      <c r="I158" s="8" t="s">
        <v>9271</v>
      </c>
      <c r="J158" s="8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8" t="s">
        <v>4</v>
      </c>
      <c r="E159" s="8" t="s">
        <v>7045</v>
      </c>
      <c r="F159" s="8"/>
      <c r="H159" s="8"/>
      <c r="I159" s="8" t="s">
        <v>9273</v>
      </c>
      <c r="J159" s="8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8" t="s">
        <v>4921</v>
      </c>
      <c r="E160" s="8" t="s">
        <v>9421</v>
      </c>
      <c r="F160" s="8"/>
      <c r="H160" s="8"/>
      <c r="I160" s="8" t="s">
        <v>9328</v>
      </c>
      <c r="J160" s="8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8" t="s">
        <v>1607</v>
      </c>
      <c r="E161" s="8" t="s">
        <v>8</v>
      </c>
      <c r="F161" s="8"/>
      <c r="H161" s="8"/>
      <c r="I161" s="8" t="s">
        <v>9330</v>
      </c>
      <c r="J161" s="8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8" t="s">
        <v>4</v>
      </c>
      <c r="E162" s="8" t="s">
        <v>7045</v>
      </c>
      <c r="F162" s="8"/>
      <c r="H162" s="8"/>
      <c r="I162" s="8" t="s">
        <v>10600</v>
      </c>
      <c r="J162" s="8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8" t="s">
        <v>4</v>
      </c>
      <c r="E163" s="8" t="s">
        <v>7045</v>
      </c>
      <c r="F163" s="8"/>
      <c r="H163" s="8"/>
      <c r="I163" s="8" t="s">
        <v>10602</v>
      </c>
      <c r="J163" s="8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8" t="s">
        <v>4</v>
      </c>
      <c r="E164" s="8" t="s">
        <v>7045</v>
      </c>
      <c r="F164" s="8"/>
      <c r="H164" s="8"/>
      <c r="I164" s="8" t="s">
        <v>13609</v>
      </c>
      <c r="J164" s="8" t="s">
        <v>10903</v>
      </c>
      <c r="K164" t="s">
        <v>13610</v>
      </c>
      <c r="L164" t="s">
        <v>13611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8" t="s">
        <v>4</v>
      </c>
      <c r="E165" s="8" t="s">
        <v>7045</v>
      </c>
      <c r="F165" s="8"/>
      <c r="H165" s="8"/>
      <c r="I165" s="8" t="s">
        <v>13612</v>
      </c>
      <c r="J165" s="8" t="s">
        <v>10903</v>
      </c>
      <c r="K165" t="s">
        <v>13613</v>
      </c>
      <c r="L165" t="s">
        <v>13614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8" t="s">
        <v>1607</v>
      </c>
      <c r="E166" s="8" t="s">
        <v>8</v>
      </c>
      <c r="F166" s="8"/>
      <c r="H166" s="8"/>
      <c r="I166" s="8" t="s">
        <v>13934</v>
      </c>
      <c r="J166" s="8" t="s">
        <v>10903</v>
      </c>
      <c r="K166" t="s">
        <v>13935</v>
      </c>
      <c r="L166" t="s">
        <v>13936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8" t="s">
        <v>1607</v>
      </c>
      <c r="E167" s="8" t="s">
        <v>8</v>
      </c>
      <c r="F167" s="8"/>
      <c r="H167" s="8"/>
      <c r="I167" s="8" t="s">
        <v>13937</v>
      </c>
      <c r="J167" s="8" t="s">
        <v>10903</v>
      </c>
      <c r="K167" t="s">
        <v>13938</v>
      </c>
      <c r="L167" t="s">
        <v>13939</v>
      </c>
      <c r="M167" s="2" t="str">
        <f>HYPERLINK(склад2въезд18[[#This Row],[RelativePath]])</f>
        <v>3 Парковка офиса\GA3948333_3_20260301T161629Z.jpg</v>
      </c>
    </row>
  </sheetData>
  <conditionalFormatting sqref="D168:D178 E168:E181 G2:H167 D2:E167">
    <cfRule type="containsText" dxfId="890" priority="14" operator="containsText" text="Выезд с территории">
      <formula>NOT(ISERROR(SEARCH("Выезд с территории",D2)))</formula>
    </cfRule>
  </conditionalFormatting>
  <conditionalFormatting sqref="F2:F167">
    <cfRule type="notContainsText" dxfId="889" priority="13" operator="notContains" text="порожний">
      <formula>ISERROR(SEARCH("порожний",F2))</formula>
    </cfRule>
  </conditionalFormatting>
  <conditionalFormatting sqref="E2:E181">
    <cfRule type="containsText" dxfId="888" priority="11" operator="containsText" text="Газель базы">
      <formula>NOT(ISERROR(SEARCH("Газель базы",E2)))</formula>
    </cfRule>
    <cfRule type="containsText" dxfId="887" priority="12" operator="containsText" text="Погрузчик базы">
      <formula>NOT(ISERROR(SEARCH("Погрузчик базы",E2)))</formula>
    </cfRule>
  </conditionalFormatting>
  <conditionalFormatting sqref="E2:E181">
    <cfRule type="containsText" dxfId="886" priority="10" operator="containsText" text="Трактор базы">
      <formula>NOT(ISERROR(SEARCH("Трактор базы",E2)))</formula>
    </cfRule>
  </conditionalFormatting>
  <conditionalFormatting sqref="A2:C167">
    <cfRule type="expression" dxfId="885" priority="9">
      <formula>$A2="пн"</formula>
    </cfRule>
  </conditionalFormatting>
  <conditionalFormatting sqref="A2:C169">
    <cfRule type="expression" dxfId="884" priority="3">
      <formula>$A2="вс"</formula>
    </cfRule>
    <cfRule type="expression" dxfId="883" priority="4">
      <formula>$A2="сб"</formula>
    </cfRule>
    <cfRule type="expression" dxfId="882" priority="5">
      <formula>$A2="пт"</formula>
    </cfRule>
    <cfRule type="expression" dxfId="881" priority="6">
      <formula>$A2="чт"</formula>
    </cfRule>
    <cfRule type="expression" dxfId="880" priority="7">
      <formula>$A2="ср"</formula>
    </cfRule>
    <cfRule type="expression" dxfId="879" priority="8">
      <formula>$A2="вт"</formula>
    </cfRule>
  </conditionalFormatting>
  <conditionalFormatting sqref="D2:D178">
    <cfRule type="containsText" dxfId="87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8">
    <cfRule type="containsText" dxfId="87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271"/>
  <sheetViews>
    <sheetView zoomScale="90" zoomScaleNormal="90" workbookViewId="0">
      <pane ySplit="1" topLeftCell="A256" activePane="bottomLeft" state="frozen"/>
      <selection pane="bottomLeft" activeCell="I269" sqref="I269:I27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228</v>
      </c>
      <c r="J2" s="8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232</v>
      </c>
      <c r="J3" s="8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235</v>
      </c>
      <c r="J4" s="8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238</v>
      </c>
      <c r="J5" s="8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8" t="s">
        <v>4</v>
      </c>
      <c r="E6" s="8" t="s">
        <v>8</v>
      </c>
      <c r="F6" s="8"/>
      <c r="H6" s="8" t="s">
        <v>268</v>
      </c>
      <c r="I6" s="8" t="s">
        <v>241</v>
      </c>
      <c r="J6" s="8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8" t="s">
        <v>4</v>
      </c>
      <c r="E7" s="8" t="s">
        <v>8</v>
      </c>
      <c r="F7" s="8"/>
      <c r="H7" s="8" t="s">
        <v>268</v>
      </c>
      <c r="I7" s="8" t="s">
        <v>244</v>
      </c>
      <c r="J7" s="8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8" t="s">
        <v>4</v>
      </c>
      <c r="E8" s="8" t="s">
        <v>8</v>
      </c>
      <c r="F8" s="8"/>
      <c r="H8" s="8" t="s">
        <v>269</v>
      </c>
      <c r="I8" s="8" t="s">
        <v>247</v>
      </c>
      <c r="J8" s="8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250</v>
      </c>
      <c r="J9" s="8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253</v>
      </c>
      <c r="J10" s="8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8" t="s">
        <v>4</v>
      </c>
      <c r="E11" s="8" t="s">
        <v>8</v>
      </c>
      <c r="F11" s="8"/>
      <c r="H11" s="8" t="s">
        <v>268</v>
      </c>
      <c r="I11" s="8" t="s">
        <v>256</v>
      </c>
      <c r="J11" s="8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259</v>
      </c>
      <c r="J12" s="8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262</v>
      </c>
      <c r="J13" s="8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265</v>
      </c>
      <c r="J14" s="8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8" t="s">
        <v>4</v>
      </c>
      <c r="E15" s="8" t="s">
        <v>8</v>
      </c>
      <c r="F15" s="8"/>
      <c r="H15" s="8" t="s">
        <v>1612</v>
      </c>
      <c r="I15" s="8" t="s">
        <v>992</v>
      </c>
      <c r="J15" s="8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8" t="s">
        <v>1273</v>
      </c>
      <c r="E16" s="8" t="s">
        <v>56</v>
      </c>
      <c r="F16" s="8" t="s">
        <v>1613</v>
      </c>
      <c r="G16">
        <v>1</v>
      </c>
      <c r="H16" s="8"/>
      <c r="I16" s="8" t="s">
        <v>995</v>
      </c>
      <c r="J16" s="8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8" t="s">
        <v>887</v>
      </c>
      <c r="E17" s="8" t="s">
        <v>70</v>
      </c>
      <c r="F17" s="8" t="s">
        <v>1613</v>
      </c>
      <c r="H17" s="8" t="s">
        <v>1614</v>
      </c>
      <c r="I17" s="8" t="s">
        <v>998</v>
      </c>
      <c r="J17" s="8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8" t="s">
        <v>1615</v>
      </c>
      <c r="E18" s="8" t="s">
        <v>70</v>
      </c>
      <c r="F18" s="8" t="s">
        <v>1613</v>
      </c>
      <c r="H18" s="8" t="s">
        <v>1614</v>
      </c>
      <c r="I18" s="8" t="s">
        <v>1001</v>
      </c>
      <c r="J18" s="8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8" t="s">
        <v>587</v>
      </c>
      <c r="E19" s="8" t="s">
        <v>70</v>
      </c>
      <c r="F19" s="8" t="s">
        <v>1613</v>
      </c>
      <c r="H19" s="8"/>
      <c r="I19" s="8" t="s">
        <v>1004</v>
      </c>
      <c r="J19" s="8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8" t="s">
        <v>1273</v>
      </c>
      <c r="E20" s="8" t="s">
        <v>1604</v>
      </c>
      <c r="F20" s="8"/>
      <c r="H20" s="8"/>
      <c r="I20" s="8" t="s">
        <v>1007</v>
      </c>
      <c r="J20" s="8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8" t="s">
        <v>587</v>
      </c>
      <c r="E21" s="8" t="s">
        <v>1604</v>
      </c>
      <c r="F21" s="8"/>
      <c r="H21" s="8"/>
      <c r="I21" s="8" t="s">
        <v>1010</v>
      </c>
      <c r="J21" s="8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8" t="s">
        <v>1273</v>
      </c>
      <c r="E22" s="8" t="s">
        <v>1605</v>
      </c>
      <c r="F22" s="8"/>
      <c r="H22" s="8"/>
      <c r="I22" s="8" t="s">
        <v>1013</v>
      </c>
      <c r="J22" s="8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8" t="s">
        <v>1273</v>
      </c>
      <c r="E23" s="8" t="s">
        <v>70</v>
      </c>
      <c r="F23" s="8" t="s">
        <v>1613</v>
      </c>
      <c r="H23" s="8"/>
      <c r="I23" s="8" t="s">
        <v>1016</v>
      </c>
      <c r="J23" s="8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8" t="s">
        <v>4</v>
      </c>
      <c r="E24" s="8" t="s">
        <v>8</v>
      </c>
      <c r="F24" s="8"/>
      <c r="H24" s="8"/>
      <c r="I24" s="8" t="s">
        <v>1019</v>
      </c>
      <c r="J24" s="8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8" t="s">
        <v>1616</v>
      </c>
      <c r="E25" s="8" t="s">
        <v>56</v>
      </c>
      <c r="F25" s="8"/>
      <c r="H25" s="8"/>
      <c r="I25" s="8" t="s">
        <v>1022</v>
      </c>
      <c r="J25" s="8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8" t="s">
        <v>226</v>
      </c>
      <c r="E26" s="8" t="s">
        <v>56</v>
      </c>
      <c r="F26" s="8" t="s">
        <v>165</v>
      </c>
      <c r="H26" s="8"/>
      <c r="I26" s="8" t="s">
        <v>1025</v>
      </c>
      <c r="J26" s="8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8" t="s">
        <v>587</v>
      </c>
      <c r="E27" s="8" t="s">
        <v>1605</v>
      </c>
      <c r="F27" s="8"/>
      <c r="H27" s="8"/>
      <c r="I27" s="8" t="s">
        <v>1028</v>
      </c>
      <c r="J27" s="8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8" t="s">
        <v>587</v>
      </c>
      <c r="E28" s="8" t="s">
        <v>56</v>
      </c>
      <c r="F28" s="8" t="s">
        <v>165</v>
      </c>
      <c r="H28" s="8"/>
      <c r="I28" s="8" t="s">
        <v>1031</v>
      </c>
      <c r="J28" s="8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8" t="s">
        <v>4</v>
      </c>
      <c r="E29" s="8" t="s">
        <v>8</v>
      </c>
      <c r="F29" s="8"/>
      <c r="H29" s="8"/>
      <c r="I29" s="8" t="s">
        <v>1034</v>
      </c>
      <c r="J29" s="8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8" t="s">
        <v>4</v>
      </c>
      <c r="E30" s="8" t="s">
        <v>8</v>
      </c>
      <c r="F30" s="8"/>
      <c r="H30" s="8" t="s">
        <v>1292</v>
      </c>
      <c r="I30" s="8" t="s">
        <v>1037</v>
      </c>
      <c r="J30" s="8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8" t="s">
        <v>4</v>
      </c>
      <c r="E31" s="8" t="s">
        <v>8</v>
      </c>
      <c r="F31" s="8"/>
      <c r="H31" s="8" t="s">
        <v>1612</v>
      </c>
      <c r="I31" s="8" t="s">
        <v>1040</v>
      </c>
      <c r="J31" s="8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8" t="s">
        <v>4</v>
      </c>
      <c r="E32" s="8" t="s">
        <v>8</v>
      </c>
      <c r="F32" s="8"/>
      <c r="H32" s="8" t="s">
        <v>1607</v>
      </c>
      <c r="I32" s="8" t="s">
        <v>1043</v>
      </c>
      <c r="J32" s="8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8" t="s">
        <v>4</v>
      </c>
      <c r="E33" s="8" t="s">
        <v>8</v>
      </c>
      <c r="F33" s="8"/>
      <c r="H33" s="8" t="s">
        <v>1292</v>
      </c>
      <c r="I33" s="8" t="s">
        <v>1046</v>
      </c>
      <c r="J33" s="8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8" t="s">
        <v>1607</v>
      </c>
      <c r="E34" s="8"/>
      <c r="F34" s="8"/>
      <c r="H34" s="8"/>
      <c r="I34" s="8" t="s">
        <v>1720</v>
      </c>
      <c r="J34" s="8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8" t="s">
        <v>4</v>
      </c>
      <c r="E35" s="8" t="s">
        <v>2343</v>
      </c>
      <c r="F35" s="8" t="s">
        <v>58</v>
      </c>
      <c r="H35" s="8"/>
      <c r="I35" s="8" t="s">
        <v>1723</v>
      </c>
      <c r="J35" s="8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8" t="s">
        <v>4</v>
      </c>
      <c r="E36" s="8" t="s">
        <v>8</v>
      </c>
      <c r="F36" s="8"/>
      <c r="H36" s="8" t="s">
        <v>2347</v>
      </c>
      <c r="I36" s="8" t="s">
        <v>1726</v>
      </c>
      <c r="J36" s="8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8" t="s">
        <v>1607</v>
      </c>
      <c r="E37" s="8"/>
      <c r="F37" s="8"/>
      <c r="H37" s="8"/>
      <c r="I37" s="8" t="s">
        <v>1729</v>
      </c>
      <c r="J37" s="8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8" t="s">
        <v>1607</v>
      </c>
      <c r="E38" s="8"/>
      <c r="F38" s="8"/>
      <c r="H38" s="8"/>
      <c r="I38" s="8" t="s">
        <v>1732</v>
      </c>
      <c r="J38" s="8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8" t="s">
        <v>1607</v>
      </c>
      <c r="E39" s="8"/>
      <c r="F39" s="8"/>
      <c r="H39" s="8"/>
      <c r="I39" s="8" t="s">
        <v>1735</v>
      </c>
      <c r="J39" s="8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8" t="s">
        <v>1607</v>
      </c>
      <c r="E40" s="8"/>
      <c r="F40" s="8"/>
      <c r="H40" s="8"/>
      <c r="I40" s="8" t="s">
        <v>1738</v>
      </c>
      <c r="J40" s="8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8" t="s">
        <v>4</v>
      </c>
      <c r="E41" s="8" t="s">
        <v>8</v>
      </c>
      <c r="F41" s="8"/>
      <c r="H41" s="8"/>
      <c r="I41" s="8" t="s">
        <v>2655</v>
      </c>
      <c r="J41" s="8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2658</v>
      </c>
      <c r="J42" s="8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2661</v>
      </c>
      <c r="J43" s="8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8" t="s">
        <v>4</v>
      </c>
      <c r="E44" s="8" t="s">
        <v>8</v>
      </c>
      <c r="F44" s="8"/>
      <c r="H44" s="8"/>
      <c r="I44" s="8" t="s">
        <v>2664</v>
      </c>
      <c r="J44" s="8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8" t="s">
        <v>4</v>
      </c>
      <c r="E45" s="8" t="s">
        <v>8</v>
      </c>
      <c r="F45" s="8"/>
      <c r="H45" s="8"/>
      <c r="I45" s="8" t="s">
        <v>2667</v>
      </c>
      <c r="J45" s="8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8" t="s">
        <v>4</v>
      </c>
      <c r="E46" s="8" t="s">
        <v>8</v>
      </c>
      <c r="F46" s="8"/>
      <c r="H46" s="8"/>
      <c r="I46" s="8" t="s">
        <v>2670</v>
      </c>
      <c r="J46" s="8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8" t="s">
        <v>4</v>
      </c>
      <c r="E47" s="8" t="s">
        <v>8</v>
      </c>
      <c r="F47" s="8"/>
      <c r="H47" s="8"/>
      <c r="I47" s="8" t="s">
        <v>2673</v>
      </c>
      <c r="J47" s="8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8" t="s">
        <v>4</v>
      </c>
      <c r="E48" s="8" t="s">
        <v>3359</v>
      </c>
      <c r="F48" s="8" t="s">
        <v>3361</v>
      </c>
      <c r="H48" s="8" t="s">
        <v>3370</v>
      </c>
      <c r="I48" s="8" t="s">
        <v>2676</v>
      </c>
      <c r="J48" s="8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8" t="s">
        <v>587</v>
      </c>
      <c r="E49" s="8" t="s">
        <v>55</v>
      </c>
      <c r="F49" s="8" t="s">
        <v>51</v>
      </c>
      <c r="H49" s="8"/>
      <c r="I49" s="8" t="s">
        <v>3425</v>
      </c>
      <c r="J49" s="8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8" t="s">
        <v>1273</v>
      </c>
      <c r="E50" s="8" t="s">
        <v>55</v>
      </c>
      <c r="F50" s="8" t="s">
        <v>51</v>
      </c>
      <c r="H50" s="8"/>
      <c r="I50" s="8" t="s">
        <v>3428</v>
      </c>
      <c r="J50" s="8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8" t="s">
        <v>227</v>
      </c>
      <c r="E51" s="8" t="s">
        <v>3359</v>
      </c>
      <c r="F51" s="8" t="s">
        <v>4087</v>
      </c>
      <c r="H51" s="8"/>
      <c r="I51" s="8" t="s">
        <v>3557</v>
      </c>
      <c r="J51" s="8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8" t="s">
        <v>227</v>
      </c>
      <c r="E52" s="8" t="s">
        <v>3359</v>
      </c>
      <c r="F52" s="8" t="s">
        <v>4087</v>
      </c>
      <c r="H52" s="8"/>
      <c r="I52" s="8" t="s">
        <v>3560</v>
      </c>
      <c r="J52" s="8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8" t="s">
        <v>587</v>
      </c>
      <c r="E53" s="8" t="s">
        <v>3359</v>
      </c>
      <c r="F53" s="8"/>
      <c r="H53" s="8"/>
      <c r="I53" s="8" t="s">
        <v>3563</v>
      </c>
      <c r="J53" s="8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8" t="s">
        <v>226</v>
      </c>
      <c r="E54" s="8" t="s">
        <v>70</v>
      </c>
      <c r="F54" s="8" t="s">
        <v>4087</v>
      </c>
      <c r="H54" s="8" t="s">
        <v>4088</v>
      </c>
      <c r="I54" s="8" t="s">
        <v>3566</v>
      </c>
      <c r="J54" s="8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8" t="s">
        <v>227</v>
      </c>
      <c r="E55" s="8" t="s">
        <v>70</v>
      </c>
      <c r="F55" s="8" t="s">
        <v>4087</v>
      </c>
      <c r="H55" s="8" t="s">
        <v>4088</v>
      </c>
      <c r="I55" s="8" t="s">
        <v>4084</v>
      </c>
      <c r="J55" s="8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8" t="s">
        <v>587</v>
      </c>
      <c r="E56" s="8" t="s">
        <v>70</v>
      </c>
      <c r="F56" s="8"/>
      <c r="H56" s="8"/>
      <c r="I56" s="8" t="s">
        <v>3569</v>
      </c>
      <c r="J56" s="8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8" t="s">
        <v>1607</v>
      </c>
      <c r="E57" s="8" t="s">
        <v>8</v>
      </c>
      <c r="F57" s="8"/>
      <c r="H57" s="8"/>
      <c r="I57" s="8" t="s">
        <v>3572</v>
      </c>
      <c r="J57" s="8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8" t="s">
        <v>226</v>
      </c>
      <c r="E58" s="8" t="s">
        <v>70</v>
      </c>
      <c r="F58" s="8" t="s">
        <v>4087</v>
      </c>
      <c r="H58" s="8" t="s">
        <v>4089</v>
      </c>
      <c r="I58" s="8" t="s">
        <v>3575</v>
      </c>
      <c r="J58" s="8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8" t="s">
        <v>226</v>
      </c>
      <c r="E59" s="8" t="s">
        <v>70</v>
      </c>
      <c r="F59" s="8" t="s">
        <v>4087</v>
      </c>
      <c r="H59" s="8" t="s">
        <v>2352</v>
      </c>
      <c r="I59" s="8" t="s">
        <v>3578</v>
      </c>
      <c r="J59" s="8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8" t="s">
        <v>226</v>
      </c>
      <c r="E60" s="8" t="s">
        <v>70</v>
      </c>
      <c r="F60" s="8" t="s">
        <v>4087</v>
      </c>
      <c r="H60" s="8" t="s">
        <v>2352</v>
      </c>
      <c r="I60" s="8" t="s">
        <v>3581</v>
      </c>
      <c r="J60" s="8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8" t="s">
        <v>226</v>
      </c>
      <c r="E61" s="8" t="s">
        <v>70</v>
      </c>
      <c r="F61" s="8" t="s">
        <v>4087</v>
      </c>
      <c r="H61" s="8" t="s">
        <v>4090</v>
      </c>
      <c r="I61" s="8" t="s">
        <v>3584</v>
      </c>
      <c r="J61" s="8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8" t="s">
        <v>587</v>
      </c>
      <c r="E62" s="8" t="s">
        <v>70</v>
      </c>
      <c r="F62" s="8"/>
      <c r="H62" s="8"/>
      <c r="I62" s="8" t="s">
        <v>3587</v>
      </c>
      <c r="J62" s="8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8" t="s">
        <v>4</v>
      </c>
      <c r="E63" s="8" t="s">
        <v>8</v>
      </c>
      <c r="F63" s="8"/>
      <c r="H63" s="8"/>
      <c r="I63" s="8" t="s">
        <v>3590</v>
      </c>
      <c r="J63" s="8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8" t="s">
        <v>1607</v>
      </c>
      <c r="E64" s="8" t="s">
        <v>8</v>
      </c>
      <c r="F64" s="8"/>
      <c r="H64" s="8"/>
      <c r="I64" s="8" t="s">
        <v>3593</v>
      </c>
      <c r="J64" s="8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8" t="s">
        <v>4</v>
      </c>
      <c r="E65" s="8" t="s">
        <v>8</v>
      </c>
      <c r="F65" s="8"/>
      <c r="H65" s="8"/>
      <c r="I65" s="8" t="s">
        <v>4208</v>
      </c>
      <c r="J65" s="8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8" t="s">
        <v>1607</v>
      </c>
      <c r="E66" s="8" t="s">
        <v>8</v>
      </c>
      <c r="F66" s="8"/>
      <c r="H66" s="8"/>
      <c r="I66" s="8" t="s">
        <v>4262</v>
      </c>
      <c r="J66" s="8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8" t="s">
        <v>227</v>
      </c>
      <c r="E67" s="8" t="s">
        <v>4413</v>
      </c>
      <c r="F67" s="8" t="s">
        <v>4923</v>
      </c>
      <c r="H67" s="8"/>
      <c r="I67" s="8" t="s">
        <v>4556</v>
      </c>
      <c r="J67" s="8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8" t="s">
        <v>227</v>
      </c>
      <c r="E68" s="8" t="s">
        <v>4413</v>
      </c>
      <c r="F68" s="8" t="s">
        <v>4923</v>
      </c>
      <c r="H68" s="8" t="s">
        <v>2352</v>
      </c>
      <c r="I68" s="8" t="s">
        <v>4559</v>
      </c>
      <c r="J68" s="8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8" t="s">
        <v>227</v>
      </c>
      <c r="E69" s="8" t="s">
        <v>4413</v>
      </c>
      <c r="F69" s="8" t="s">
        <v>4923</v>
      </c>
      <c r="H69" s="8" t="s">
        <v>2352</v>
      </c>
      <c r="I69" s="8" t="s">
        <v>4562</v>
      </c>
      <c r="J69" s="8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8" t="s">
        <v>1607</v>
      </c>
      <c r="E70" s="8" t="s">
        <v>8</v>
      </c>
      <c r="F70" s="8"/>
      <c r="H70" s="8"/>
      <c r="I70" s="8" t="s">
        <v>4565</v>
      </c>
      <c r="J70" s="8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8" t="s">
        <v>4</v>
      </c>
      <c r="E71" s="8" t="s">
        <v>8</v>
      </c>
      <c r="F71" s="8"/>
      <c r="H71" s="8"/>
      <c r="I71" s="8" t="s">
        <v>4651</v>
      </c>
      <c r="J71" s="8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8" t="s">
        <v>4</v>
      </c>
      <c r="E72" s="8" t="s">
        <v>8</v>
      </c>
      <c r="F72" s="8"/>
      <c r="H72" s="8"/>
      <c r="I72" s="8" t="s">
        <v>4654</v>
      </c>
      <c r="J72" s="8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8" t="s">
        <v>4</v>
      </c>
      <c r="E73" s="8" t="s">
        <v>8</v>
      </c>
      <c r="F73" s="8"/>
      <c r="H73" s="8"/>
      <c r="I73" s="8" t="s">
        <v>4657</v>
      </c>
      <c r="J73" s="8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8" t="s">
        <v>1273</v>
      </c>
      <c r="E74" s="8" t="s">
        <v>55</v>
      </c>
      <c r="F74" s="8" t="s">
        <v>51</v>
      </c>
      <c r="H74" s="8"/>
      <c r="I74" s="8" t="s">
        <v>4660</v>
      </c>
      <c r="J74" s="8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8" t="s">
        <v>4</v>
      </c>
      <c r="E75" s="8" t="s">
        <v>4917</v>
      </c>
      <c r="F75" s="8" t="s">
        <v>58</v>
      </c>
      <c r="H75" s="8"/>
      <c r="I75" s="8" t="s">
        <v>4816</v>
      </c>
      <c r="J75" s="8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8" t="s">
        <v>4</v>
      </c>
      <c r="E76" s="8" t="s">
        <v>4917</v>
      </c>
      <c r="F76" s="8" t="s">
        <v>58</v>
      </c>
      <c r="H76" s="8" t="s">
        <v>3370</v>
      </c>
      <c r="I76" s="8" t="s">
        <v>4819</v>
      </c>
      <c r="J76" s="8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8" t="s">
        <v>1273</v>
      </c>
      <c r="E77" s="8" t="s">
        <v>4916</v>
      </c>
      <c r="F77" s="8" t="s">
        <v>51</v>
      </c>
      <c r="H77" s="8"/>
      <c r="I77" s="8" t="s">
        <v>4822</v>
      </c>
      <c r="J77" s="8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8" t="s">
        <v>1273</v>
      </c>
      <c r="E78" s="8" t="s">
        <v>4915</v>
      </c>
      <c r="F78" s="8" t="s">
        <v>51</v>
      </c>
      <c r="H78" s="8"/>
      <c r="I78" s="8" t="s">
        <v>4825</v>
      </c>
      <c r="J78" s="8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8" t="s">
        <v>587</v>
      </c>
      <c r="E79" s="8" t="s">
        <v>4916</v>
      </c>
      <c r="F79" s="8" t="s">
        <v>51</v>
      </c>
      <c r="H79" s="8"/>
      <c r="I79" s="8" t="s">
        <v>4828</v>
      </c>
      <c r="J79" s="8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8" t="s">
        <v>587</v>
      </c>
      <c r="E80" s="8" t="s">
        <v>4915</v>
      </c>
      <c r="F80" s="8" t="s">
        <v>51</v>
      </c>
      <c r="H80" s="8"/>
      <c r="I80" s="8" t="s">
        <v>4831</v>
      </c>
      <c r="J80" s="8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8" t="s">
        <v>1273</v>
      </c>
      <c r="E81" s="8" t="s">
        <v>4917</v>
      </c>
      <c r="F81" s="8" t="s">
        <v>58</v>
      </c>
      <c r="H81" s="8"/>
      <c r="I81" s="8" t="s">
        <v>4834</v>
      </c>
      <c r="J81" s="8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8" t="s">
        <v>1607</v>
      </c>
      <c r="E82" s="8" t="s">
        <v>8</v>
      </c>
      <c r="F82" s="8"/>
      <c r="H82" s="8"/>
      <c r="I82" s="8" t="s">
        <v>4911</v>
      </c>
      <c r="J82" s="8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8" t="s">
        <v>4924</v>
      </c>
      <c r="E83" s="8" t="s">
        <v>4917</v>
      </c>
      <c r="F83" s="8" t="s">
        <v>58</v>
      </c>
      <c r="H83" s="8"/>
      <c r="I83" s="8" t="s">
        <v>4911</v>
      </c>
      <c r="J83" s="8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8" t="s">
        <v>1607</v>
      </c>
      <c r="E84" s="8" t="s">
        <v>8</v>
      </c>
      <c r="F84" s="8"/>
      <c r="H84" s="8"/>
      <c r="I84" s="8" t="s">
        <v>4948</v>
      </c>
      <c r="J84" s="8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8" t="s">
        <v>4</v>
      </c>
      <c r="E85" s="8" t="s">
        <v>8</v>
      </c>
      <c r="F85" s="8"/>
      <c r="H85" s="8"/>
      <c r="I85" s="8" t="s">
        <v>5061</v>
      </c>
      <c r="J85" s="8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8" t="s">
        <v>226</v>
      </c>
      <c r="E86" s="8" t="s">
        <v>70</v>
      </c>
      <c r="F86" s="8" t="s">
        <v>5058</v>
      </c>
      <c r="H86" s="8"/>
      <c r="I86" s="8" t="s">
        <v>5027</v>
      </c>
      <c r="J86" s="8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8" t="s">
        <v>1273</v>
      </c>
      <c r="E87" s="8" t="s">
        <v>5310</v>
      </c>
      <c r="F87" s="8" t="s">
        <v>51</v>
      </c>
      <c r="H87" s="8"/>
      <c r="I87" s="8" t="s">
        <v>5226</v>
      </c>
      <c r="J87" s="8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8" t="s">
        <v>226</v>
      </c>
      <c r="E88" s="8" t="s">
        <v>5310</v>
      </c>
      <c r="F88" s="8" t="s">
        <v>5311</v>
      </c>
      <c r="H88" s="8"/>
      <c r="I88" s="8" t="s">
        <v>5229</v>
      </c>
      <c r="J88" s="8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8" t="s">
        <v>4</v>
      </c>
      <c r="E89" s="8" t="s">
        <v>5471</v>
      </c>
      <c r="F89" s="8"/>
      <c r="H89" s="8"/>
      <c r="I89" s="8" t="s">
        <v>5342</v>
      </c>
      <c r="J89" s="8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8" t="s">
        <v>587</v>
      </c>
      <c r="E90" s="8" t="s">
        <v>4940</v>
      </c>
      <c r="F90" s="8" t="s">
        <v>51</v>
      </c>
      <c r="H90" s="8"/>
      <c r="I90" s="8" t="s">
        <v>5345</v>
      </c>
      <c r="J90" s="8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8" t="s">
        <v>1273</v>
      </c>
      <c r="E91" s="8" t="s">
        <v>4940</v>
      </c>
      <c r="F91" s="8" t="s">
        <v>51</v>
      </c>
      <c r="H91" s="8"/>
      <c r="I91" s="8" t="s">
        <v>5348</v>
      </c>
      <c r="J91" s="8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8" t="s">
        <v>1607</v>
      </c>
      <c r="E92" s="8" t="s">
        <v>8</v>
      </c>
      <c r="F92" s="8"/>
      <c r="H92" s="8"/>
      <c r="I92" s="8" t="s">
        <v>5500</v>
      </c>
      <c r="J92" s="8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8" t="s">
        <v>1607</v>
      </c>
      <c r="E93" s="8" t="s">
        <v>8</v>
      </c>
      <c r="F93" s="8"/>
      <c r="H93" s="8"/>
      <c r="I93" s="8" t="s">
        <v>5503</v>
      </c>
      <c r="J93" s="8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8" t="s">
        <v>1607</v>
      </c>
      <c r="E94" s="8" t="s">
        <v>8</v>
      </c>
      <c r="F94" s="8"/>
      <c r="H94" s="8"/>
      <c r="I94" s="8" t="s">
        <v>5709</v>
      </c>
      <c r="J94" s="8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8" t="s">
        <v>1607</v>
      </c>
      <c r="E95" s="8" t="s">
        <v>8</v>
      </c>
      <c r="F95" s="8"/>
      <c r="H95" s="8"/>
      <c r="I95" s="8" t="s">
        <v>5743</v>
      </c>
      <c r="J95" s="8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8" t="s">
        <v>1273</v>
      </c>
      <c r="E96" s="8" t="s">
        <v>5903</v>
      </c>
      <c r="F96" s="8" t="s">
        <v>60</v>
      </c>
      <c r="H96" s="8"/>
      <c r="I96" s="8" t="s">
        <v>5746</v>
      </c>
      <c r="J96" s="8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8" t="s">
        <v>3381</v>
      </c>
      <c r="E97" s="8" t="s">
        <v>5903</v>
      </c>
      <c r="F97" s="8" t="s">
        <v>60</v>
      </c>
      <c r="H97" s="8"/>
      <c r="I97" s="8" t="s">
        <v>5749</v>
      </c>
      <c r="J97" s="8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8" t="s">
        <v>227</v>
      </c>
      <c r="E98" s="8" t="s">
        <v>5903</v>
      </c>
      <c r="F98" s="8" t="s">
        <v>60</v>
      </c>
      <c r="H98" s="8"/>
      <c r="I98" s="8" t="s">
        <v>5752</v>
      </c>
      <c r="J98" s="8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8" t="s">
        <v>587</v>
      </c>
      <c r="E99" s="8" t="s">
        <v>5903</v>
      </c>
      <c r="F99" s="8" t="s">
        <v>51</v>
      </c>
      <c r="H99" s="8"/>
      <c r="I99" s="8" t="s">
        <v>5755</v>
      </c>
      <c r="J99" s="8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8" t="s">
        <v>1607</v>
      </c>
      <c r="E100" s="8" t="s">
        <v>8</v>
      </c>
      <c r="F100" s="8"/>
      <c r="H100" s="8"/>
      <c r="I100" s="8" t="s">
        <v>6016</v>
      </c>
      <c r="J100" s="8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8" t="s">
        <v>1273</v>
      </c>
      <c r="E101" s="8" t="s">
        <v>6154</v>
      </c>
      <c r="F101" s="8" t="s">
        <v>60</v>
      </c>
      <c r="H101" s="8"/>
      <c r="I101" s="8" t="s">
        <v>6019</v>
      </c>
      <c r="J101" s="8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8" t="s">
        <v>4921</v>
      </c>
      <c r="E102" s="8" t="s">
        <v>6154</v>
      </c>
      <c r="F102" s="8" t="s">
        <v>60</v>
      </c>
      <c r="H102" s="8"/>
      <c r="I102" s="8" t="s">
        <v>6022</v>
      </c>
      <c r="J102" s="8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8" t="s">
        <v>587</v>
      </c>
      <c r="E103" s="8" t="s">
        <v>6154</v>
      </c>
      <c r="F103" s="8" t="s">
        <v>51</v>
      </c>
      <c r="H103" s="8"/>
      <c r="I103" s="8" t="s">
        <v>6025</v>
      </c>
      <c r="J103" s="8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8" t="s">
        <v>1607</v>
      </c>
      <c r="E104" s="8" t="s">
        <v>8</v>
      </c>
      <c r="F104" s="8"/>
      <c r="H104" s="8"/>
      <c r="I104" s="8" t="s">
        <v>6028</v>
      </c>
      <c r="J104" s="8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8" t="s">
        <v>1607</v>
      </c>
      <c r="E105" s="8" t="s">
        <v>8</v>
      </c>
      <c r="F105" s="8"/>
      <c r="H105" s="8"/>
      <c r="I105" s="8" t="s">
        <v>6257</v>
      </c>
      <c r="J105" s="8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8" t="s">
        <v>6436</v>
      </c>
      <c r="E106" s="8" t="s">
        <v>5310</v>
      </c>
      <c r="F106" s="8" t="s">
        <v>4070</v>
      </c>
      <c r="H106" s="8"/>
      <c r="I106" s="8" t="s">
        <v>6392</v>
      </c>
      <c r="J106" s="8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8" t="s">
        <v>4</v>
      </c>
      <c r="E107" s="8" t="s">
        <v>5310</v>
      </c>
      <c r="F107" s="8" t="s">
        <v>4070</v>
      </c>
      <c r="H107" s="8" t="s">
        <v>6437</v>
      </c>
      <c r="I107" s="8" t="s">
        <v>6395</v>
      </c>
      <c r="J107" s="8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8" t="s">
        <v>1607</v>
      </c>
      <c r="E108" s="8" t="s">
        <v>8</v>
      </c>
      <c r="F108" s="8"/>
      <c r="H108" s="8"/>
      <c r="I108" s="8" t="s">
        <v>6398</v>
      </c>
      <c r="J108" s="8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8" t="s">
        <v>4</v>
      </c>
      <c r="E109" s="8" t="s">
        <v>3358</v>
      </c>
      <c r="F109" s="8" t="s">
        <v>4070</v>
      </c>
      <c r="H109" s="8"/>
      <c r="I109" s="8" t="s">
        <v>6398</v>
      </c>
      <c r="J109" s="8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8" t="s">
        <v>4</v>
      </c>
      <c r="E110" s="8" t="s">
        <v>8</v>
      </c>
      <c r="F110" s="8"/>
      <c r="H110" s="8" t="s">
        <v>6438</v>
      </c>
      <c r="I110" s="8" t="s">
        <v>6401</v>
      </c>
      <c r="J110" s="8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8" t="s">
        <v>587</v>
      </c>
      <c r="E111" s="8" t="s">
        <v>4940</v>
      </c>
      <c r="F111" s="8" t="s">
        <v>51</v>
      </c>
      <c r="H111" s="8"/>
      <c r="I111" s="8" t="s">
        <v>6404</v>
      </c>
      <c r="J111" s="8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8" t="s">
        <v>1273</v>
      </c>
      <c r="E112" s="8" t="s">
        <v>6435</v>
      </c>
      <c r="F112" s="8"/>
      <c r="H112" s="8"/>
      <c r="I112" s="8" t="s">
        <v>6407</v>
      </c>
      <c r="J112" s="8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8" t="s">
        <v>587</v>
      </c>
      <c r="E113" s="8" t="s">
        <v>6435</v>
      </c>
      <c r="F113" s="8"/>
      <c r="H113" s="8"/>
      <c r="I113" s="8" t="s">
        <v>6410</v>
      </c>
      <c r="J113" s="8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8" t="s">
        <v>1273</v>
      </c>
      <c r="E114" s="8" t="s">
        <v>4940</v>
      </c>
      <c r="F114" s="8"/>
      <c r="H114" s="8"/>
      <c r="I114" s="8" t="s">
        <v>6413</v>
      </c>
      <c r="J114" s="8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8" t="s">
        <v>4</v>
      </c>
      <c r="E115" s="8" t="s">
        <v>1274</v>
      </c>
      <c r="F115" s="8" t="s">
        <v>6658</v>
      </c>
      <c r="H115" s="8"/>
      <c r="I115" s="8" t="s">
        <v>6472</v>
      </c>
      <c r="J115" s="8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8" t="s">
        <v>4</v>
      </c>
      <c r="E116" s="8" t="s">
        <v>8</v>
      </c>
      <c r="F116" s="8"/>
      <c r="H116" s="8"/>
      <c r="I116" s="8" t="s">
        <v>6475</v>
      </c>
      <c r="J116" s="8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8" t="s">
        <v>1607</v>
      </c>
      <c r="E117" s="8" t="s">
        <v>8</v>
      </c>
      <c r="F117" s="8"/>
      <c r="H117" s="8"/>
      <c r="I117" s="8" t="s">
        <v>6478</v>
      </c>
      <c r="J117" s="8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8" t="s">
        <v>1607</v>
      </c>
      <c r="E118" s="8" t="s">
        <v>8</v>
      </c>
      <c r="F118" s="8"/>
      <c r="H118" s="8"/>
      <c r="I118" s="8" t="s">
        <v>6481</v>
      </c>
      <c r="J118" s="8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8" t="s">
        <v>1607</v>
      </c>
      <c r="E119" s="8" t="s">
        <v>8</v>
      </c>
      <c r="F119" s="8"/>
      <c r="H119" s="8"/>
      <c r="I119" s="8" t="s">
        <v>6484</v>
      </c>
      <c r="J119" s="8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8" t="s">
        <v>1607</v>
      </c>
      <c r="E120" s="8" t="s">
        <v>8</v>
      </c>
      <c r="F120" s="8"/>
      <c r="H120" s="8"/>
      <c r="I120" s="8" t="s">
        <v>6487</v>
      </c>
      <c r="J120" s="8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8" t="s">
        <v>1607</v>
      </c>
      <c r="E121" s="8" t="s">
        <v>8</v>
      </c>
      <c r="F121" s="8"/>
      <c r="H121" s="8"/>
      <c r="I121" s="8" t="s">
        <v>6719</v>
      </c>
      <c r="J121" s="8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8" t="s">
        <v>1607</v>
      </c>
      <c r="E122" s="8" t="s">
        <v>8</v>
      </c>
      <c r="F122" s="8"/>
      <c r="H122" s="8"/>
      <c r="I122" s="8" t="s">
        <v>6722</v>
      </c>
      <c r="J122" s="8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8" t="s">
        <v>1607</v>
      </c>
      <c r="E123" s="8" t="s">
        <v>8</v>
      </c>
      <c r="F123" s="8"/>
      <c r="H123" s="8"/>
      <c r="I123" s="8" t="s">
        <v>6725</v>
      </c>
      <c r="J123" s="8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8" t="s">
        <v>1607</v>
      </c>
      <c r="E124" s="8" t="s">
        <v>8</v>
      </c>
      <c r="F124" s="8"/>
      <c r="H124" s="8"/>
      <c r="I124" s="8" t="s">
        <v>6907</v>
      </c>
      <c r="J124" s="8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8" t="s">
        <v>4</v>
      </c>
      <c r="E125" s="8" t="s">
        <v>8</v>
      </c>
      <c r="F125" s="8"/>
      <c r="H125" s="8"/>
      <c r="I125" s="8" t="s">
        <v>6910</v>
      </c>
      <c r="J125" s="8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8" t="s">
        <v>4</v>
      </c>
      <c r="E126" s="8" t="s">
        <v>8</v>
      </c>
      <c r="F126" s="8"/>
      <c r="H126" s="8"/>
      <c r="I126" s="8" t="s">
        <v>6913</v>
      </c>
      <c r="J126" s="8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8" t="s">
        <v>4</v>
      </c>
      <c r="E127" s="8" t="s">
        <v>8</v>
      </c>
      <c r="F127" s="8"/>
      <c r="H127" s="8"/>
      <c r="I127" s="8" t="s">
        <v>6916</v>
      </c>
      <c r="J127" s="8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8" t="s">
        <v>4</v>
      </c>
      <c r="E128" s="8" t="s">
        <v>1274</v>
      </c>
      <c r="F128" s="8"/>
      <c r="H128" s="8"/>
      <c r="I128" s="8" t="s">
        <v>6919</v>
      </c>
      <c r="J128" s="8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8" t="s">
        <v>4</v>
      </c>
      <c r="E129" s="8" t="s">
        <v>7045</v>
      </c>
      <c r="F129" s="8"/>
      <c r="H129" s="8"/>
      <c r="I129" s="8" t="s">
        <v>6922</v>
      </c>
      <c r="J129" s="8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8" t="s">
        <v>4</v>
      </c>
      <c r="E130" s="8" t="s">
        <v>7045</v>
      </c>
      <c r="F130" s="8"/>
      <c r="H130" s="8"/>
      <c r="I130" s="8" t="s">
        <v>6925</v>
      </c>
      <c r="J130" s="8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8" t="s">
        <v>1273</v>
      </c>
      <c r="E131" s="8" t="s">
        <v>7043</v>
      </c>
      <c r="F131" s="8"/>
      <c r="H131" s="8"/>
      <c r="I131" s="8" t="s">
        <v>6928</v>
      </c>
      <c r="J131" s="8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8" t="s">
        <v>1273</v>
      </c>
      <c r="E132" s="8" t="s">
        <v>7044</v>
      </c>
      <c r="F132" s="8"/>
      <c r="H132" s="8"/>
      <c r="I132" s="8" t="s">
        <v>6931</v>
      </c>
      <c r="J132" s="8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8" t="s">
        <v>587</v>
      </c>
      <c r="E133" s="8" t="s">
        <v>7044</v>
      </c>
      <c r="F133" s="8"/>
      <c r="H133" s="8"/>
      <c r="I133" s="8" t="s">
        <v>6934</v>
      </c>
      <c r="J133" s="8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8" t="s">
        <v>587</v>
      </c>
      <c r="E134" s="8" t="s">
        <v>7043</v>
      </c>
      <c r="F134" s="8"/>
      <c r="H134" s="8"/>
      <c r="I134" s="8" t="s">
        <v>6937</v>
      </c>
      <c r="J134" s="8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8" t="s">
        <v>1607</v>
      </c>
      <c r="E135" s="8" t="s">
        <v>8</v>
      </c>
      <c r="F135" s="8"/>
      <c r="H135" s="8"/>
      <c r="I135" s="8" t="s">
        <v>6940</v>
      </c>
      <c r="J135" s="8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8" t="s">
        <v>4</v>
      </c>
      <c r="E136" s="8" t="s">
        <v>7046</v>
      </c>
      <c r="F136" s="8"/>
      <c r="H136" s="8"/>
      <c r="I136" s="8" t="s">
        <v>6943</v>
      </c>
      <c r="J136" s="8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8" t="s">
        <v>4</v>
      </c>
      <c r="E137" s="8" t="s">
        <v>7045</v>
      </c>
      <c r="F137" s="8"/>
      <c r="H137" s="8"/>
      <c r="I137" s="8" t="s">
        <v>7191</v>
      </c>
      <c r="J137" s="8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8" t="s">
        <v>4</v>
      </c>
      <c r="E138" s="8" t="s">
        <v>7045</v>
      </c>
      <c r="F138" s="8"/>
      <c r="H138" s="8"/>
      <c r="I138" s="8" t="s">
        <v>7194</v>
      </c>
      <c r="J138" s="8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8" t="s">
        <v>4</v>
      </c>
      <c r="E139" s="8" t="s">
        <v>7045</v>
      </c>
      <c r="F139" s="8"/>
      <c r="H139" s="8"/>
      <c r="I139" s="8" t="s">
        <v>7395</v>
      </c>
      <c r="J139" s="8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8" t="s">
        <v>4</v>
      </c>
      <c r="E140" s="8" t="s">
        <v>7045</v>
      </c>
      <c r="F140" s="8"/>
      <c r="H140" s="8"/>
      <c r="I140" s="8" t="s">
        <v>7474</v>
      </c>
      <c r="J140" s="8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8" t="s">
        <v>4</v>
      </c>
      <c r="E141" s="8" t="s">
        <v>7489</v>
      </c>
      <c r="F141" s="8"/>
      <c r="H141" s="8"/>
      <c r="I141" s="8" t="s">
        <v>7477</v>
      </c>
      <c r="J141" s="8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8" t="s">
        <v>136</v>
      </c>
      <c r="E142" s="8" t="s">
        <v>4396</v>
      </c>
      <c r="F142" s="8" t="s">
        <v>465</v>
      </c>
      <c r="H142" s="8"/>
      <c r="I142" s="8" t="s">
        <v>7480</v>
      </c>
      <c r="J142" s="8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8" t="s">
        <v>136</v>
      </c>
      <c r="E143" s="8" t="s">
        <v>4396</v>
      </c>
      <c r="F143" s="8" t="s">
        <v>465</v>
      </c>
      <c r="H143" s="8" t="s">
        <v>2352</v>
      </c>
      <c r="I143" s="8" t="s">
        <v>7483</v>
      </c>
      <c r="J143" s="8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8" t="s">
        <v>4</v>
      </c>
      <c r="E144" s="8" t="s">
        <v>7490</v>
      </c>
      <c r="F144" s="8"/>
      <c r="H144" s="8"/>
      <c r="I144" s="8" t="s">
        <v>7486</v>
      </c>
      <c r="J144" s="8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8" t="s">
        <v>4</v>
      </c>
      <c r="E145" s="8" t="s">
        <v>7045</v>
      </c>
      <c r="F145" s="8"/>
      <c r="H145" s="8"/>
      <c r="I145" s="8" t="s">
        <v>7695</v>
      </c>
      <c r="J145" s="8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8" t="s">
        <v>1607</v>
      </c>
      <c r="E146" s="8" t="s">
        <v>8</v>
      </c>
      <c r="F146" s="8"/>
      <c r="H146" s="8"/>
      <c r="I146" s="8" t="s">
        <v>7698</v>
      </c>
      <c r="J146" s="8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8" t="s">
        <v>4</v>
      </c>
      <c r="E147" s="8" t="s">
        <v>7045</v>
      </c>
      <c r="F147" s="8"/>
      <c r="H147" s="8"/>
      <c r="I147" s="8" t="s">
        <v>7774</v>
      </c>
      <c r="J147" s="8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8" t="s">
        <v>4</v>
      </c>
      <c r="E148" s="8" t="s">
        <v>7045</v>
      </c>
      <c r="F148" s="8"/>
      <c r="H148" s="8"/>
      <c r="I148" s="8" t="s">
        <v>7777</v>
      </c>
      <c r="J148" s="8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8" t="s">
        <v>4</v>
      </c>
      <c r="E149" s="8" t="s">
        <v>7045</v>
      </c>
      <c r="F149" s="8"/>
      <c r="H149" s="8"/>
      <c r="I149" s="8" t="s">
        <v>7780</v>
      </c>
      <c r="J149" s="8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8" t="s">
        <v>4</v>
      </c>
      <c r="E150" s="8" t="s">
        <v>7045</v>
      </c>
      <c r="F150" s="8"/>
      <c r="H150" s="8"/>
      <c r="I150" s="8" t="s">
        <v>8081</v>
      </c>
      <c r="J150" s="8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8" t="s">
        <v>4</v>
      </c>
      <c r="E151" s="8" t="s">
        <v>7045</v>
      </c>
      <c r="F151" s="8"/>
      <c r="H151" s="8"/>
      <c r="I151" s="8" t="s">
        <v>7961</v>
      </c>
      <c r="J151" s="8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8" t="s">
        <v>4</v>
      </c>
      <c r="E152" s="8" t="s">
        <v>7045</v>
      </c>
      <c r="F152" s="8"/>
      <c r="H152" s="8"/>
      <c r="I152" s="8" t="s">
        <v>7964</v>
      </c>
      <c r="J152" s="8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8" t="s">
        <v>4</v>
      </c>
      <c r="E153" s="8" t="s">
        <v>7045</v>
      </c>
      <c r="F153" s="8"/>
      <c r="H153" s="8"/>
      <c r="I153" s="8" t="s">
        <v>7967</v>
      </c>
      <c r="J153" s="8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8" t="s">
        <v>4</v>
      </c>
      <c r="E154" s="8" t="s">
        <v>8116</v>
      </c>
      <c r="F154" s="8"/>
      <c r="H154" s="8"/>
      <c r="I154" s="8" t="s">
        <v>8134</v>
      </c>
      <c r="J154" s="8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8" t="s">
        <v>4</v>
      </c>
      <c r="E155" s="8" t="s">
        <v>8116</v>
      </c>
      <c r="F155" s="8"/>
      <c r="H155" s="8" t="s">
        <v>8228</v>
      </c>
      <c r="I155" s="8" t="s">
        <v>8216</v>
      </c>
      <c r="J155" s="8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8" t="s">
        <v>4</v>
      </c>
      <c r="E156" s="8" t="s">
        <v>8116</v>
      </c>
      <c r="F156" s="8"/>
      <c r="H156" s="8" t="s">
        <v>8228</v>
      </c>
      <c r="I156" s="8" t="s">
        <v>8219</v>
      </c>
      <c r="J156" s="8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8" t="s">
        <v>1273</v>
      </c>
      <c r="E157" s="8" t="s">
        <v>8117</v>
      </c>
      <c r="F157" s="8" t="s">
        <v>60</v>
      </c>
      <c r="H157" s="8"/>
      <c r="I157" s="8" t="s">
        <v>8222</v>
      </c>
      <c r="J157" s="8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8" t="s">
        <v>4</v>
      </c>
      <c r="E158" s="8" t="s">
        <v>7045</v>
      </c>
      <c r="F158" s="8"/>
      <c r="H158" s="8"/>
      <c r="I158" s="8" t="s">
        <v>8225</v>
      </c>
      <c r="J158" s="8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8" t="s">
        <v>1607</v>
      </c>
      <c r="E159" s="8" t="s">
        <v>8</v>
      </c>
      <c r="F159" s="8"/>
      <c r="H159" s="8"/>
      <c r="I159" s="8" t="s">
        <v>8411</v>
      </c>
      <c r="J159" s="8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8" t="s">
        <v>1607</v>
      </c>
      <c r="E160" s="8" t="s">
        <v>8</v>
      </c>
      <c r="F160" s="8"/>
      <c r="H160" s="8"/>
      <c r="I160" s="8" t="s">
        <v>8414</v>
      </c>
      <c r="J160" s="8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8" t="s">
        <v>1607</v>
      </c>
      <c r="E161" s="8" t="s">
        <v>8</v>
      </c>
      <c r="F161" s="8"/>
      <c r="H161" s="8"/>
      <c r="I161" s="8" t="s">
        <v>8450</v>
      </c>
      <c r="J161" s="8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8" t="s">
        <v>1607</v>
      </c>
      <c r="E162" s="8" t="s">
        <v>8</v>
      </c>
      <c r="F162" s="8"/>
      <c r="H162" s="8"/>
      <c r="I162" s="8" t="s">
        <v>8453</v>
      </c>
      <c r="J162" s="8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8" t="s">
        <v>4</v>
      </c>
      <c r="E163" s="8" t="s">
        <v>8716</v>
      </c>
      <c r="F163" s="8"/>
      <c r="H163" s="8"/>
      <c r="I163" s="8" t="s">
        <v>8581</v>
      </c>
      <c r="J163" s="8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8" t="s">
        <v>4</v>
      </c>
      <c r="E164" s="8" t="s">
        <v>7045</v>
      </c>
      <c r="F164" s="8"/>
      <c r="H164" s="8"/>
      <c r="I164" s="8" t="s">
        <v>8584</v>
      </c>
      <c r="J164" s="8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8" t="s">
        <v>4</v>
      </c>
      <c r="E165" s="8" t="s">
        <v>70</v>
      </c>
      <c r="F165" s="8" t="s">
        <v>4087</v>
      </c>
      <c r="H165" s="8"/>
      <c r="I165" s="8" t="s">
        <v>8732</v>
      </c>
      <c r="J165" s="8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8" t="s">
        <v>226</v>
      </c>
      <c r="E166" s="8" t="s">
        <v>70</v>
      </c>
      <c r="F166" s="8" t="s">
        <v>4087</v>
      </c>
      <c r="H166" s="8"/>
      <c r="I166" s="8" t="s">
        <v>8735</v>
      </c>
      <c r="J166" s="8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8" t="s">
        <v>1607</v>
      </c>
      <c r="E167" s="8" t="s">
        <v>8</v>
      </c>
      <c r="F167" s="8"/>
      <c r="H167" s="8"/>
      <c r="I167" s="8" t="s">
        <v>8826</v>
      </c>
      <c r="J167" s="8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8" t="s">
        <v>1607</v>
      </c>
      <c r="E168" s="8" t="s">
        <v>8</v>
      </c>
      <c r="F168" s="8"/>
      <c r="H168" s="8"/>
      <c r="I168" s="8" t="s">
        <v>8829</v>
      </c>
      <c r="J168" s="8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8" t="s">
        <v>4</v>
      </c>
      <c r="E169" s="8" t="s">
        <v>7045</v>
      </c>
      <c r="F169" s="8"/>
      <c r="H169" s="8"/>
      <c r="I169" s="8" t="s">
        <v>8964</v>
      </c>
      <c r="J169" s="8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8" t="s">
        <v>226</v>
      </c>
      <c r="E170" s="8" t="s">
        <v>4940</v>
      </c>
      <c r="F170" s="8" t="s">
        <v>9130</v>
      </c>
      <c r="H170" s="8"/>
      <c r="I170" s="8" t="s">
        <v>8967</v>
      </c>
      <c r="J170" s="8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8" t="s">
        <v>587</v>
      </c>
      <c r="E171" s="8" t="s">
        <v>4940</v>
      </c>
      <c r="F171" s="8" t="s">
        <v>9130</v>
      </c>
      <c r="H171" s="8"/>
      <c r="I171" s="8" t="s">
        <v>8970</v>
      </c>
      <c r="J171" s="8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8" t="s">
        <v>1273</v>
      </c>
      <c r="E172" s="8" t="s">
        <v>4940</v>
      </c>
      <c r="F172" s="8"/>
      <c r="H172" s="8"/>
      <c r="I172" s="8" t="s">
        <v>8973</v>
      </c>
      <c r="J172" s="8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8" t="s">
        <v>4</v>
      </c>
      <c r="E173" s="8" t="s">
        <v>7045</v>
      </c>
      <c r="F173" s="8"/>
      <c r="H173" s="8"/>
      <c r="I173" s="8" t="s">
        <v>9174</v>
      </c>
      <c r="J173" s="8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8" t="s">
        <v>4</v>
      </c>
      <c r="E174" s="8" t="s">
        <v>7045</v>
      </c>
      <c r="F174" s="8"/>
      <c r="H174" s="8"/>
      <c r="I174" s="8" t="s">
        <v>9177</v>
      </c>
      <c r="J174" s="8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8" t="s">
        <v>4</v>
      </c>
      <c r="E175" s="8" t="s">
        <v>7045</v>
      </c>
      <c r="F175" s="8"/>
      <c r="H175" s="8"/>
      <c r="I175" s="8" t="s">
        <v>9180</v>
      </c>
      <c r="J175" s="8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8" t="s">
        <v>4</v>
      </c>
      <c r="E176" s="8" t="s">
        <v>8</v>
      </c>
      <c r="F176" s="8"/>
      <c r="H176" s="8"/>
      <c r="I176" s="8" t="s">
        <v>9332</v>
      </c>
      <c r="J176" s="8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8" t="s">
        <v>1607</v>
      </c>
      <c r="E177" s="8" t="s">
        <v>8</v>
      </c>
      <c r="F177" s="8"/>
      <c r="H177" s="8"/>
      <c r="I177" s="8" t="s">
        <v>9335</v>
      </c>
      <c r="J177" s="8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8" t="s">
        <v>4</v>
      </c>
      <c r="E178" s="8" t="s">
        <v>7045</v>
      </c>
      <c r="F178" s="8"/>
      <c r="H178" s="8"/>
      <c r="I178" s="8" t="s">
        <v>9515</v>
      </c>
      <c r="J178" s="8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8" t="s">
        <v>9596</v>
      </c>
      <c r="E179" s="8" t="s">
        <v>9597</v>
      </c>
      <c r="F179" s="8" t="s">
        <v>4070</v>
      </c>
      <c r="H179" s="8"/>
      <c r="I179" s="8" t="s">
        <v>9518</v>
      </c>
      <c r="J179" s="8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8" t="s">
        <v>62</v>
      </c>
      <c r="E180" s="8" t="s">
        <v>9597</v>
      </c>
      <c r="F180" s="8" t="s">
        <v>4070</v>
      </c>
      <c r="H180" s="8"/>
      <c r="I180" s="8" t="s">
        <v>9521</v>
      </c>
      <c r="J180" s="8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8" t="s">
        <v>9596</v>
      </c>
      <c r="E181" s="8" t="s">
        <v>3358</v>
      </c>
      <c r="F181" s="8" t="s">
        <v>4070</v>
      </c>
      <c r="H181" s="8"/>
      <c r="I181" s="8" t="s">
        <v>9524</v>
      </c>
      <c r="J181" s="8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8" t="s">
        <v>62</v>
      </c>
      <c r="E182" s="8" t="s">
        <v>3358</v>
      </c>
      <c r="F182" s="8" t="s">
        <v>4070</v>
      </c>
      <c r="H182" s="8"/>
      <c r="I182" s="8" t="s">
        <v>9527</v>
      </c>
      <c r="J182" s="8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8" t="s">
        <v>1273</v>
      </c>
      <c r="E183" s="8" t="s">
        <v>70</v>
      </c>
      <c r="F183" s="8" t="s">
        <v>4070</v>
      </c>
      <c r="H183" s="8"/>
      <c r="I183" s="8" t="s">
        <v>9530</v>
      </c>
      <c r="J183" s="8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8" t="s">
        <v>9596</v>
      </c>
      <c r="E184" s="8" t="s">
        <v>70</v>
      </c>
      <c r="F184" s="8"/>
      <c r="H184" s="8"/>
      <c r="I184" s="8" t="s">
        <v>9533</v>
      </c>
      <c r="J184" s="8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8" t="s">
        <v>9598</v>
      </c>
      <c r="E185" s="8" t="s">
        <v>70</v>
      </c>
      <c r="F185" s="8" t="s">
        <v>7464</v>
      </c>
      <c r="H185" s="8"/>
      <c r="I185" s="8" t="s">
        <v>9536</v>
      </c>
      <c r="J185" s="8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8" t="s">
        <v>587</v>
      </c>
      <c r="E186" s="8" t="s">
        <v>70</v>
      </c>
      <c r="F186" s="8" t="s">
        <v>7464</v>
      </c>
      <c r="H186" s="8"/>
      <c r="I186" s="8" t="s">
        <v>9539</v>
      </c>
      <c r="J186" s="8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8" t="s">
        <v>227</v>
      </c>
      <c r="E187" s="8" t="s">
        <v>9652</v>
      </c>
      <c r="F187" s="8" t="s">
        <v>1289</v>
      </c>
      <c r="G187">
        <v>2</v>
      </c>
      <c r="H187" s="8"/>
      <c r="I187" s="8" t="s">
        <v>9616</v>
      </c>
      <c r="J187" s="8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8" t="s">
        <v>9656</v>
      </c>
      <c r="E188" s="8" t="s">
        <v>9653</v>
      </c>
      <c r="F188" s="8"/>
      <c r="H188" s="8"/>
      <c r="I188" s="8" t="s">
        <v>9619</v>
      </c>
      <c r="J188" s="8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8" t="s">
        <v>9654</v>
      </c>
      <c r="E189" s="8" t="s">
        <v>9653</v>
      </c>
      <c r="F189" s="8"/>
      <c r="H189" s="8"/>
      <c r="I189" s="8" t="s">
        <v>9622</v>
      </c>
      <c r="J189" s="8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8" t="s">
        <v>4</v>
      </c>
      <c r="E190" s="8" t="s">
        <v>9655</v>
      </c>
      <c r="F190" s="8"/>
      <c r="H190" s="8"/>
      <c r="I190" s="8" t="s">
        <v>9625</v>
      </c>
      <c r="J190" s="8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8" t="s">
        <v>9656</v>
      </c>
      <c r="E191" s="8" t="s">
        <v>9653</v>
      </c>
      <c r="F191" s="8"/>
      <c r="H191" s="8"/>
      <c r="I191" s="8" t="s">
        <v>9628</v>
      </c>
      <c r="J191" s="8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8" t="s">
        <v>62</v>
      </c>
      <c r="E192" s="8" t="s">
        <v>9653</v>
      </c>
      <c r="F192" s="8"/>
      <c r="H192" s="8"/>
      <c r="I192" s="8" t="s">
        <v>9631</v>
      </c>
      <c r="J192" s="8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8" t="s">
        <v>1607</v>
      </c>
      <c r="E193" s="8" t="s">
        <v>8</v>
      </c>
      <c r="F193" s="8"/>
      <c r="H193" s="8"/>
      <c r="I193" s="8" t="s">
        <v>9676</v>
      </c>
      <c r="J193" s="8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8" t="s">
        <v>1607</v>
      </c>
      <c r="E194" s="8" t="s">
        <v>8</v>
      </c>
      <c r="F194" s="8"/>
      <c r="H194" s="8"/>
      <c r="I194" s="8" t="s">
        <v>9896</v>
      </c>
      <c r="J194" s="8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8" t="s">
        <v>10009</v>
      </c>
      <c r="E195" s="8" t="s">
        <v>86</v>
      </c>
      <c r="F195" s="8"/>
      <c r="H195" s="8"/>
      <c r="I195" s="8" t="s">
        <v>9899</v>
      </c>
      <c r="J195" s="8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8" t="s">
        <v>10009</v>
      </c>
      <c r="E196" s="8" t="s">
        <v>86</v>
      </c>
      <c r="F196" s="8"/>
      <c r="H196" s="8"/>
      <c r="I196" s="8" t="s">
        <v>9902</v>
      </c>
      <c r="J196" s="8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8" t="s">
        <v>10009</v>
      </c>
      <c r="E197" s="8" t="s">
        <v>86</v>
      </c>
      <c r="F197" s="8"/>
      <c r="H197" s="8"/>
      <c r="I197" s="8" t="s">
        <v>9905</v>
      </c>
      <c r="J197" s="8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8" t="s">
        <v>4</v>
      </c>
      <c r="E198" s="8" t="s">
        <v>10010</v>
      </c>
      <c r="F198" s="8"/>
      <c r="H198" s="8"/>
      <c r="I198" s="8" t="s">
        <v>9908</v>
      </c>
      <c r="J198" s="8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8" t="s">
        <v>10009</v>
      </c>
      <c r="E199" s="8" t="s">
        <v>468</v>
      </c>
      <c r="F199" s="8"/>
      <c r="H199" s="8"/>
      <c r="I199" s="8" t="s">
        <v>9911</v>
      </c>
      <c r="J199" s="8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8" t="s">
        <v>4</v>
      </c>
      <c r="E200" s="8" t="s">
        <v>10010</v>
      </c>
      <c r="F200" s="8"/>
      <c r="H200" s="8"/>
      <c r="I200" s="8" t="s">
        <v>9914</v>
      </c>
      <c r="J200" s="8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8" t="s">
        <v>9600</v>
      </c>
      <c r="E201" s="8"/>
      <c r="F201" s="8"/>
      <c r="H201" s="8"/>
      <c r="I201" s="8" t="s">
        <v>9917</v>
      </c>
      <c r="J201" s="8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8" t="s">
        <v>9656</v>
      </c>
      <c r="E202" s="8" t="s">
        <v>3358</v>
      </c>
      <c r="F202" s="8"/>
      <c r="H202" s="8"/>
      <c r="I202" s="8" t="s">
        <v>10012</v>
      </c>
      <c r="J202" s="8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8" t="s">
        <v>588</v>
      </c>
      <c r="E203" s="8" t="s">
        <v>86</v>
      </c>
      <c r="F203" s="8"/>
      <c r="H203" s="8"/>
      <c r="I203" s="8" t="s">
        <v>9920</v>
      </c>
      <c r="J203" s="8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8" t="s">
        <v>1273</v>
      </c>
      <c r="E204" s="8" t="s">
        <v>10011</v>
      </c>
      <c r="F204" s="8"/>
      <c r="H204" s="8"/>
      <c r="I204" s="8" t="s">
        <v>9923</v>
      </c>
      <c r="J204" s="8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8" t="s">
        <v>62</v>
      </c>
      <c r="E205" s="8" t="s">
        <v>3358</v>
      </c>
      <c r="F205" s="8"/>
      <c r="H205" s="8"/>
      <c r="I205" s="8" t="s">
        <v>9926</v>
      </c>
      <c r="J205" s="8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8" t="s">
        <v>9656</v>
      </c>
      <c r="E206" s="8" t="s">
        <v>10011</v>
      </c>
      <c r="F206" s="8"/>
      <c r="H206" s="8"/>
      <c r="I206" s="8" t="s">
        <v>9929</v>
      </c>
      <c r="J206" s="8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8" t="s">
        <v>62</v>
      </c>
      <c r="E207" s="8" t="s">
        <v>10011</v>
      </c>
      <c r="F207" s="8"/>
      <c r="H207" s="8"/>
      <c r="I207" s="8" t="s">
        <v>9932</v>
      </c>
      <c r="J207" s="8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8" t="s">
        <v>588</v>
      </c>
      <c r="E208" s="8" t="s">
        <v>86</v>
      </c>
      <c r="F208" s="8"/>
      <c r="H208" s="8"/>
      <c r="I208" s="8" t="s">
        <v>9935</v>
      </c>
      <c r="J208" s="8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8" t="s">
        <v>588</v>
      </c>
      <c r="E209" s="8" t="s">
        <v>86</v>
      </c>
      <c r="F209" s="8"/>
      <c r="H209" s="8"/>
      <c r="I209" s="8" t="s">
        <v>10082</v>
      </c>
      <c r="J209" s="8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8" t="s">
        <v>9656</v>
      </c>
      <c r="E210" s="8" t="s">
        <v>3358</v>
      </c>
      <c r="F210" s="8"/>
      <c r="H210" s="8"/>
      <c r="I210" s="8" t="s">
        <v>10085</v>
      </c>
      <c r="J210" s="8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8" t="s">
        <v>9656</v>
      </c>
      <c r="E211" s="8" t="s">
        <v>10130</v>
      </c>
      <c r="F211" s="8"/>
      <c r="H211" s="8" t="s">
        <v>10131</v>
      </c>
      <c r="I211" s="8" t="s">
        <v>10088</v>
      </c>
      <c r="J211" s="8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8" t="s">
        <v>62</v>
      </c>
      <c r="E212" s="8" t="s">
        <v>3358</v>
      </c>
      <c r="F212" s="8"/>
      <c r="H212" s="8"/>
      <c r="I212" s="8" t="s">
        <v>10091</v>
      </c>
      <c r="J212" s="8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8" t="s">
        <v>9656</v>
      </c>
      <c r="E213" s="8" t="s">
        <v>10132</v>
      </c>
      <c r="F213" s="8"/>
      <c r="H213" s="8"/>
      <c r="I213" s="8" t="s">
        <v>10094</v>
      </c>
      <c r="J213" s="8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8" t="s">
        <v>62</v>
      </c>
      <c r="E214" s="8" t="s">
        <v>10132</v>
      </c>
      <c r="F214" s="8" t="s">
        <v>10236</v>
      </c>
      <c r="H214" s="8"/>
      <c r="I214" s="8" t="s">
        <v>10097</v>
      </c>
      <c r="J214" s="8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8" t="s">
        <v>9656</v>
      </c>
      <c r="E215" s="8" t="s">
        <v>10132</v>
      </c>
      <c r="F215" s="8"/>
      <c r="H215" s="8"/>
      <c r="I215" s="8" t="s">
        <v>10143</v>
      </c>
      <c r="J215" s="8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8" t="s">
        <v>10237</v>
      </c>
      <c r="E216" s="8" t="s">
        <v>10132</v>
      </c>
      <c r="F216" s="8"/>
      <c r="H216" s="8"/>
      <c r="I216" s="8" t="s">
        <v>10146</v>
      </c>
      <c r="J216" s="8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8" t="s">
        <v>4921</v>
      </c>
      <c r="E217" s="8" t="s">
        <v>10132</v>
      </c>
      <c r="F217" s="8"/>
      <c r="H217" s="8"/>
      <c r="I217" s="8" t="s">
        <v>10149</v>
      </c>
      <c r="J217" s="8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8" t="s">
        <v>1273</v>
      </c>
      <c r="E218" s="8" t="s">
        <v>10415</v>
      </c>
      <c r="F218" s="8"/>
      <c r="H218" s="8"/>
      <c r="I218" s="8" t="s">
        <v>10244</v>
      </c>
      <c r="J218" s="8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8" t="s">
        <v>4921</v>
      </c>
      <c r="E219" s="8" t="s">
        <v>10415</v>
      </c>
      <c r="F219" s="8"/>
      <c r="H219" s="8"/>
      <c r="I219" s="8" t="s">
        <v>10247</v>
      </c>
      <c r="J219" s="8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8" t="s">
        <v>62</v>
      </c>
      <c r="E220" s="8" t="s">
        <v>10415</v>
      </c>
      <c r="F220" s="8"/>
      <c r="H220" s="8"/>
      <c r="I220" s="8" t="s">
        <v>10250</v>
      </c>
      <c r="J220" s="8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8" t="s">
        <v>1273</v>
      </c>
      <c r="E221" s="8" t="s">
        <v>10130</v>
      </c>
      <c r="F221" s="8"/>
      <c r="H221" s="8"/>
      <c r="I221" s="8" t="s">
        <v>10253</v>
      </c>
      <c r="J221" s="8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8" t="s">
        <v>62</v>
      </c>
      <c r="E222" s="8" t="s">
        <v>10130</v>
      </c>
      <c r="F222" s="8"/>
      <c r="H222" s="8"/>
      <c r="I222" s="8" t="s">
        <v>10256</v>
      </c>
      <c r="J222" s="8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8" t="s">
        <v>9596</v>
      </c>
      <c r="E223" s="8" t="s">
        <v>10416</v>
      </c>
      <c r="F223" s="8"/>
      <c r="H223" s="8"/>
      <c r="I223" s="8" t="s">
        <v>10259</v>
      </c>
      <c r="J223" s="8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8" t="s">
        <v>62</v>
      </c>
      <c r="E224" s="8" t="s">
        <v>10416</v>
      </c>
      <c r="F224" s="8"/>
      <c r="H224" s="8"/>
      <c r="I224" s="8" t="s">
        <v>10262</v>
      </c>
      <c r="J224" s="8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8" t="s">
        <v>4</v>
      </c>
      <c r="E225" s="8" t="s">
        <v>8</v>
      </c>
      <c r="F225" s="8"/>
      <c r="H225" s="8"/>
      <c r="I225" s="8" t="s">
        <v>10265</v>
      </c>
      <c r="J225" s="8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8" t="s">
        <v>1607</v>
      </c>
      <c r="E226" s="8" t="s">
        <v>8</v>
      </c>
      <c r="F226" s="8"/>
      <c r="H226" s="8"/>
      <c r="I226" s="8" t="s">
        <v>10268</v>
      </c>
      <c r="J226" s="8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8" t="s">
        <v>1273</v>
      </c>
      <c r="E227" s="8" t="s">
        <v>3356</v>
      </c>
      <c r="F227" s="8"/>
      <c r="H227" s="8"/>
      <c r="I227" s="8" t="s">
        <v>10417</v>
      </c>
      <c r="J227" s="8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8" t="s">
        <v>9596</v>
      </c>
      <c r="E228" s="8" t="s">
        <v>10565</v>
      </c>
      <c r="F228" s="8" t="s">
        <v>51</v>
      </c>
      <c r="H228" s="8"/>
      <c r="I228" s="8" t="s">
        <v>10420</v>
      </c>
      <c r="J228" s="8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8" t="s">
        <v>9596</v>
      </c>
      <c r="E229" s="8" t="s">
        <v>10566</v>
      </c>
      <c r="F229" s="8" t="s">
        <v>51</v>
      </c>
      <c r="H229" s="8"/>
      <c r="I229" s="8" t="s">
        <v>10423</v>
      </c>
      <c r="J229" s="8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8" t="s">
        <v>62</v>
      </c>
      <c r="E230" s="8" t="s">
        <v>3356</v>
      </c>
      <c r="F230" s="8"/>
      <c r="H230" s="8"/>
      <c r="I230" s="8" t="s">
        <v>10426</v>
      </c>
      <c r="J230" s="8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8" t="s">
        <v>62</v>
      </c>
      <c r="E231" s="8" t="s">
        <v>10566</v>
      </c>
      <c r="F231" s="8" t="s">
        <v>586</v>
      </c>
      <c r="H231" s="8"/>
      <c r="I231" s="8" t="s">
        <v>10429</v>
      </c>
      <c r="J231" s="8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8" t="s">
        <v>62</v>
      </c>
      <c r="E232" s="8" t="s">
        <v>10565</v>
      </c>
      <c r="F232" s="8" t="s">
        <v>586</v>
      </c>
      <c r="H232" s="8"/>
      <c r="I232" s="8" t="s">
        <v>10432</v>
      </c>
      <c r="J232" s="8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8" t="s">
        <v>4921</v>
      </c>
      <c r="E233" s="8" t="s">
        <v>11067</v>
      </c>
      <c r="F233" s="8"/>
      <c r="H233" s="8"/>
      <c r="I233" s="8" t="s">
        <v>10608</v>
      </c>
      <c r="J233" s="8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8" t="s">
        <v>9596</v>
      </c>
      <c r="E234" s="8" t="s">
        <v>11067</v>
      </c>
      <c r="F234" s="8"/>
      <c r="H234" s="8"/>
      <c r="I234" s="8" t="s">
        <v>10611</v>
      </c>
      <c r="J234" s="8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8" t="s">
        <v>4921</v>
      </c>
      <c r="E235" s="8" t="s">
        <v>11068</v>
      </c>
      <c r="F235" s="8" t="s">
        <v>60</v>
      </c>
      <c r="H235" s="8"/>
      <c r="I235" s="8" t="s">
        <v>10614</v>
      </c>
      <c r="J235" s="8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8" t="s">
        <v>4921</v>
      </c>
      <c r="E236" s="8" t="s">
        <v>11068</v>
      </c>
      <c r="F236" s="8" t="s">
        <v>60</v>
      </c>
      <c r="H236" s="8" t="s">
        <v>2352</v>
      </c>
      <c r="I236" s="8" t="s">
        <v>10617</v>
      </c>
      <c r="J236" s="8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8" t="s">
        <v>227</v>
      </c>
      <c r="E237" s="8" t="s">
        <v>11068</v>
      </c>
      <c r="F237" s="8" t="s">
        <v>60</v>
      </c>
      <c r="H237" s="8" t="s">
        <v>2352</v>
      </c>
      <c r="I237" s="8" t="s">
        <v>10620</v>
      </c>
      <c r="J237" s="8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8" t="s">
        <v>227</v>
      </c>
      <c r="E238" s="8" t="s">
        <v>11068</v>
      </c>
      <c r="F238" s="8" t="s">
        <v>60</v>
      </c>
      <c r="H238" s="8" t="s">
        <v>2352</v>
      </c>
      <c r="I238" s="8" t="s">
        <v>10623</v>
      </c>
      <c r="J238" s="8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8" t="s">
        <v>227</v>
      </c>
      <c r="E239" s="8" t="s">
        <v>11068</v>
      </c>
      <c r="F239" s="8" t="s">
        <v>60</v>
      </c>
      <c r="H239" s="8" t="s">
        <v>2352</v>
      </c>
      <c r="I239" s="8" t="s">
        <v>10626</v>
      </c>
      <c r="J239" s="8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8" t="s">
        <v>227</v>
      </c>
      <c r="E240" s="8" t="s">
        <v>11068</v>
      </c>
      <c r="F240" s="8" t="s">
        <v>60</v>
      </c>
      <c r="H240" s="8" t="s">
        <v>2352</v>
      </c>
      <c r="I240" s="8" t="s">
        <v>10629</v>
      </c>
      <c r="J240" s="8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8" t="s">
        <v>227</v>
      </c>
      <c r="E241" s="8" t="s">
        <v>11068</v>
      </c>
      <c r="F241" s="8" t="s">
        <v>60</v>
      </c>
      <c r="H241" s="8" t="s">
        <v>2352</v>
      </c>
      <c r="I241" s="8" t="s">
        <v>10632</v>
      </c>
      <c r="J241" s="8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8" t="s">
        <v>227</v>
      </c>
      <c r="E242" s="8" t="s">
        <v>11068</v>
      </c>
      <c r="F242" s="8" t="s">
        <v>60</v>
      </c>
      <c r="H242" s="8" t="s">
        <v>2352</v>
      </c>
      <c r="I242" s="8" t="s">
        <v>10635</v>
      </c>
      <c r="J242" s="8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8" t="s">
        <v>227</v>
      </c>
      <c r="E243" s="8" t="s">
        <v>11068</v>
      </c>
      <c r="F243" s="8" t="s">
        <v>60</v>
      </c>
      <c r="H243" s="8" t="s">
        <v>2352</v>
      </c>
      <c r="I243" s="8" t="s">
        <v>10638</v>
      </c>
      <c r="J243" s="8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8" t="s">
        <v>227</v>
      </c>
      <c r="E244" s="8" t="s">
        <v>11068</v>
      </c>
      <c r="F244" s="8" t="s">
        <v>60</v>
      </c>
      <c r="H244" s="8" t="s">
        <v>2352</v>
      </c>
      <c r="I244" s="8" t="s">
        <v>10641</v>
      </c>
      <c r="J244" s="8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8" t="s">
        <v>227</v>
      </c>
      <c r="E245" s="8" t="s">
        <v>11068</v>
      </c>
      <c r="F245" s="8" t="s">
        <v>60</v>
      </c>
      <c r="H245" s="8" t="s">
        <v>2352</v>
      </c>
      <c r="I245" s="8" t="s">
        <v>10644</v>
      </c>
      <c r="J245" s="8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8" t="s">
        <v>227</v>
      </c>
      <c r="E246" s="8" t="s">
        <v>11068</v>
      </c>
      <c r="F246" s="8" t="s">
        <v>60</v>
      </c>
      <c r="H246" s="8" t="s">
        <v>2352</v>
      </c>
      <c r="I246" s="8" t="s">
        <v>10647</v>
      </c>
      <c r="J246" s="8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8" t="s">
        <v>227</v>
      </c>
      <c r="E247" s="8" t="s">
        <v>11068</v>
      </c>
      <c r="F247" s="8" t="s">
        <v>60</v>
      </c>
      <c r="H247" s="8" t="s">
        <v>2352</v>
      </c>
      <c r="I247" s="8" t="s">
        <v>10650</v>
      </c>
      <c r="J247" s="8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8" t="s">
        <v>227</v>
      </c>
      <c r="E248" s="8" t="s">
        <v>11068</v>
      </c>
      <c r="F248" s="8" t="s">
        <v>60</v>
      </c>
      <c r="H248" s="8" t="s">
        <v>2352</v>
      </c>
      <c r="I248" s="8" t="s">
        <v>10653</v>
      </c>
      <c r="J248" s="8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8" t="s">
        <v>227</v>
      </c>
      <c r="E249" s="8" t="s">
        <v>11068</v>
      </c>
      <c r="F249" s="8" t="s">
        <v>60</v>
      </c>
      <c r="H249" s="8" t="s">
        <v>2352</v>
      </c>
      <c r="I249" s="8" t="s">
        <v>10656</v>
      </c>
      <c r="J249" s="8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8" t="s">
        <v>227</v>
      </c>
      <c r="E250" s="8" t="s">
        <v>11068</v>
      </c>
      <c r="F250" s="8" t="s">
        <v>60</v>
      </c>
      <c r="H250" s="8" t="s">
        <v>2352</v>
      </c>
      <c r="I250" s="8" t="s">
        <v>10659</v>
      </c>
      <c r="J250" s="8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8" t="s">
        <v>227</v>
      </c>
      <c r="E251" s="8" t="s">
        <v>11068</v>
      </c>
      <c r="F251" s="8" t="s">
        <v>60</v>
      </c>
      <c r="H251" s="8" t="s">
        <v>2352</v>
      </c>
      <c r="I251" s="8" t="s">
        <v>10662</v>
      </c>
      <c r="J251" s="8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8" t="s">
        <v>227</v>
      </c>
      <c r="E252" s="8" t="s">
        <v>11068</v>
      </c>
      <c r="F252" s="8" t="s">
        <v>60</v>
      </c>
      <c r="H252" s="8" t="s">
        <v>2352</v>
      </c>
      <c r="I252" s="8" t="s">
        <v>10665</v>
      </c>
      <c r="J252" s="8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8" t="s">
        <v>227</v>
      </c>
      <c r="E253" s="8" t="s">
        <v>11068</v>
      </c>
      <c r="F253" s="8" t="s">
        <v>60</v>
      </c>
      <c r="H253" s="8" t="s">
        <v>2352</v>
      </c>
      <c r="I253" s="8" t="s">
        <v>10668</v>
      </c>
      <c r="J253" s="8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8" t="s">
        <v>227</v>
      </c>
      <c r="E254" s="8" t="s">
        <v>11068</v>
      </c>
      <c r="F254" s="8" t="s">
        <v>60</v>
      </c>
      <c r="H254" s="8" t="s">
        <v>2352</v>
      </c>
      <c r="I254" s="8" t="s">
        <v>10671</v>
      </c>
      <c r="J254" s="8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8" t="s">
        <v>227</v>
      </c>
      <c r="E255" s="8" t="s">
        <v>11068</v>
      </c>
      <c r="F255" s="8" t="s">
        <v>60</v>
      </c>
      <c r="H255" s="8" t="s">
        <v>2352</v>
      </c>
      <c r="I255" s="8" t="s">
        <v>10674</v>
      </c>
      <c r="J255" s="8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8" t="s">
        <v>227</v>
      </c>
      <c r="E256" s="8" t="s">
        <v>11068</v>
      </c>
      <c r="F256" s="8" t="s">
        <v>60</v>
      </c>
      <c r="H256" s="8" t="s">
        <v>2352</v>
      </c>
      <c r="I256" s="8" t="s">
        <v>10677</v>
      </c>
      <c r="J256" s="8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8" t="s">
        <v>227</v>
      </c>
      <c r="E257" s="8" t="s">
        <v>11068</v>
      </c>
      <c r="F257" s="8" t="s">
        <v>60</v>
      </c>
      <c r="H257" s="8" t="s">
        <v>2352</v>
      </c>
      <c r="I257" s="8" t="s">
        <v>10680</v>
      </c>
      <c r="J257" s="8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8" t="s">
        <v>4921</v>
      </c>
      <c r="E258" s="8" t="s">
        <v>11068</v>
      </c>
      <c r="F258" s="8" t="s">
        <v>51</v>
      </c>
      <c r="H258" s="8"/>
      <c r="I258" s="8" t="s">
        <v>10683</v>
      </c>
      <c r="J258" s="8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8" t="s">
        <v>587</v>
      </c>
      <c r="E259" s="8" t="s">
        <v>11068</v>
      </c>
      <c r="F259" s="8" t="s">
        <v>51</v>
      </c>
      <c r="H259" s="8"/>
      <c r="I259" s="8" t="s">
        <v>10686</v>
      </c>
      <c r="J259" s="8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8" t="s">
        <v>4</v>
      </c>
      <c r="E260" s="8" t="s">
        <v>8</v>
      </c>
      <c r="F260" s="8"/>
      <c r="H260" s="8"/>
      <c r="I260" s="8" t="s">
        <v>10689</v>
      </c>
      <c r="J260" s="8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8" t="s">
        <v>13848</v>
      </c>
      <c r="E261" s="8" t="s">
        <v>468</v>
      </c>
      <c r="F261" s="8"/>
      <c r="H261" s="8"/>
      <c r="I261" s="8" t="s">
        <v>13754</v>
      </c>
      <c r="J261" s="8" t="s">
        <v>2403</v>
      </c>
      <c r="K261" t="s">
        <v>13755</v>
      </c>
      <c r="L261" t="s">
        <v>13756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8" t="s">
        <v>13849</v>
      </c>
      <c r="E262" s="8" t="s">
        <v>86</v>
      </c>
      <c r="F262" s="8"/>
      <c r="H262" s="8"/>
      <c r="I262" s="8" t="s">
        <v>13757</v>
      </c>
      <c r="J262" s="8" t="s">
        <v>2403</v>
      </c>
      <c r="K262" t="s">
        <v>13758</v>
      </c>
      <c r="L262" t="s">
        <v>13759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8" t="s">
        <v>13850</v>
      </c>
      <c r="E263" s="8" t="s">
        <v>86</v>
      </c>
      <c r="F263" s="8"/>
      <c r="H263" s="8"/>
      <c r="I263" s="8" t="s">
        <v>13760</v>
      </c>
      <c r="J263" s="8" t="s">
        <v>2403</v>
      </c>
      <c r="K263" t="s">
        <v>13761</v>
      </c>
      <c r="L263" t="s">
        <v>13762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8" t="s">
        <v>13848</v>
      </c>
      <c r="E264" s="8" t="s">
        <v>468</v>
      </c>
      <c r="F264" s="8"/>
      <c r="H264" s="8"/>
      <c r="I264" s="8" t="s">
        <v>13763</v>
      </c>
      <c r="J264" s="8" t="s">
        <v>2403</v>
      </c>
      <c r="K264" t="s">
        <v>13764</v>
      </c>
      <c r="L264" t="s">
        <v>13765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8" t="s">
        <v>4</v>
      </c>
      <c r="E265" s="8" t="s">
        <v>8</v>
      </c>
      <c r="F265" s="8"/>
      <c r="H265" s="8"/>
      <c r="I265" s="8" t="s">
        <v>13766</v>
      </c>
      <c r="J265" s="8" t="s">
        <v>2403</v>
      </c>
      <c r="K265" t="s">
        <v>13767</v>
      </c>
      <c r="L265" t="s">
        <v>13768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8" t="s">
        <v>4</v>
      </c>
      <c r="E266" s="8" t="s">
        <v>8</v>
      </c>
      <c r="F266" s="8"/>
      <c r="H266" s="8"/>
      <c r="I266" s="8" t="s">
        <v>13769</v>
      </c>
      <c r="J266" s="8" t="s">
        <v>2403</v>
      </c>
      <c r="K266" t="s">
        <v>13770</v>
      </c>
      <c r="L266" t="s">
        <v>13771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8" t="s">
        <v>13848</v>
      </c>
      <c r="E267" s="8" t="s">
        <v>468</v>
      </c>
      <c r="F267" s="8"/>
      <c r="H267" s="8"/>
      <c r="I267" s="8" t="s">
        <v>13772</v>
      </c>
      <c r="J267" s="8" t="s">
        <v>2403</v>
      </c>
      <c r="K267" t="s">
        <v>13773</v>
      </c>
      <c r="L267" t="s">
        <v>13774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8" t="s">
        <v>4</v>
      </c>
      <c r="E268" s="8" t="s">
        <v>8</v>
      </c>
      <c r="F268" s="8"/>
      <c r="H268" s="8"/>
      <c r="I268" s="8" t="s">
        <v>13775</v>
      </c>
      <c r="J268" s="8" t="s">
        <v>2403</v>
      </c>
      <c r="K268" t="s">
        <v>13776</v>
      </c>
      <c r="L268" t="s">
        <v>13777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8" t="s">
        <v>4</v>
      </c>
      <c r="E269" s="8" t="s">
        <v>12</v>
      </c>
      <c r="F269" s="8"/>
      <c r="H269" s="8"/>
      <c r="I269" s="8" t="s">
        <v>13919</v>
      </c>
      <c r="J269" s="8" t="s">
        <v>2403</v>
      </c>
      <c r="K269" t="s">
        <v>13920</v>
      </c>
      <c r="L269" t="s">
        <v>13921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8" t="s">
        <v>4</v>
      </c>
      <c r="E270" s="8" t="s">
        <v>8</v>
      </c>
      <c r="F270" s="8"/>
      <c r="H270" s="8"/>
      <c r="I270" s="8" t="s">
        <v>13922</v>
      </c>
      <c r="J270" s="8" t="s">
        <v>2403</v>
      </c>
      <c r="K270" t="s">
        <v>13923</v>
      </c>
      <c r="L270" t="s">
        <v>13924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8" t="s">
        <v>4</v>
      </c>
      <c r="E271" s="8" t="s">
        <v>8</v>
      </c>
      <c r="F271" s="8"/>
      <c r="H271" s="8"/>
      <c r="I271" s="8" t="s">
        <v>13925</v>
      </c>
      <c r="J271" s="8" t="s">
        <v>2403</v>
      </c>
      <c r="K271" t="s">
        <v>13926</v>
      </c>
      <c r="L271" t="s">
        <v>13927</v>
      </c>
      <c r="M271" s="2" t="str">
        <f>HYPERLINK(склад2въезд13[[#This Row],[RelativePath]])</f>
        <v>4 Крыльцо офиса\K07156189_21_20260301T155642Z.jpg</v>
      </c>
    </row>
  </sheetData>
  <conditionalFormatting sqref="D272:D282 E272:E285 G2:H271 D2:E271">
    <cfRule type="containsText" dxfId="876" priority="14" operator="containsText" text="Выезд с территории">
      <formula>NOT(ISERROR(SEARCH("Выезд с территории",D2)))</formula>
    </cfRule>
  </conditionalFormatting>
  <conditionalFormatting sqref="F2:F271">
    <cfRule type="notContainsText" dxfId="875" priority="13" operator="notContains" text="порожний">
      <formula>ISERROR(SEARCH("порожний",F2))</formula>
    </cfRule>
  </conditionalFormatting>
  <conditionalFormatting sqref="E2:E285">
    <cfRule type="containsText" dxfId="874" priority="11" operator="containsText" text="Газель базы">
      <formula>NOT(ISERROR(SEARCH("Газель базы",E2)))</formula>
    </cfRule>
    <cfRule type="containsText" dxfId="873" priority="12" operator="containsText" text="Погрузчик базы">
      <formula>NOT(ISERROR(SEARCH("Погрузчик базы",E2)))</formula>
    </cfRule>
  </conditionalFormatting>
  <conditionalFormatting sqref="E2:E285">
    <cfRule type="containsText" dxfId="872" priority="10" operator="containsText" text="Трактор базы">
      <formula>NOT(ISERROR(SEARCH("Трактор базы",E2)))</formula>
    </cfRule>
  </conditionalFormatting>
  <conditionalFormatting sqref="A2:C271">
    <cfRule type="expression" dxfId="871" priority="9">
      <formula>$A2="пн"</formula>
    </cfRule>
  </conditionalFormatting>
  <conditionalFormatting sqref="A2:C273">
    <cfRule type="expression" dxfId="870" priority="3">
      <formula>$A2="вс"</formula>
    </cfRule>
    <cfRule type="expression" dxfId="869" priority="4">
      <formula>$A2="сб"</formula>
    </cfRule>
    <cfRule type="expression" dxfId="868" priority="5">
      <formula>$A2="пт"</formula>
    </cfRule>
    <cfRule type="expression" dxfId="867" priority="6">
      <formula>$A2="чт"</formula>
    </cfRule>
    <cfRule type="expression" dxfId="866" priority="7">
      <formula>$A2="ср"</formula>
    </cfRule>
    <cfRule type="expression" dxfId="865" priority="8">
      <formula>$A2="вт"</formula>
    </cfRule>
  </conditionalFormatting>
  <conditionalFormatting sqref="D2:D282">
    <cfRule type="containsText" dxfId="86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2">
    <cfRule type="containsText" dxfId="86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363"/>
  <sheetViews>
    <sheetView zoomScale="90" zoomScaleNormal="90" workbookViewId="0">
      <pane ySplit="1" topLeftCell="A346" activePane="bottomLeft" state="frozen"/>
      <selection pane="bottomLeft" activeCell="I362" sqref="I362:I36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1406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270</v>
      </c>
      <c r="J2" s="8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8" t="s">
        <v>397</v>
      </c>
      <c r="E3" s="8" t="s">
        <v>398</v>
      </c>
      <c r="F3" s="8"/>
      <c r="H3" s="8"/>
      <c r="I3" s="8" t="s">
        <v>274</v>
      </c>
      <c r="J3" s="8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8" t="s">
        <v>7</v>
      </c>
      <c r="E4" s="8" t="s">
        <v>398</v>
      </c>
      <c r="F4" s="8"/>
      <c r="H4" s="8"/>
      <c r="I4" s="8" t="s">
        <v>277</v>
      </c>
      <c r="J4" s="8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8" t="s">
        <v>4</v>
      </c>
      <c r="E5" s="8" t="s">
        <v>400</v>
      </c>
      <c r="F5" s="8"/>
      <c r="H5" s="8"/>
      <c r="I5" s="8" t="s">
        <v>280</v>
      </c>
      <c r="J5" s="8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8" t="s">
        <v>4</v>
      </c>
      <c r="E6" s="8" t="s">
        <v>399</v>
      </c>
      <c r="F6" s="8"/>
      <c r="H6" s="8"/>
      <c r="I6" s="8" t="s">
        <v>283</v>
      </c>
      <c r="J6" s="8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8" t="s">
        <v>4</v>
      </c>
      <c r="E7" s="8" t="s">
        <v>399</v>
      </c>
      <c r="F7" s="8"/>
      <c r="H7" s="8"/>
      <c r="I7" s="8" t="s">
        <v>286</v>
      </c>
      <c r="J7" s="8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8" t="s">
        <v>4</v>
      </c>
      <c r="E8" s="8" t="s">
        <v>400</v>
      </c>
      <c r="F8" s="8"/>
      <c r="H8" s="8"/>
      <c r="I8" s="8" t="s">
        <v>289</v>
      </c>
      <c r="J8" s="8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8" t="s">
        <v>4</v>
      </c>
      <c r="E9" s="8" t="s">
        <v>401</v>
      </c>
      <c r="F9" s="8"/>
      <c r="H9" s="8"/>
      <c r="I9" s="8" t="s">
        <v>292</v>
      </c>
      <c r="J9" s="8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295</v>
      </c>
      <c r="J10" s="8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8" t="s">
        <v>4</v>
      </c>
      <c r="E11" s="8" t="s">
        <v>402</v>
      </c>
      <c r="F11" s="8"/>
      <c r="H11" s="8"/>
      <c r="I11" s="8" t="s">
        <v>298</v>
      </c>
      <c r="J11" s="8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8" t="s">
        <v>1607</v>
      </c>
      <c r="E12" s="8" t="s">
        <v>8</v>
      </c>
      <c r="F12" s="8"/>
      <c r="H12" s="8"/>
      <c r="I12" s="8" t="s">
        <v>301</v>
      </c>
      <c r="J12" s="8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8" t="s">
        <v>404</v>
      </c>
      <c r="E13" s="8" t="s">
        <v>67</v>
      </c>
      <c r="F13" s="8"/>
      <c r="H13" s="8"/>
      <c r="I13" s="8" t="s">
        <v>301</v>
      </c>
      <c r="J13" s="8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8" t="s">
        <v>1607</v>
      </c>
      <c r="E14" s="8" t="s">
        <v>8</v>
      </c>
      <c r="F14" s="8"/>
      <c r="H14" s="8"/>
      <c r="I14" s="8" t="s">
        <v>304</v>
      </c>
      <c r="J14" s="8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8" t="s">
        <v>226</v>
      </c>
      <c r="E15" s="8" t="s">
        <v>67</v>
      </c>
      <c r="F15" s="8" t="s">
        <v>405</v>
      </c>
      <c r="H15" s="8"/>
      <c r="I15" s="8" t="s">
        <v>304</v>
      </c>
      <c r="J15" s="8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8" t="s">
        <v>1607</v>
      </c>
      <c r="E16" s="8" t="s">
        <v>8</v>
      </c>
      <c r="F16" s="8"/>
      <c r="H16" s="8"/>
      <c r="I16" s="8" t="s">
        <v>307</v>
      </c>
      <c r="J16" s="8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8" t="s">
        <v>226</v>
      </c>
      <c r="E17" s="8" t="s">
        <v>67</v>
      </c>
      <c r="F17" s="8" t="s">
        <v>405</v>
      </c>
      <c r="H17" s="8"/>
      <c r="I17" s="8" t="s">
        <v>307</v>
      </c>
      <c r="J17" s="8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8" t="s">
        <v>226</v>
      </c>
      <c r="E18" s="8" t="s">
        <v>67</v>
      </c>
      <c r="F18" s="8" t="s">
        <v>405</v>
      </c>
      <c r="H18" s="8"/>
      <c r="I18" s="8" t="s">
        <v>310</v>
      </c>
      <c r="J18" s="8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8" t="s">
        <v>1607</v>
      </c>
      <c r="E19" s="8" t="s">
        <v>8</v>
      </c>
      <c r="F19" s="8"/>
      <c r="H19" s="8"/>
      <c r="I19" s="8" t="s">
        <v>310</v>
      </c>
      <c r="J19" s="8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8" t="s">
        <v>1607</v>
      </c>
      <c r="E20" s="8" t="s">
        <v>8</v>
      </c>
      <c r="F20" s="8"/>
      <c r="H20" s="8"/>
      <c r="I20" s="8" t="s">
        <v>313</v>
      </c>
      <c r="J20" s="8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8" t="s">
        <v>226</v>
      </c>
      <c r="E21" s="8" t="s">
        <v>67</v>
      </c>
      <c r="F21" s="8" t="s">
        <v>405</v>
      </c>
      <c r="H21" s="8"/>
      <c r="I21" s="8" t="s">
        <v>313</v>
      </c>
      <c r="J21" s="8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8" t="s">
        <v>226</v>
      </c>
      <c r="E22" s="8" t="s">
        <v>67</v>
      </c>
      <c r="F22" s="8" t="s">
        <v>405</v>
      </c>
      <c r="H22" s="8"/>
      <c r="I22" s="8" t="s">
        <v>316</v>
      </c>
      <c r="J22" s="8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8" t="s">
        <v>226</v>
      </c>
      <c r="E23" s="8" t="s">
        <v>67</v>
      </c>
      <c r="F23" s="8" t="s">
        <v>405</v>
      </c>
      <c r="H23" s="8"/>
      <c r="I23" s="8" t="s">
        <v>319</v>
      </c>
      <c r="J23" s="8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8" t="s">
        <v>226</v>
      </c>
      <c r="E24" s="8" t="s">
        <v>67</v>
      </c>
      <c r="F24" s="8" t="s">
        <v>405</v>
      </c>
      <c r="H24" s="8"/>
      <c r="I24" s="8" t="s">
        <v>322</v>
      </c>
      <c r="J24" s="8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8" t="s">
        <v>226</v>
      </c>
      <c r="E25" s="8" t="s">
        <v>67</v>
      </c>
      <c r="F25" s="8" t="s">
        <v>405</v>
      </c>
      <c r="H25" s="8"/>
      <c r="I25" s="8" t="s">
        <v>325</v>
      </c>
      <c r="J25" s="8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8" t="s">
        <v>226</v>
      </c>
      <c r="E26" s="8" t="s">
        <v>67</v>
      </c>
      <c r="F26" s="8" t="s">
        <v>405</v>
      </c>
      <c r="H26" s="8"/>
      <c r="I26" s="8" t="s">
        <v>328</v>
      </c>
      <c r="J26" s="8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8" t="s">
        <v>226</v>
      </c>
      <c r="E27" s="8" t="s">
        <v>67</v>
      </c>
      <c r="F27" s="8" t="s">
        <v>405</v>
      </c>
      <c r="H27" s="8"/>
      <c r="I27" s="8" t="s">
        <v>331</v>
      </c>
      <c r="J27" s="8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8" t="s">
        <v>226</v>
      </c>
      <c r="E28" s="8" t="s">
        <v>67</v>
      </c>
      <c r="F28" s="8" t="s">
        <v>405</v>
      </c>
      <c r="H28" s="8"/>
      <c r="I28" s="8" t="s">
        <v>334</v>
      </c>
      <c r="J28" s="8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8" t="s">
        <v>226</v>
      </c>
      <c r="E29" s="8" t="s">
        <v>67</v>
      </c>
      <c r="F29" s="8" t="s">
        <v>405</v>
      </c>
      <c r="H29" s="8"/>
      <c r="I29" s="8" t="s">
        <v>337</v>
      </c>
      <c r="J29" s="8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8" t="s">
        <v>226</v>
      </c>
      <c r="E30" s="8" t="s">
        <v>67</v>
      </c>
      <c r="F30" s="8" t="s">
        <v>405</v>
      </c>
      <c r="H30" s="8"/>
      <c r="I30" s="8" t="s">
        <v>340</v>
      </c>
      <c r="J30" s="8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8" t="s">
        <v>226</v>
      </c>
      <c r="E31" s="8" t="s">
        <v>67</v>
      </c>
      <c r="F31" s="8" t="s">
        <v>405</v>
      </c>
      <c r="H31" s="8"/>
      <c r="I31" s="8" t="s">
        <v>343</v>
      </c>
      <c r="J31" s="8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8" t="s">
        <v>226</v>
      </c>
      <c r="E32" s="8" t="s">
        <v>67</v>
      </c>
      <c r="F32" s="8" t="s">
        <v>406</v>
      </c>
      <c r="H32" s="8" t="s">
        <v>407</v>
      </c>
      <c r="I32" s="8" t="s">
        <v>346</v>
      </c>
      <c r="J32" s="8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8" t="s">
        <v>408</v>
      </c>
      <c r="E33" s="8" t="s">
        <v>67</v>
      </c>
      <c r="F33" s="8" t="s">
        <v>405</v>
      </c>
      <c r="H33" s="8"/>
      <c r="I33" s="8" t="s">
        <v>349</v>
      </c>
      <c r="J33" s="8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8" t="s">
        <v>409</v>
      </c>
      <c r="E34" s="8" t="s">
        <v>67</v>
      </c>
      <c r="F34" s="8" t="s">
        <v>405</v>
      </c>
      <c r="H34" s="8"/>
      <c r="I34" s="8" t="s">
        <v>352</v>
      </c>
      <c r="J34" s="8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8" t="s">
        <v>4</v>
      </c>
      <c r="E35" s="8" t="s">
        <v>410</v>
      </c>
      <c r="F35" s="8"/>
      <c r="H35" s="8"/>
      <c r="I35" s="8" t="s">
        <v>355</v>
      </c>
      <c r="J35" s="8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8" t="s">
        <v>4</v>
      </c>
      <c r="E36" s="8" t="s">
        <v>8</v>
      </c>
      <c r="F36" s="8"/>
      <c r="H36" s="8" t="s">
        <v>5</v>
      </c>
      <c r="I36" s="8" t="s">
        <v>358</v>
      </c>
      <c r="J36" s="8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8" t="s">
        <v>4</v>
      </c>
      <c r="E37" s="8" t="s">
        <v>8</v>
      </c>
      <c r="F37" s="8"/>
      <c r="H37" s="8"/>
      <c r="I37" s="8" t="s">
        <v>361</v>
      </c>
      <c r="J37" s="8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8" t="s">
        <v>4</v>
      </c>
      <c r="E38" s="8" t="s">
        <v>414</v>
      </c>
      <c r="F38" s="8"/>
      <c r="H38" s="8" t="s">
        <v>415</v>
      </c>
      <c r="I38" s="8" t="s">
        <v>364</v>
      </c>
      <c r="J38" s="8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8" t="s">
        <v>4</v>
      </c>
      <c r="E39" s="8" t="s">
        <v>8</v>
      </c>
      <c r="F39" s="8"/>
      <c r="H39" s="8" t="s">
        <v>5</v>
      </c>
      <c r="I39" s="8" t="s">
        <v>367</v>
      </c>
      <c r="J39" s="8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8" t="s">
        <v>4</v>
      </c>
      <c r="E40" s="8" t="s">
        <v>8</v>
      </c>
      <c r="F40" s="8"/>
      <c r="H40" s="8" t="s">
        <v>411</v>
      </c>
      <c r="I40" s="8" t="s">
        <v>370</v>
      </c>
      <c r="J40" s="8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8" t="s">
        <v>4</v>
      </c>
      <c r="E41" s="8" t="s">
        <v>8</v>
      </c>
      <c r="F41" s="8"/>
      <c r="H41" s="8"/>
      <c r="I41" s="8" t="s">
        <v>373</v>
      </c>
      <c r="J41" s="8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8" t="s">
        <v>4</v>
      </c>
      <c r="E42" s="8" t="s">
        <v>8</v>
      </c>
      <c r="F42" s="8"/>
      <c r="H42" s="8" t="s">
        <v>6</v>
      </c>
      <c r="I42" s="8" t="s">
        <v>376</v>
      </c>
      <c r="J42" s="8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8" t="s">
        <v>4</v>
      </c>
      <c r="E43" s="8" t="s">
        <v>8</v>
      </c>
      <c r="F43" s="8"/>
      <c r="H43" s="8" t="s">
        <v>5</v>
      </c>
      <c r="I43" s="8" t="s">
        <v>379</v>
      </c>
      <c r="J43" s="8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8" t="s">
        <v>4</v>
      </c>
      <c r="E44" s="8" t="s">
        <v>412</v>
      </c>
      <c r="F44" s="8"/>
      <c r="H44" s="8"/>
      <c r="I44" s="8" t="s">
        <v>382</v>
      </c>
      <c r="J44" s="8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8" t="s">
        <v>4</v>
      </c>
      <c r="E45" s="8" t="s">
        <v>412</v>
      </c>
      <c r="F45" s="8"/>
      <c r="H45" s="8"/>
      <c r="I45" s="8" t="s">
        <v>385</v>
      </c>
      <c r="J45" s="8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8" t="s">
        <v>4</v>
      </c>
      <c r="E46" s="8" t="s">
        <v>416</v>
      </c>
      <c r="F46" s="8"/>
      <c r="H46" s="8" t="s">
        <v>413</v>
      </c>
      <c r="I46" s="8" t="s">
        <v>388</v>
      </c>
      <c r="J46" s="8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8" t="s">
        <v>4</v>
      </c>
      <c r="E47" s="8" t="s">
        <v>8</v>
      </c>
      <c r="F47" s="8"/>
      <c r="H47" s="8"/>
      <c r="I47" s="8" t="s">
        <v>391</v>
      </c>
      <c r="J47" s="8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8" t="s">
        <v>4</v>
      </c>
      <c r="E48" s="8" t="s">
        <v>8</v>
      </c>
      <c r="F48" s="8"/>
      <c r="H48" s="8" t="s">
        <v>6</v>
      </c>
      <c r="I48" s="8" t="s">
        <v>394</v>
      </c>
      <c r="J48" s="8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8" t="s">
        <v>4</v>
      </c>
      <c r="E49" s="8" t="s">
        <v>8</v>
      </c>
      <c r="F49" s="8"/>
      <c r="H49" s="8" t="s">
        <v>1292</v>
      </c>
      <c r="I49" s="8" t="s">
        <v>1049</v>
      </c>
      <c r="J49" s="8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8" t="s">
        <v>4</v>
      </c>
      <c r="E50" s="8" t="s">
        <v>8</v>
      </c>
      <c r="F50" s="8"/>
      <c r="H50" s="8" t="s">
        <v>1612</v>
      </c>
      <c r="I50" s="8" t="s">
        <v>1052</v>
      </c>
      <c r="J50" s="8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8" t="s">
        <v>4</v>
      </c>
      <c r="E51" s="8" t="s">
        <v>1617</v>
      </c>
      <c r="F51" s="8"/>
      <c r="H51" s="8" t="s">
        <v>1292</v>
      </c>
      <c r="I51" s="8" t="s">
        <v>1055</v>
      </c>
      <c r="J51" s="8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8" t="s">
        <v>4</v>
      </c>
      <c r="E52" s="8" t="s">
        <v>8</v>
      </c>
      <c r="F52" s="8"/>
      <c r="H52" s="8"/>
      <c r="I52" s="8" t="s">
        <v>1681</v>
      </c>
      <c r="J52" s="8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8" t="s">
        <v>4</v>
      </c>
      <c r="E53" s="8" t="s">
        <v>8</v>
      </c>
      <c r="F53" s="8"/>
      <c r="H53" s="8"/>
      <c r="I53" s="8" t="s">
        <v>1684</v>
      </c>
      <c r="J53" s="8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8" t="s">
        <v>4</v>
      </c>
      <c r="E54" s="8" t="s">
        <v>8</v>
      </c>
      <c r="F54" s="8"/>
      <c r="H54" s="8"/>
      <c r="I54" s="8" t="s">
        <v>1687</v>
      </c>
      <c r="J54" s="8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8" t="s">
        <v>4</v>
      </c>
      <c r="E55" s="8" t="s">
        <v>8</v>
      </c>
      <c r="F55" s="8"/>
      <c r="H55" s="8"/>
      <c r="I55" s="8" t="s">
        <v>1690</v>
      </c>
      <c r="J55" s="8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8" t="s">
        <v>4</v>
      </c>
      <c r="E56" s="8" t="s">
        <v>8</v>
      </c>
      <c r="F56" s="8"/>
      <c r="H56" s="8"/>
      <c r="I56" s="8" t="s">
        <v>1693</v>
      </c>
      <c r="J56" s="8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8" t="s">
        <v>4</v>
      </c>
      <c r="E57" s="8" t="s">
        <v>8</v>
      </c>
      <c r="F57" s="8"/>
      <c r="H57" s="8"/>
      <c r="I57" s="8" t="s">
        <v>1696</v>
      </c>
      <c r="J57" s="8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8" t="s">
        <v>4</v>
      </c>
      <c r="E58" s="8" t="s">
        <v>8</v>
      </c>
      <c r="F58" s="8"/>
      <c r="H58" s="8"/>
      <c r="I58" s="8" t="s">
        <v>1699</v>
      </c>
      <c r="J58" s="8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8" t="s">
        <v>4</v>
      </c>
      <c r="E59" s="8" t="s">
        <v>8</v>
      </c>
      <c r="F59" s="8"/>
      <c r="H59" s="8"/>
      <c r="I59" s="8" t="s">
        <v>2465</v>
      </c>
      <c r="J59" s="8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8" t="s">
        <v>4</v>
      </c>
      <c r="E60" s="8" t="s">
        <v>8</v>
      </c>
      <c r="F60" s="8"/>
      <c r="H60" s="8"/>
      <c r="I60" s="8" t="s">
        <v>2468</v>
      </c>
      <c r="J60" s="8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8" t="s">
        <v>4</v>
      </c>
      <c r="E61" s="8" t="s">
        <v>8</v>
      </c>
      <c r="F61" s="8"/>
      <c r="H61" s="8"/>
      <c r="I61" s="8" t="s">
        <v>2471</v>
      </c>
      <c r="J61" s="8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8" t="s">
        <v>4</v>
      </c>
      <c r="E62" s="8" t="s">
        <v>8</v>
      </c>
      <c r="F62" s="8"/>
      <c r="H62" s="8"/>
      <c r="I62" s="8" t="s">
        <v>2474</v>
      </c>
      <c r="J62" s="8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8" t="s">
        <v>4</v>
      </c>
      <c r="E63" s="8" t="s">
        <v>8</v>
      </c>
      <c r="F63" s="8"/>
      <c r="H63" s="8"/>
      <c r="I63" s="8" t="s">
        <v>2477</v>
      </c>
      <c r="J63" s="8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8" t="s">
        <v>4</v>
      </c>
      <c r="E64" s="8" t="s">
        <v>8</v>
      </c>
      <c r="F64" s="8"/>
      <c r="H64" s="8"/>
      <c r="I64" s="8" t="s">
        <v>2480</v>
      </c>
      <c r="J64" s="8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8" t="s">
        <v>4</v>
      </c>
      <c r="E65" s="8" t="s">
        <v>8</v>
      </c>
      <c r="F65" s="8"/>
      <c r="H65" s="8"/>
      <c r="I65" s="8" t="s">
        <v>2483</v>
      </c>
      <c r="J65" s="8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8" t="s">
        <v>4</v>
      </c>
      <c r="E66" s="8" t="s">
        <v>8</v>
      </c>
      <c r="F66" s="8"/>
      <c r="H66" s="8"/>
      <c r="I66" s="8" t="s">
        <v>2486</v>
      </c>
      <c r="J66" s="8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8" t="s">
        <v>1607</v>
      </c>
      <c r="E67" s="8"/>
      <c r="F67" s="8"/>
      <c r="H67" s="8"/>
      <c r="I67" s="8" t="s">
        <v>3431</v>
      </c>
      <c r="J67" s="8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8" t="s">
        <v>887</v>
      </c>
      <c r="E68" s="8" t="s">
        <v>3412</v>
      </c>
      <c r="F68" s="8" t="s">
        <v>58</v>
      </c>
      <c r="H68" s="8" t="s">
        <v>4096</v>
      </c>
      <c r="I68" s="8" t="s">
        <v>4091</v>
      </c>
      <c r="J68" s="8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8" t="s">
        <v>4</v>
      </c>
      <c r="E69" s="8" t="s">
        <v>8</v>
      </c>
      <c r="F69" s="8"/>
      <c r="H69" s="8"/>
      <c r="I69" s="8" t="s">
        <v>3596</v>
      </c>
      <c r="J69" s="8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8" t="s">
        <v>1282</v>
      </c>
      <c r="E70" s="8" t="s">
        <v>86</v>
      </c>
      <c r="F70" s="8" t="s">
        <v>165</v>
      </c>
      <c r="H70" s="8"/>
      <c r="I70" s="8" t="s">
        <v>3599</v>
      </c>
      <c r="J70" s="8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8" t="s">
        <v>4</v>
      </c>
      <c r="E71" s="8" t="s">
        <v>8</v>
      </c>
      <c r="F71" s="8"/>
      <c r="H71" s="8"/>
      <c r="I71" s="8" t="s">
        <v>3602</v>
      </c>
      <c r="J71" s="8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8" t="s">
        <v>1282</v>
      </c>
      <c r="E72" s="8" t="s">
        <v>86</v>
      </c>
      <c r="F72" s="8" t="s">
        <v>165</v>
      </c>
      <c r="H72" s="8"/>
      <c r="I72" s="8" t="s">
        <v>3605</v>
      </c>
      <c r="J72" s="8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8" t="s">
        <v>1282</v>
      </c>
      <c r="E73" s="8" t="s">
        <v>86</v>
      </c>
      <c r="F73" s="8" t="s">
        <v>4097</v>
      </c>
      <c r="H73" s="8" t="s">
        <v>4098</v>
      </c>
      <c r="I73" s="8" t="s">
        <v>3608</v>
      </c>
      <c r="J73" s="8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8" t="s">
        <v>1282</v>
      </c>
      <c r="E74" s="8" t="s">
        <v>86</v>
      </c>
      <c r="F74" s="8" t="s">
        <v>165</v>
      </c>
      <c r="H74" s="8"/>
      <c r="I74" s="8" t="s">
        <v>3611</v>
      </c>
      <c r="J74" s="8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8" t="s">
        <v>887</v>
      </c>
      <c r="E75" s="8" t="s">
        <v>3412</v>
      </c>
      <c r="F75" s="8" t="s">
        <v>60</v>
      </c>
      <c r="H75" s="8" t="s">
        <v>4096</v>
      </c>
      <c r="I75" s="8" t="s">
        <v>3614</v>
      </c>
      <c r="J75" s="8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8" t="s">
        <v>887</v>
      </c>
      <c r="E76" s="8" t="s">
        <v>3412</v>
      </c>
      <c r="F76" s="8" t="s">
        <v>60</v>
      </c>
      <c r="H76" s="8" t="s">
        <v>2352</v>
      </c>
      <c r="I76" s="8" t="s">
        <v>3617</v>
      </c>
      <c r="J76" s="8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8" t="s">
        <v>4</v>
      </c>
      <c r="E77" s="8" t="s">
        <v>8</v>
      </c>
      <c r="F77" s="8"/>
      <c r="H77" s="8" t="s">
        <v>2352</v>
      </c>
      <c r="I77" s="8" t="s">
        <v>3620</v>
      </c>
      <c r="J77" s="8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8" t="s">
        <v>4</v>
      </c>
      <c r="E78" s="8" t="s">
        <v>8</v>
      </c>
      <c r="F78" s="8"/>
      <c r="H78" s="8" t="s">
        <v>2352</v>
      </c>
      <c r="I78" s="8" t="s">
        <v>3623</v>
      </c>
      <c r="J78" s="8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8" t="s">
        <v>4</v>
      </c>
      <c r="E79" s="8" t="s">
        <v>8</v>
      </c>
      <c r="F79" s="8"/>
      <c r="H79" s="8" t="s">
        <v>2352</v>
      </c>
      <c r="I79" s="8" t="s">
        <v>3626</v>
      </c>
      <c r="J79" s="8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8" t="s">
        <v>1273</v>
      </c>
      <c r="E80" s="8" t="s">
        <v>70</v>
      </c>
      <c r="F80" s="8"/>
      <c r="H80" s="8"/>
      <c r="I80" s="8" t="s">
        <v>3629</v>
      </c>
      <c r="J80" s="8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8" t="s">
        <v>227</v>
      </c>
      <c r="E81" s="8" t="s">
        <v>70</v>
      </c>
      <c r="F81" s="8" t="s">
        <v>4087</v>
      </c>
      <c r="H81" s="8"/>
      <c r="I81" s="8" t="s">
        <v>3632</v>
      </c>
      <c r="J81" s="8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8" t="s">
        <v>403</v>
      </c>
      <c r="E82" s="8" t="s">
        <v>86</v>
      </c>
      <c r="F82" s="8" t="s">
        <v>4087</v>
      </c>
      <c r="H82" s="8"/>
      <c r="I82" s="8" t="s">
        <v>3635</v>
      </c>
      <c r="J82" s="8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8" t="s">
        <v>1282</v>
      </c>
      <c r="E83" s="8" t="s">
        <v>86</v>
      </c>
      <c r="F83" s="8" t="s">
        <v>4087</v>
      </c>
      <c r="H83" s="8"/>
      <c r="I83" s="8" t="s">
        <v>3638</v>
      </c>
      <c r="J83" s="8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8" t="s">
        <v>403</v>
      </c>
      <c r="E84" s="8" t="s">
        <v>86</v>
      </c>
      <c r="F84" s="8" t="s">
        <v>4087</v>
      </c>
      <c r="H84" s="8"/>
      <c r="I84" s="8" t="s">
        <v>4093</v>
      </c>
      <c r="J84" s="8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8" t="s">
        <v>4099</v>
      </c>
      <c r="E85" s="8"/>
      <c r="F85" s="8"/>
      <c r="H85" s="8"/>
      <c r="I85" s="8" t="s">
        <v>3641</v>
      </c>
      <c r="J85" s="8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8" t="s">
        <v>1282</v>
      </c>
      <c r="E86" s="8" t="s">
        <v>86</v>
      </c>
      <c r="F86" s="8" t="s">
        <v>4087</v>
      </c>
      <c r="H86" s="8"/>
      <c r="I86" s="8" t="s">
        <v>3644</v>
      </c>
      <c r="J86" s="8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8" t="s">
        <v>4</v>
      </c>
      <c r="E87" s="8" t="s">
        <v>8</v>
      </c>
      <c r="F87" s="8"/>
      <c r="H87" s="8"/>
      <c r="I87" s="8" t="s">
        <v>3647</v>
      </c>
      <c r="J87" s="8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8" t="s">
        <v>1273</v>
      </c>
      <c r="E88" s="8" t="s">
        <v>70</v>
      </c>
      <c r="F88" s="8"/>
      <c r="H88" s="8"/>
      <c r="I88" s="8" t="s">
        <v>3650</v>
      </c>
      <c r="J88" s="8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8" t="s">
        <v>1273</v>
      </c>
      <c r="E89" s="8" t="s">
        <v>55</v>
      </c>
      <c r="F89" s="8"/>
      <c r="H89" s="8"/>
      <c r="I89" s="8" t="s">
        <v>3653</v>
      </c>
      <c r="J89" s="8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8" t="s">
        <v>227</v>
      </c>
      <c r="E90" s="8" t="s">
        <v>70</v>
      </c>
      <c r="F90" s="8" t="s">
        <v>4087</v>
      </c>
      <c r="H90" s="8"/>
      <c r="I90" s="8" t="s">
        <v>3656</v>
      </c>
      <c r="J90" s="8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8" t="s">
        <v>4</v>
      </c>
      <c r="E91" s="8" t="s">
        <v>8</v>
      </c>
      <c r="F91" s="8"/>
      <c r="H91" s="8"/>
      <c r="I91" s="8" t="s">
        <v>3659</v>
      </c>
      <c r="J91" s="8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8" t="s">
        <v>1607</v>
      </c>
      <c r="E92" s="8"/>
      <c r="F92" s="8"/>
      <c r="H92" s="8"/>
      <c r="I92" s="8" t="s">
        <v>3662</v>
      </c>
      <c r="J92" s="8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8" t="s">
        <v>1273</v>
      </c>
      <c r="E93" s="8" t="s">
        <v>4236</v>
      </c>
      <c r="F93" s="8" t="s">
        <v>3398</v>
      </c>
      <c r="H93" s="8"/>
      <c r="I93" s="8" t="s">
        <v>4141</v>
      </c>
      <c r="J93" s="8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8" t="s">
        <v>226</v>
      </c>
      <c r="E94" s="8" t="s">
        <v>4236</v>
      </c>
      <c r="F94" s="8" t="s">
        <v>4087</v>
      </c>
      <c r="H94" s="8"/>
      <c r="I94" s="8" t="s">
        <v>4144</v>
      </c>
      <c r="J94" s="8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8" t="s">
        <v>226</v>
      </c>
      <c r="E95" s="8" t="s">
        <v>4236</v>
      </c>
      <c r="F95" s="8" t="s">
        <v>4087</v>
      </c>
      <c r="H95" s="8" t="s">
        <v>2352</v>
      </c>
      <c r="I95" s="8" t="s">
        <v>4147</v>
      </c>
      <c r="J95" s="8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8" t="s">
        <v>226</v>
      </c>
      <c r="E96" s="8" t="s">
        <v>4236</v>
      </c>
      <c r="F96" s="8" t="s">
        <v>4087</v>
      </c>
      <c r="H96" s="8" t="s">
        <v>2352</v>
      </c>
      <c r="I96" s="8" t="s">
        <v>4150</v>
      </c>
      <c r="J96" s="8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8" t="s">
        <v>226</v>
      </c>
      <c r="E97" s="8" t="s">
        <v>4236</v>
      </c>
      <c r="F97" s="8" t="s">
        <v>4087</v>
      </c>
      <c r="H97" s="8" t="s">
        <v>2352</v>
      </c>
      <c r="I97" s="8" t="s">
        <v>4153</v>
      </c>
      <c r="J97" s="8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8" t="s">
        <v>226</v>
      </c>
      <c r="E98" s="8" t="s">
        <v>4236</v>
      </c>
      <c r="F98" s="8" t="s">
        <v>4087</v>
      </c>
      <c r="H98" s="8" t="s">
        <v>2352</v>
      </c>
      <c r="I98" s="8" t="s">
        <v>4156</v>
      </c>
      <c r="J98" s="8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8" t="s">
        <v>226</v>
      </c>
      <c r="E99" s="8" t="s">
        <v>4236</v>
      </c>
      <c r="F99" s="8" t="s">
        <v>4087</v>
      </c>
      <c r="H99" s="8" t="s">
        <v>2352</v>
      </c>
      <c r="I99" s="8" t="s">
        <v>4159</v>
      </c>
      <c r="J99" s="8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8" t="s">
        <v>3397</v>
      </c>
      <c r="E100" s="8" t="s">
        <v>4236</v>
      </c>
      <c r="F100" s="8" t="s">
        <v>1276</v>
      </c>
      <c r="H100" s="8"/>
      <c r="I100" s="8" t="s">
        <v>4162</v>
      </c>
      <c r="J100" s="8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8" t="s">
        <v>587</v>
      </c>
      <c r="E101" s="8" t="s">
        <v>4236</v>
      </c>
      <c r="F101" s="8" t="s">
        <v>1276</v>
      </c>
      <c r="H101" s="8"/>
      <c r="I101" s="8" t="s">
        <v>4165</v>
      </c>
      <c r="J101" s="8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8" t="s">
        <v>4</v>
      </c>
      <c r="E102" s="8" t="s">
        <v>8</v>
      </c>
      <c r="F102" s="8"/>
      <c r="H102" s="8"/>
      <c r="I102" s="8" t="s">
        <v>4265</v>
      </c>
      <c r="J102" s="8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8" t="s">
        <v>1607</v>
      </c>
      <c r="E103" s="8" t="s">
        <v>8</v>
      </c>
      <c r="F103" s="8"/>
      <c r="H103" s="8"/>
      <c r="I103" s="8" t="s">
        <v>4268</v>
      </c>
      <c r="J103" s="8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8" t="s">
        <v>1607</v>
      </c>
      <c r="E104" s="8" t="s">
        <v>8</v>
      </c>
      <c r="F104" s="8"/>
      <c r="H104" s="8"/>
      <c r="I104" s="8" t="s">
        <v>4568</v>
      </c>
      <c r="J104" s="8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8" t="s">
        <v>4</v>
      </c>
      <c r="E105" s="8" t="s">
        <v>1274</v>
      </c>
      <c r="F105" s="8" t="s">
        <v>4925</v>
      </c>
      <c r="H105" s="8"/>
      <c r="I105" s="8" t="s">
        <v>4571</v>
      </c>
      <c r="J105" s="8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8" t="s">
        <v>1607</v>
      </c>
      <c r="E106" s="8" t="s">
        <v>8</v>
      </c>
      <c r="F106" s="8"/>
      <c r="H106" s="8"/>
      <c r="I106" s="8" t="s">
        <v>4574</v>
      </c>
      <c r="J106" s="8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8" t="s">
        <v>1607</v>
      </c>
      <c r="E107" s="8" t="s">
        <v>8</v>
      </c>
      <c r="F107" s="8"/>
      <c r="H107" s="8"/>
      <c r="I107" s="8" t="s">
        <v>4673</v>
      </c>
      <c r="J107" s="8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8" t="s">
        <v>4</v>
      </c>
      <c r="E108" s="8" t="s">
        <v>55</v>
      </c>
      <c r="F108" s="8" t="s">
        <v>51</v>
      </c>
      <c r="H108" s="8"/>
      <c r="I108" s="8" t="s">
        <v>4676</v>
      </c>
      <c r="J108" s="8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8" t="s">
        <v>587</v>
      </c>
      <c r="E109" s="8" t="s">
        <v>55</v>
      </c>
      <c r="F109" s="8" t="s">
        <v>51</v>
      </c>
      <c r="H109" s="8" t="s">
        <v>4926</v>
      </c>
      <c r="I109" s="8" t="s">
        <v>4679</v>
      </c>
      <c r="J109" s="8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8" t="s">
        <v>4</v>
      </c>
      <c r="E110" s="8" t="s">
        <v>8</v>
      </c>
      <c r="F110" s="8"/>
      <c r="H110" s="8"/>
      <c r="I110" s="8" t="s">
        <v>4682</v>
      </c>
      <c r="J110" s="8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8" t="s">
        <v>1607</v>
      </c>
      <c r="E111" s="8" t="s">
        <v>8</v>
      </c>
      <c r="F111" s="8"/>
      <c r="H111" s="8"/>
      <c r="I111" s="8" t="s">
        <v>4843</v>
      </c>
      <c r="J111" s="8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8" t="s">
        <v>1607</v>
      </c>
      <c r="E112" s="8" t="s">
        <v>8</v>
      </c>
      <c r="F112" s="8"/>
      <c r="H112" s="8"/>
      <c r="I112" s="8" t="s">
        <v>4951</v>
      </c>
      <c r="J112" s="8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8" t="s">
        <v>1273</v>
      </c>
      <c r="E113" s="8" t="s">
        <v>70</v>
      </c>
      <c r="F113" s="8"/>
      <c r="H113" s="8"/>
      <c r="I113" s="8" t="s">
        <v>5030</v>
      </c>
      <c r="J113" s="8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8" t="s">
        <v>4</v>
      </c>
      <c r="E114" s="8" t="s">
        <v>5057</v>
      </c>
      <c r="F114" s="8"/>
      <c r="H114" s="8"/>
      <c r="I114" s="8" t="s">
        <v>5033</v>
      </c>
      <c r="J114" s="8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8" t="s">
        <v>1607</v>
      </c>
      <c r="E115" s="8" t="s">
        <v>8</v>
      </c>
      <c r="F115" s="8"/>
      <c r="H115" s="8"/>
      <c r="I115" s="8" t="s">
        <v>5241</v>
      </c>
      <c r="J115" s="8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8" t="s">
        <v>1607</v>
      </c>
      <c r="E116" s="8" t="s">
        <v>8</v>
      </c>
      <c r="F116" s="8"/>
      <c r="H116" s="8"/>
      <c r="I116" s="8" t="s">
        <v>5351</v>
      </c>
      <c r="J116" s="8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8" t="s">
        <v>4</v>
      </c>
      <c r="E117" s="8" t="s">
        <v>8</v>
      </c>
      <c r="F117" s="8"/>
      <c r="H117" s="8"/>
      <c r="I117" s="8" t="s">
        <v>5667</v>
      </c>
      <c r="J117" s="8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8" t="s">
        <v>588</v>
      </c>
      <c r="E118" s="8" t="s">
        <v>3412</v>
      </c>
      <c r="F118" s="8"/>
      <c r="H118" s="8"/>
      <c r="I118" s="8" t="s">
        <v>5670</v>
      </c>
      <c r="J118" s="8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8" t="s">
        <v>12</v>
      </c>
      <c r="E119" s="8" t="s">
        <v>1274</v>
      </c>
      <c r="F119" s="8"/>
      <c r="H119" s="8"/>
      <c r="I119" s="8" t="s">
        <v>5673</v>
      </c>
      <c r="J119" s="8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8" t="s">
        <v>4</v>
      </c>
      <c r="E120" s="8" t="s">
        <v>8</v>
      </c>
      <c r="F120" s="8"/>
      <c r="H120" s="8"/>
      <c r="I120" s="8" t="s">
        <v>5676</v>
      </c>
      <c r="J120" s="8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8" t="s">
        <v>1607</v>
      </c>
      <c r="E121" s="8" t="s">
        <v>8</v>
      </c>
      <c r="F121" s="8"/>
      <c r="H121" s="8"/>
      <c r="I121" s="8" t="s">
        <v>5679</v>
      </c>
      <c r="J121" s="8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8" t="s">
        <v>1607</v>
      </c>
      <c r="E122" s="8" t="s">
        <v>8</v>
      </c>
      <c r="F122" s="8"/>
      <c r="H122" s="8"/>
      <c r="I122" s="8" t="s">
        <v>5682</v>
      </c>
      <c r="J122" s="8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8" t="s">
        <v>1607</v>
      </c>
      <c r="E123" s="8" t="s">
        <v>8</v>
      </c>
      <c r="F123" s="8"/>
      <c r="H123" s="8"/>
      <c r="I123" s="8" t="s">
        <v>5700</v>
      </c>
      <c r="J123" s="8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8" t="s">
        <v>12</v>
      </c>
      <c r="E124" s="8" t="s">
        <v>1274</v>
      </c>
      <c r="F124" s="8"/>
      <c r="H124" s="8"/>
      <c r="I124" s="8" t="s">
        <v>5812</v>
      </c>
      <c r="J124" s="8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8" t="s">
        <v>1607</v>
      </c>
      <c r="E125" s="8" t="s">
        <v>8</v>
      </c>
      <c r="F125" s="8"/>
      <c r="H125" s="8"/>
      <c r="I125" s="8" t="s">
        <v>5815</v>
      </c>
      <c r="J125" s="8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8" t="s">
        <v>1607</v>
      </c>
      <c r="E126" s="8" t="s">
        <v>8</v>
      </c>
      <c r="F126" s="8"/>
      <c r="H126" s="8"/>
      <c r="I126" s="8" t="s">
        <v>5818</v>
      </c>
      <c r="J126" s="8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8" t="s">
        <v>3381</v>
      </c>
      <c r="E127" s="8" t="s">
        <v>5903</v>
      </c>
      <c r="F127" s="8" t="s">
        <v>60</v>
      </c>
      <c r="H127" s="8"/>
      <c r="I127" s="8" t="s">
        <v>5821</v>
      </c>
      <c r="J127" s="8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8" t="s">
        <v>3381</v>
      </c>
      <c r="E128" s="8" t="s">
        <v>5903</v>
      </c>
      <c r="F128" s="8" t="s">
        <v>60</v>
      </c>
      <c r="H128" s="8"/>
      <c r="I128" s="8" t="s">
        <v>5824</v>
      </c>
      <c r="J128" s="8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8" t="s">
        <v>227</v>
      </c>
      <c r="E129" s="8" t="s">
        <v>86</v>
      </c>
      <c r="F129" s="8" t="s">
        <v>60</v>
      </c>
      <c r="G129">
        <v>4</v>
      </c>
      <c r="H129" s="8"/>
      <c r="I129" s="8" t="s">
        <v>5827</v>
      </c>
      <c r="J129" s="8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8" t="s">
        <v>887</v>
      </c>
      <c r="E130" s="8" t="s">
        <v>86</v>
      </c>
      <c r="F130" s="8" t="s">
        <v>60</v>
      </c>
      <c r="H130" s="8" t="s">
        <v>413</v>
      </c>
      <c r="I130" s="8" t="s">
        <v>5830</v>
      </c>
      <c r="J130" s="8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8" t="s">
        <v>227</v>
      </c>
      <c r="E131" s="8" t="s">
        <v>86</v>
      </c>
      <c r="F131" s="8" t="s">
        <v>60</v>
      </c>
      <c r="G131">
        <v>1</v>
      </c>
      <c r="H131" s="8"/>
      <c r="I131" s="8" t="s">
        <v>5833</v>
      </c>
      <c r="J131" s="8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8" t="s">
        <v>227</v>
      </c>
      <c r="E132" s="8" t="s">
        <v>86</v>
      </c>
      <c r="F132" s="8" t="s">
        <v>60</v>
      </c>
      <c r="G132">
        <v>4</v>
      </c>
      <c r="H132" s="8"/>
      <c r="I132" s="8" t="s">
        <v>5836</v>
      </c>
      <c r="J132" s="8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8" t="s">
        <v>227</v>
      </c>
      <c r="E133" s="8" t="s">
        <v>86</v>
      </c>
      <c r="F133" s="8" t="s">
        <v>60</v>
      </c>
      <c r="G133">
        <v>2</v>
      </c>
      <c r="H133" s="8"/>
      <c r="I133" s="8" t="s">
        <v>5839</v>
      </c>
      <c r="J133" s="8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8" t="s">
        <v>227</v>
      </c>
      <c r="E134" s="8" t="s">
        <v>86</v>
      </c>
      <c r="F134" s="8" t="s">
        <v>60</v>
      </c>
      <c r="G134">
        <v>3</v>
      </c>
      <c r="H134" s="8"/>
      <c r="I134" s="8" t="s">
        <v>5842</v>
      </c>
      <c r="J134" s="8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8" t="s">
        <v>227</v>
      </c>
      <c r="E135" s="8" t="s">
        <v>86</v>
      </c>
      <c r="F135" s="8" t="s">
        <v>60</v>
      </c>
      <c r="G135">
        <v>3</v>
      </c>
      <c r="H135" s="8"/>
      <c r="I135" s="8" t="s">
        <v>5845</v>
      </c>
      <c r="J135" s="8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8" t="s">
        <v>227</v>
      </c>
      <c r="E136" s="8" t="s">
        <v>86</v>
      </c>
      <c r="F136" s="8" t="s">
        <v>60</v>
      </c>
      <c r="G136">
        <v>2</v>
      </c>
      <c r="H136" s="8"/>
      <c r="I136" s="8" t="s">
        <v>5848</v>
      </c>
      <c r="J136" s="8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8" t="s">
        <v>227</v>
      </c>
      <c r="E137" s="8" t="s">
        <v>86</v>
      </c>
      <c r="F137" s="8" t="s">
        <v>60</v>
      </c>
      <c r="G137">
        <v>2</v>
      </c>
      <c r="H137" s="8"/>
      <c r="I137" s="8" t="s">
        <v>5851</v>
      </c>
      <c r="J137" s="8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8" t="s">
        <v>227</v>
      </c>
      <c r="E138" s="8" t="s">
        <v>86</v>
      </c>
      <c r="F138" s="8" t="s">
        <v>60</v>
      </c>
      <c r="G138">
        <v>2</v>
      </c>
      <c r="H138" s="8"/>
      <c r="I138" s="8" t="s">
        <v>5854</v>
      </c>
      <c r="J138" s="8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8" t="s">
        <v>227</v>
      </c>
      <c r="E139" s="8" t="s">
        <v>86</v>
      </c>
      <c r="F139" s="8" t="s">
        <v>60</v>
      </c>
      <c r="G139">
        <v>1</v>
      </c>
      <c r="H139" s="8"/>
      <c r="I139" s="8" t="s">
        <v>5857</v>
      </c>
      <c r="J139" s="8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8" t="s">
        <v>227</v>
      </c>
      <c r="E140" s="8" t="s">
        <v>86</v>
      </c>
      <c r="F140" s="8" t="s">
        <v>60</v>
      </c>
      <c r="G140">
        <v>2</v>
      </c>
      <c r="H140" s="8"/>
      <c r="I140" s="8" t="s">
        <v>5860</v>
      </c>
      <c r="J140" s="8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8" t="s">
        <v>227</v>
      </c>
      <c r="E141" s="8" t="s">
        <v>86</v>
      </c>
      <c r="F141" s="8" t="s">
        <v>60</v>
      </c>
      <c r="G141">
        <v>4</v>
      </c>
      <c r="H141" s="8"/>
      <c r="I141" s="8" t="s">
        <v>5863</v>
      </c>
      <c r="J141" s="8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8" t="s">
        <v>227</v>
      </c>
      <c r="E142" s="8" t="s">
        <v>86</v>
      </c>
      <c r="F142" s="8" t="s">
        <v>60</v>
      </c>
      <c r="G142">
        <v>2</v>
      </c>
      <c r="H142" s="8"/>
      <c r="I142" s="8" t="s">
        <v>5866</v>
      </c>
      <c r="J142" s="8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8" t="s">
        <v>227</v>
      </c>
      <c r="E143" s="8" t="s">
        <v>86</v>
      </c>
      <c r="F143" s="8" t="s">
        <v>60</v>
      </c>
      <c r="G143">
        <v>2</v>
      </c>
      <c r="H143" s="8"/>
      <c r="I143" s="8" t="s">
        <v>5869</v>
      </c>
      <c r="J143" s="8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8" t="s">
        <v>227</v>
      </c>
      <c r="E144" s="8" t="s">
        <v>86</v>
      </c>
      <c r="F144" s="8" t="s">
        <v>60</v>
      </c>
      <c r="G144">
        <v>3</v>
      </c>
      <c r="H144" s="8"/>
      <c r="I144" s="8" t="s">
        <v>5872</v>
      </c>
      <c r="J144" s="8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8" t="s">
        <v>227</v>
      </c>
      <c r="E145" s="8" t="s">
        <v>86</v>
      </c>
      <c r="F145" s="8" t="s">
        <v>60</v>
      </c>
      <c r="G145">
        <v>3</v>
      </c>
      <c r="H145" s="8"/>
      <c r="I145" s="8" t="s">
        <v>5875</v>
      </c>
      <c r="J145" s="8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8" t="s">
        <v>227</v>
      </c>
      <c r="E146" s="8" t="s">
        <v>86</v>
      </c>
      <c r="F146" s="8" t="s">
        <v>60</v>
      </c>
      <c r="G146">
        <v>2</v>
      </c>
      <c r="H146" s="8"/>
      <c r="I146" s="8" t="s">
        <v>5878</v>
      </c>
      <c r="J146" s="8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8" t="s">
        <v>227</v>
      </c>
      <c r="E147" s="8" t="s">
        <v>86</v>
      </c>
      <c r="F147" s="8" t="s">
        <v>60</v>
      </c>
      <c r="G147">
        <v>4</v>
      </c>
      <c r="H147" s="8"/>
      <c r="I147" s="8" t="s">
        <v>5881</v>
      </c>
      <c r="J147" s="8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8" t="s">
        <v>227</v>
      </c>
      <c r="E148" s="8" t="s">
        <v>86</v>
      </c>
      <c r="F148" s="8" t="s">
        <v>60</v>
      </c>
      <c r="G148">
        <v>3</v>
      </c>
      <c r="H148" s="8"/>
      <c r="I148" s="8" t="s">
        <v>5884</v>
      </c>
      <c r="J148" s="8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8" t="s">
        <v>227</v>
      </c>
      <c r="E149" s="8" t="s">
        <v>86</v>
      </c>
      <c r="F149" s="8" t="s">
        <v>60</v>
      </c>
      <c r="G149">
        <v>2</v>
      </c>
      <c r="H149" s="8"/>
      <c r="I149" s="8" t="s">
        <v>5887</v>
      </c>
      <c r="J149" s="8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8" t="s">
        <v>1282</v>
      </c>
      <c r="E150" s="8" t="s">
        <v>86</v>
      </c>
      <c r="F150" s="8" t="s">
        <v>60</v>
      </c>
      <c r="H150" s="8" t="s">
        <v>6155</v>
      </c>
      <c r="I150" s="8" t="s">
        <v>6043</v>
      </c>
      <c r="J150" s="8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8" t="s">
        <v>1282</v>
      </c>
      <c r="E151" s="8" t="s">
        <v>86</v>
      </c>
      <c r="F151" s="8" t="s">
        <v>60</v>
      </c>
      <c r="H151" s="8" t="s">
        <v>6156</v>
      </c>
      <c r="I151" s="8" t="s">
        <v>6046</v>
      </c>
      <c r="J151" s="8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8" t="s">
        <v>4</v>
      </c>
      <c r="E152" s="8" t="s">
        <v>6154</v>
      </c>
      <c r="F152" s="8" t="s">
        <v>60</v>
      </c>
      <c r="H152" s="8"/>
      <c r="I152" s="8" t="s">
        <v>6049</v>
      </c>
      <c r="J152" s="8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8" t="s">
        <v>227</v>
      </c>
      <c r="E153" s="8" t="s">
        <v>86</v>
      </c>
      <c r="F153" s="8" t="s">
        <v>60</v>
      </c>
      <c r="G153">
        <v>3</v>
      </c>
      <c r="H153" s="8"/>
      <c r="I153" s="8" t="s">
        <v>6052</v>
      </c>
      <c r="J153" s="8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8" t="s">
        <v>227</v>
      </c>
      <c r="E154" s="8" t="s">
        <v>86</v>
      </c>
      <c r="F154" s="8" t="s">
        <v>60</v>
      </c>
      <c r="G154">
        <v>2</v>
      </c>
      <c r="H154" s="8"/>
      <c r="I154" s="8" t="s">
        <v>6055</v>
      </c>
      <c r="J154" s="8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8" t="s">
        <v>227</v>
      </c>
      <c r="E155" s="8" t="s">
        <v>86</v>
      </c>
      <c r="F155" s="8" t="s">
        <v>60</v>
      </c>
      <c r="G155">
        <v>2</v>
      </c>
      <c r="H155" s="8"/>
      <c r="I155" s="8" t="s">
        <v>6058</v>
      </c>
      <c r="J155" s="8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8" t="s">
        <v>227</v>
      </c>
      <c r="E156" s="8" t="s">
        <v>86</v>
      </c>
      <c r="F156" s="8" t="s">
        <v>60</v>
      </c>
      <c r="G156">
        <v>3</v>
      </c>
      <c r="H156" s="8"/>
      <c r="I156" s="8" t="s">
        <v>6061</v>
      </c>
      <c r="J156" s="8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8" t="s">
        <v>227</v>
      </c>
      <c r="E157" s="8" t="s">
        <v>86</v>
      </c>
      <c r="F157" s="8" t="s">
        <v>60</v>
      </c>
      <c r="G157">
        <v>4</v>
      </c>
      <c r="H157" s="8"/>
      <c r="I157" s="8" t="s">
        <v>6064</v>
      </c>
      <c r="J157" s="8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8" t="s">
        <v>227</v>
      </c>
      <c r="E158" s="8" t="s">
        <v>86</v>
      </c>
      <c r="F158" s="8" t="s">
        <v>60</v>
      </c>
      <c r="G158">
        <v>3</v>
      </c>
      <c r="H158" s="8"/>
      <c r="I158" s="8" t="s">
        <v>6067</v>
      </c>
      <c r="J158" s="8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8" t="s">
        <v>227</v>
      </c>
      <c r="E159" s="8" t="s">
        <v>86</v>
      </c>
      <c r="F159" s="8" t="s">
        <v>60</v>
      </c>
      <c r="G159">
        <v>3</v>
      </c>
      <c r="H159" s="8"/>
      <c r="I159" s="8" t="s">
        <v>6070</v>
      </c>
      <c r="J159" s="8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8" t="s">
        <v>227</v>
      </c>
      <c r="E160" s="8" t="s">
        <v>86</v>
      </c>
      <c r="F160" s="8" t="s">
        <v>60</v>
      </c>
      <c r="G160">
        <v>2</v>
      </c>
      <c r="H160" s="8"/>
      <c r="I160" s="8" t="s">
        <v>6073</v>
      </c>
      <c r="J160" s="8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8" t="s">
        <v>227</v>
      </c>
      <c r="E161" s="8" t="s">
        <v>86</v>
      </c>
      <c r="F161" s="8" t="s">
        <v>60</v>
      </c>
      <c r="G161">
        <v>2</v>
      </c>
      <c r="H161" s="8"/>
      <c r="I161" s="8" t="s">
        <v>6076</v>
      </c>
      <c r="J161" s="8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8" t="s">
        <v>227</v>
      </c>
      <c r="E162" s="8" t="s">
        <v>86</v>
      </c>
      <c r="F162" s="8" t="s">
        <v>60</v>
      </c>
      <c r="G162">
        <v>3</v>
      </c>
      <c r="H162" s="8"/>
      <c r="I162" s="8" t="s">
        <v>6079</v>
      </c>
      <c r="J162" s="8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8" t="s">
        <v>227</v>
      </c>
      <c r="E163" s="8" t="s">
        <v>86</v>
      </c>
      <c r="F163" s="8" t="s">
        <v>60</v>
      </c>
      <c r="G163">
        <v>3</v>
      </c>
      <c r="H163" s="8"/>
      <c r="I163" s="8" t="s">
        <v>6082</v>
      </c>
      <c r="J163" s="8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8" t="s">
        <v>227</v>
      </c>
      <c r="E164" s="8" t="s">
        <v>86</v>
      </c>
      <c r="F164" s="8" t="s">
        <v>60</v>
      </c>
      <c r="G164">
        <v>2</v>
      </c>
      <c r="H164" s="8"/>
      <c r="I164" s="8" t="s">
        <v>6085</v>
      </c>
      <c r="J164" s="8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8" t="s">
        <v>227</v>
      </c>
      <c r="E165" s="8" t="s">
        <v>86</v>
      </c>
      <c r="F165" s="8" t="s">
        <v>60</v>
      </c>
      <c r="G165">
        <v>1</v>
      </c>
      <c r="H165" s="8"/>
      <c r="I165" s="8" t="s">
        <v>6088</v>
      </c>
      <c r="J165" s="8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8" t="s">
        <v>227</v>
      </c>
      <c r="E166" s="8" t="s">
        <v>86</v>
      </c>
      <c r="F166" s="8" t="s">
        <v>60</v>
      </c>
      <c r="G166">
        <v>4</v>
      </c>
      <c r="H166" s="8"/>
      <c r="I166" s="8" t="s">
        <v>6091</v>
      </c>
      <c r="J166" s="8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8" t="s">
        <v>227</v>
      </c>
      <c r="E167" s="8" t="s">
        <v>86</v>
      </c>
      <c r="F167" s="8" t="s">
        <v>60</v>
      </c>
      <c r="G167">
        <v>3</v>
      </c>
      <c r="H167" s="8"/>
      <c r="I167" s="8" t="s">
        <v>6094</v>
      </c>
      <c r="J167" s="8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8" t="s">
        <v>227</v>
      </c>
      <c r="E168" s="8" t="s">
        <v>86</v>
      </c>
      <c r="F168" s="8" t="s">
        <v>60</v>
      </c>
      <c r="G168">
        <v>3</v>
      </c>
      <c r="H168" s="8"/>
      <c r="I168" s="8" t="s">
        <v>6097</v>
      </c>
      <c r="J168" s="8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8" t="s">
        <v>227</v>
      </c>
      <c r="E169" s="8" t="s">
        <v>86</v>
      </c>
      <c r="F169" s="8" t="s">
        <v>60</v>
      </c>
      <c r="G169">
        <v>3</v>
      </c>
      <c r="H169" s="8"/>
      <c r="I169" s="8" t="s">
        <v>6100</v>
      </c>
      <c r="J169" s="8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8" t="s">
        <v>227</v>
      </c>
      <c r="E170" s="8" t="s">
        <v>86</v>
      </c>
      <c r="F170" s="8" t="s">
        <v>60</v>
      </c>
      <c r="G170">
        <v>2</v>
      </c>
      <c r="H170" s="8"/>
      <c r="I170" s="8" t="s">
        <v>6103</v>
      </c>
      <c r="J170" s="8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8" t="s">
        <v>227</v>
      </c>
      <c r="E171" s="8" t="s">
        <v>86</v>
      </c>
      <c r="F171" s="8" t="s">
        <v>60</v>
      </c>
      <c r="G171">
        <v>3</v>
      </c>
      <c r="H171" s="8"/>
      <c r="I171" s="8" t="s">
        <v>6106</v>
      </c>
      <c r="J171" s="8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8" t="s">
        <v>227</v>
      </c>
      <c r="E172" s="8" t="s">
        <v>86</v>
      </c>
      <c r="F172" s="8" t="s">
        <v>60</v>
      </c>
      <c r="G172">
        <v>3</v>
      </c>
      <c r="H172" s="8"/>
      <c r="I172" s="8" t="s">
        <v>6109</v>
      </c>
      <c r="J172" s="8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8" t="s">
        <v>227</v>
      </c>
      <c r="E173" s="8" t="s">
        <v>86</v>
      </c>
      <c r="F173" s="8" t="s">
        <v>60</v>
      </c>
      <c r="G173">
        <v>3</v>
      </c>
      <c r="H173" s="8"/>
      <c r="I173" s="8" t="s">
        <v>6112</v>
      </c>
      <c r="J173" s="8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8" t="s">
        <v>227</v>
      </c>
      <c r="E174" s="8" t="s">
        <v>86</v>
      </c>
      <c r="F174" s="8" t="s">
        <v>60</v>
      </c>
      <c r="G174">
        <v>4</v>
      </c>
      <c r="H174" s="8"/>
      <c r="I174" s="8" t="s">
        <v>6115</v>
      </c>
      <c r="J174" s="8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8" t="s">
        <v>227</v>
      </c>
      <c r="E175" s="8" t="s">
        <v>86</v>
      </c>
      <c r="F175" s="8" t="s">
        <v>60</v>
      </c>
      <c r="G175">
        <v>2</v>
      </c>
      <c r="H175" s="8"/>
      <c r="I175" s="8" t="s">
        <v>6118</v>
      </c>
      <c r="J175" s="8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8" t="s">
        <v>4</v>
      </c>
      <c r="E176" s="8" t="s">
        <v>3358</v>
      </c>
      <c r="F176" s="8"/>
      <c r="H176" s="8"/>
      <c r="I176" s="8" t="s">
        <v>6121</v>
      </c>
      <c r="J176" s="8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8" t="s">
        <v>1607</v>
      </c>
      <c r="E177" s="8" t="s">
        <v>8</v>
      </c>
      <c r="F177" s="8"/>
      <c r="H177" s="8"/>
      <c r="I177" s="8" t="s">
        <v>6124</v>
      </c>
      <c r="J177" s="8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8" t="s">
        <v>887</v>
      </c>
      <c r="E178" s="8" t="s">
        <v>86</v>
      </c>
      <c r="F178" s="8" t="s">
        <v>60</v>
      </c>
      <c r="H178" s="8" t="s">
        <v>6298</v>
      </c>
      <c r="I178" s="8" t="s">
        <v>6260</v>
      </c>
      <c r="J178" s="8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8" t="s">
        <v>887</v>
      </c>
      <c r="E179" s="8" t="s">
        <v>86</v>
      </c>
      <c r="F179" s="8" t="s">
        <v>60</v>
      </c>
      <c r="H179" s="8" t="s">
        <v>6298</v>
      </c>
      <c r="I179" s="8" t="s">
        <v>6263</v>
      </c>
      <c r="J179" s="8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8" t="s">
        <v>887</v>
      </c>
      <c r="E180" s="8" t="s">
        <v>86</v>
      </c>
      <c r="F180" s="8" t="s">
        <v>60</v>
      </c>
      <c r="H180" s="8" t="s">
        <v>6298</v>
      </c>
      <c r="I180" s="8" t="s">
        <v>6266</v>
      </c>
      <c r="J180" s="8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8" t="s">
        <v>887</v>
      </c>
      <c r="E181" s="8" t="s">
        <v>86</v>
      </c>
      <c r="F181" s="8" t="s">
        <v>60</v>
      </c>
      <c r="H181" s="8" t="s">
        <v>6298</v>
      </c>
      <c r="I181" s="8" t="s">
        <v>6269</v>
      </c>
      <c r="J181" s="8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8" t="s">
        <v>887</v>
      </c>
      <c r="E182" s="8" t="s">
        <v>86</v>
      </c>
      <c r="F182" s="8" t="s">
        <v>60</v>
      </c>
      <c r="H182" s="8" t="s">
        <v>6298</v>
      </c>
      <c r="I182" s="8" t="s">
        <v>6272</v>
      </c>
      <c r="J182" s="8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8" t="s">
        <v>887</v>
      </c>
      <c r="E183" s="8" t="s">
        <v>86</v>
      </c>
      <c r="F183" s="8" t="s">
        <v>60</v>
      </c>
      <c r="H183" s="8" t="s">
        <v>6298</v>
      </c>
      <c r="I183" s="8" t="s">
        <v>6275</v>
      </c>
      <c r="J183" s="8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8" t="s">
        <v>887</v>
      </c>
      <c r="E184" s="8" t="s">
        <v>86</v>
      </c>
      <c r="F184" s="8" t="s">
        <v>60</v>
      </c>
      <c r="H184" s="8" t="s">
        <v>6298</v>
      </c>
      <c r="I184" s="8" t="s">
        <v>6278</v>
      </c>
      <c r="J184" s="8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8" t="s">
        <v>1607</v>
      </c>
      <c r="E185" s="8" t="s">
        <v>8</v>
      </c>
      <c r="F185" s="8"/>
      <c r="H185" s="8"/>
      <c r="I185" s="8" t="s">
        <v>6281</v>
      </c>
      <c r="J185" s="8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8" t="s">
        <v>1607</v>
      </c>
      <c r="E186" s="8" t="s">
        <v>8</v>
      </c>
      <c r="F186" s="8"/>
      <c r="H186" s="8"/>
      <c r="I186" s="8" t="s">
        <v>6338</v>
      </c>
      <c r="J186" s="8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8" t="s">
        <v>6436</v>
      </c>
      <c r="E187" s="8" t="s">
        <v>5310</v>
      </c>
      <c r="F187" s="8"/>
      <c r="H187" s="8"/>
      <c r="I187" s="8" t="s">
        <v>6341</v>
      </c>
      <c r="J187" s="8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8" t="s">
        <v>4</v>
      </c>
      <c r="E188" s="8" t="s">
        <v>6439</v>
      </c>
      <c r="F188" s="8"/>
      <c r="H188" s="8"/>
      <c r="I188" s="8" t="s">
        <v>6344</v>
      </c>
      <c r="J188" s="8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8" t="s">
        <v>4</v>
      </c>
      <c r="E189" s="8" t="s">
        <v>6439</v>
      </c>
      <c r="F189" s="8"/>
      <c r="H189" s="8"/>
      <c r="I189" s="8" t="s">
        <v>6347</v>
      </c>
      <c r="J189" s="8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8" t="s">
        <v>4</v>
      </c>
      <c r="E190" s="8" t="s">
        <v>6439</v>
      </c>
      <c r="F190" s="8"/>
      <c r="H190" s="8"/>
      <c r="I190" s="8" t="s">
        <v>6350</v>
      </c>
      <c r="J190" s="8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8" t="s">
        <v>4</v>
      </c>
      <c r="E191" s="8" t="s">
        <v>6659</v>
      </c>
      <c r="F191" s="8"/>
      <c r="H191" s="8"/>
      <c r="I191" s="8" t="s">
        <v>6613</v>
      </c>
      <c r="J191" s="8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8" t="s">
        <v>4</v>
      </c>
      <c r="E192" s="8" t="s">
        <v>6659</v>
      </c>
      <c r="F192" s="8"/>
      <c r="H192" s="8"/>
      <c r="I192" s="8" t="s">
        <v>6616</v>
      </c>
      <c r="J192" s="8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8" t="s">
        <v>1607</v>
      </c>
      <c r="E193" s="8" t="s">
        <v>8</v>
      </c>
      <c r="F193" s="8"/>
      <c r="H193" s="8"/>
      <c r="I193" s="8" t="s">
        <v>6619</v>
      </c>
      <c r="J193" s="8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8" t="s">
        <v>4</v>
      </c>
      <c r="E194" s="8" t="s">
        <v>1274</v>
      </c>
      <c r="F194" s="8" t="s">
        <v>5697</v>
      </c>
      <c r="H194" s="8"/>
      <c r="I194" s="8" t="s">
        <v>6622</v>
      </c>
      <c r="J194" s="8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8" t="s">
        <v>1607</v>
      </c>
      <c r="E195" s="8" t="s">
        <v>8</v>
      </c>
      <c r="F195" s="8"/>
      <c r="H195" s="8"/>
      <c r="I195" s="8" t="s">
        <v>6625</v>
      </c>
      <c r="J195" s="8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8" t="s">
        <v>1607</v>
      </c>
      <c r="E196" s="8" t="s">
        <v>8</v>
      </c>
      <c r="F196" s="8"/>
      <c r="H196" s="8"/>
      <c r="I196" s="8" t="s">
        <v>6628</v>
      </c>
      <c r="J196" s="8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8" t="s">
        <v>1607</v>
      </c>
      <c r="E197" s="8" t="s">
        <v>8</v>
      </c>
      <c r="F197" s="8"/>
      <c r="H197" s="8"/>
      <c r="I197" s="8" t="s">
        <v>6740</v>
      </c>
      <c r="J197" s="8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8" t="s">
        <v>4</v>
      </c>
      <c r="E198" s="8" t="s">
        <v>6788</v>
      </c>
      <c r="F198" s="8"/>
      <c r="H198" s="8" t="s">
        <v>6436</v>
      </c>
      <c r="I198" s="8" t="s">
        <v>6743</v>
      </c>
      <c r="J198" s="8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8" t="s">
        <v>1607</v>
      </c>
      <c r="E199" s="8" t="s">
        <v>8</v>
      </c>
      <c r="F199" s="8"/>
      <c r="H199" s="8"/>
      <c r="I199" s="8" t="s">
        <v>6746</v>
      </c>
      <c r="J199" s="8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8" t="s">
        <v>1607</v>
      </c>
      <c r="E200" s="8" t="s">
        <v>8</v>
      </c>
      <c r="F200" s="8"/>
      <c r="H200" s="8"/>
      <c r="I200" s="8" t="s">
        <v>6837</v>
      </c>
      <c r="J200" s="8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8" t="s">
        <v>4</v>
      </c>
      <c r="E201" s="8" t="s">
        <v>7047</v>
      </c>
      <c r="F201" s="8"/>
      <c r="H201" s="8"/>
      <c r="I201" s="8" t="s">
        <v>6840</v>
      </c>
      <c r="J201" s="8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8" t="s">
        <v>1607</v>
      </c>
      <c r="E202" s="8" t="s">
        <v>8</v>
      </c>
      <c r="F202" s="8"/>
      <c r="H202" s="8"/>
      <c r="I202" s="8" t="s">
        <v>6843</v>
      </c>
      <c r="J202" s="8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8" t="s">
        <v>1607</v>
      </c>
      <c r="E203" s="8" t="s">
        <v>8</v>
      </c>
      <c r="F203" s="8"/>
      <c r="H203" s="8"/>
      <c r="I203" s="8" t="s">
        <v>6846</v>
      </c>
      <c r="J203" s="8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8" t="s">
        <v>1607</v>
      </c>
      <c r="E204" s="8" t="s">
        <v>8</v>
      </c>
      <c r="F204" s="8"/>
      <c r="H204" s="8"/>
      <c r="I204" s="8" t="s">
        <v>6849</v>
      </c>
      <c r="J204" s="8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8" t="s">
        <v>1607</v>
      </c>
      <c r="E205" s="8" t="s">
        <v>8</v>
      </c>
      <c r="F205" s="8"/>
      <c r="H205" s="8"/>
      <c r="I205" s="8" t="s">
        <v>6852</v>
      </c>
      <c r="J205" s="8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8" t="s">
        <v>1607</v>
      </c>
      <c r="E206" s="8" t="s">
        <v>8</v>
      </c>
      <c r="F206" s="8"/>
      <c r="H206" s="8"/>
      <c r="I206" s="8" t="s">
        <v>6855</v>
      </c>
      <c r="J206" s="8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8" t="s">
        <v>4941</v>
      </c>
      <c r="E207" s="8" t="s">
        <v>4396</v>
      </c>
      <c r="F207" s="8" t="s">
        <v>7344</v>
      </c>
      <c r="H207" s="8"/>
      <c r="I207" s="8" t="s">
        <v>7092</v>
      </c>
      <c r="J207" s="8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8" t="s">
        <v>4941</v>
      </c>
      <c r="E208" s="8" t="s">
        <v>4396</v>
      </c>
      <c r="F208" s="8" t="s">
        <v>7344</v>
      </c>
      <c r="H208" s="8" t="s">
        <v>2352</v>
      </c>
      <c r="I208" s="8" t="s">
        <v>7095</v>
      </c>
      <c r="J208" s="8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8" t="s">
        <v>887</v>
      </c>
      <c r="E209" s="8" t="s">
        <v>86</v>
      </c>
      <c r="F209" s="8" t="s">
        <v>60</v>
      </c>
      <c r="H209" s="8"/>
      <c r="I209" s="8" t="s">
        <v>7098</v>
      </c>
      <c r="J209" s="8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8" t="s">
        <v>887</v>
      </c>
      <c r="E210" s="8" t="s">
        <v>86</v>
      </c>
      <c r="F210" s="8" t="s">
        <v>60</v>
      </c>
      <c r="H210" s="8" t="s">
        <v>2352</v>
      </c>
      <c r="I210" s="8" t="s">
        <v>7101</v>
      </c>
      <c r="J210" s="8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8" t="s">
        <v>887</v>
      </c>
      <c r="E211" s="8" t="s">
        <v>86</v>
      </c>
      <c r="F211" s="8" t="s">
        <v>60</v>
      </c>
      <c r="H211" s="8" t="s">
        <v>2352</v>
      </c>
      <c r="I211" s="8" t="s">
        <v>7104</v>
      </c>
      <c r="J211" s="8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8" t="s">
        <v>887</v>
      </c>
      <c r="E212" s="8" t="s">
        <v>3412</v>
      </c>
      <c r="F212" s="8" t="s">
        <v>60</v>
      </c>
      <c r="H212" s="8"/>
      <c r="I212" s="8" t="s">
        <v>7107</v>
      </c>
      <c r="J212" s="8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8" t="s">
        <v>887</v>
      </c>
      <c r="E213" s="8" t="s">
        <v>3412</v>
      </c>
      <c r="F213" s="8" t="s">
        <v>60</v>
      </c>
      <c r="H213" s="8" t="s">
        <v>2352</v>
      </c>
      <c r="I213" s="8" t="s">
        <v>7110</v>
      </c>
      <c r="J213" s="8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8" t="s">
        <v>887</v>
      </c>
      <c r="E214" s="8" t="s">
        <v>3412</v>
      </c>
      <c r="F214" s="8" t="s">
        <v>60</v>
      </c>
      <c r="H214" s="8" t="s">
        <v>2352</v>
      </c>
      <c r="I214" s="8" t="s">
        <v>7113</v>
      </c>
      <c r="J214" s="8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8" t="s">
        <v>4</v>
      </c>
      <c r="E215" s="8" t="s">
        <v>8</v>
      </c>
      <c r="F215" s="8"/>
      <c r="H215" s="8"/>
      <c r="I215" s="8" t="s">
        <v>7116</v>
      </c>
      <c r="J215" s="8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8" t="s">
        <v>4</v>
      </c>
      <c r="E216" s="8" t="s">
        <v>6439</v>
      </c>
      <c r="F216" s="8"/>
      <c r="H216" s="8"/>
      <c r="I216" s="8" t="s">
        <v>7119</v>
      </c>
      <c r="J216" s="8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8" t="s">
        <v>4</v>
      </c>
      <c r="E217" s="8" t="s">
        <v>6439</v>
      </c>
      <c r="F217" s="8"/>
      <c r="H217" s="8"/>
      <c r="I217" s="8" t="s">
        <v>7122</v>
      </c>
      <c r="J217" s="8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8" t="s">
        <v>4</v>
      </c>
      <c r="E218" s="8" t="s">
        <v>8</v>
      </c>
      <c r="F218" s="8"/>
      <c r="H218" s="8"/>
      <c r="I218" s="8" t="s">
        <v>7125</v>
      </c>
      <c r="J218" s="8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8" t="s">
        <v>4</v>
      </c>
      <c r="E219" s="8" t="s">
        <v>6439</v>
      </c>
      <c r="F219" s="8"/>
      <c r="H219" s="8"/>
      <c r="I219" s="8" t="s">
        <v>7398</v>
      </c>
      <c r="J219" s="8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8" t="s">
        <v>4</v>
      </c>
      <c r="E220" s="8" t="s">
        <v>6439</v>
      </c>
      <c r="F220" s="8"/>
      <c r="H220" s="8" t="s">
        <v>2352</v>
      </c>
      <c r="I220" s="8" t="s">
        <v>7401</v>
      </c>
      <c r="J220" s="8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8" t="s">
        <v>4</v>
      </c>
      <c r="E221" s="8" t="s">
        <v>6439</v>
      </c>
      <c r="F221" s="8"/>
      <c r="H221" s="8" t="s">
        <v>2352</v>
      </c>
      <c r="I221" s="8" t="s">
        <v>7404</v>
      </c>
      <c r="J221" s="8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8" t="s">
        <v>887</v>
      </c>
      <c r="E222" s="8" t="s">
        <v>3412</v>
      </c>
      <c r="F222" s="8" t="s">
        <v>60</v>
      </c>
      <c r="H222" s="8"/>
      <c r="I222" s="8" t="s">
        <v>7491</v>
      </c>
      <c r="J222" s="8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8" t="s">
        <v>4</v>
      </c>
      <c r="E223" s="8" t="s">
        <v>6439</v>
      </c>
      <c r="F223" s="8"/>
      <c r="H223" s="8"/>
      <c r="I223" s="8" t="s">
        <v>7494</v>
      </c>
      <c r="J223" s="8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8" t="s">
        <v>4</v>
      </c>
      <c r="E224" s="8" t="s">
        <v>6439</v>
      </c>
      <c r="F224" s="8"/>
      <c r="H224" s="8"/>
      <c r="I224" s="8" t="s">
        <v>7497</v>
      </c>
      <c r="J224" s="8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8" t="s">
        <v>4</v>
      </c>
      <c r="E225" s="8" t="s">
        <v>6439</v>
      </c>
      <c r="F225" s="8"/>
      <c r="H225" s="8"/>
      <c r="I225" s="8" t="s">
        <v>7500</v>
      </c>
      <c r="J225" s="8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8" t="s">
        <v>4</v>
      </c>
      <c r="E226" s="8" t="s">
        <v>6439</v>
      </c>
      <c r="F226" s="8"/>
      <c r="H226" s="8"/>
      <c r="I226" s="8" t="s">
        <v>7503</v>
      </c>
      <c r="J226" s="8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8" t="s">
        <v>4</v>
      </c>
      <c r="E227" s="8" t="s">
        <v>8</v>
      </c>
      <c r="F227" s="8"/>
      <c r="H227" s="8"/>
      <c r="I227" s="8" t="s">
        <v>7506</v>
      </c>
      <c r="J227" s="8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8" t="s">
        <v>4</v>
      </c>
      <c r="E228" s="8" t="s">
        <v>6439</v>
      </c>
      <c r="F228" s="8"/>
      <c r="H228" s="8"/>
      <c r="I228" s="8" t="s">
        <v>7701</v>
      </c>
      <c r="J228" s="8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8" t="s">
        <v>4</v>
      </c>
      <c r="E229" s="8" t="s">
        <v>6439</v>
      </c>
      <c r="F229" s="8"/>
      <c r="H229" s="8"/>
      <c r="I229" s="8" t="s">
        <v>7704</v>
      </c>
      <c r="J229" s="8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8" t="s">
        <v>4</v>
      </c>
      <c r="E230" s="8" t="s">
        <v>6439</v>
      </c>
      <c r="F230" s="8"/>
      <c r="H230" s="8"/>
      <c r="I230" s="8" t="s">
        <v>7707</v>
      </c>
      <c r="J230" s="8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8" t="s">
        <v>4</v>
      </c>
      <c r="E231" s="8" t="s">
        <v>7887</v>
      </c>
      <c r="F231" s="8"/>
      <c r="H231" s="8"/>
      <c r="I231" s="8" t="s">
        <v>7747</v>
      </c>
      <c r="J231" s="8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8" t="s">
        <v>4</v>
      </c>
      <c r="E232" s="8" t="s">
        <v>7887</v>
      </c>
      <c r="F232" s="8"/>
      <c r="H232" s="8"/>
      <c r="I232" s="8" t="s">
        <v>7750</v>
      </c>
      <c r="J232" s="8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8" t="s">
        <v>4</v>
      </c>
      <c r="E233" s="8" t="s">
        <v>7887</v>
      </c>
      <c r="F233" s="8"/>
      <c r="H233" s="8"/>
      <c r="I233" s="8" t="s">
        <v>7753</v>
      </c>
      <c r="J233" s="8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8" t="s">
        <v>4</v>
      </c>
      <c r="E234" s="8" t="s">
        <v>7887</v>
      </c>
      <c r="F234" s="8"/>
      <c r="H234" s="8"/>
      <c r="I234" s="8" t="s">
        <v>7756</v>
      </c>
      <c r="J234" s="8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8" t="s">
        <v>4</v>
      </c>
      <c r="E235" s="8" t="s">
        <v>7887</v>
      </c>
      <c r="F235" s="8"/>
      <c r="H235" s="8"/>
      <c r="I235" s="8" t="s">
        <v>7759</v>
      </c>
      <c r="J235" s="8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8" t="s">
        <v>4</v>
      </c>
      <c r="E236" s="8" t="s">
        <v>7887</v>
      </c>
      <c r="F236" s="8"/>
      <c r="H236" s="8"/>
      <c r="I236" s="8" t="s">
        <v>7940</v>
      </c>
      <c r="J236" s="8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8" t="s">
        <v>4</v>
      </c>
      <c r="E237" s="8" t="s">
        <v>7887</v>
      </c>
      <c r="F237" s="8"/>
      <c r="H237" s="8"/>
      <c r="I237" s="8" t="s">
        <v>7943</v>
      </c>
      <c r="J237" s="8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8" t="s">
        <v>4</v>
      </c>
      <c r="E238" s="8" t="s">
        <v>7887</v>
      </c>
      <c r="F238" s="8"/>
      <c r="H238" s="8"/>
      <c r="I238" s="8" t="s">
        <v>7946</v>
      </c>
      <c r="J238" s="8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8" t="s">
        <v>4</v>
      </c>
      <c r="E239" s="8" t="s">
        <v>7887</v>
      </c>
      <c r="F239" s="8"/>
      <c r="H239" s="8"/>
      <c r="I239" s="8" t="s">
        <v>7949</v>
      </c>
      <c r="J239" s="8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8" t="s">
        <v>4</v>
      </c>
      <c r="E240" s="8" t="s">
        <v>8</v>
      </c>
      <c r="F240" s="8"/>
      <c r="H240" s="8"/>
      <c r="I240" s="8" t="s">
        <v>7952</v>
      </c>
      <c r="J240" s="8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8" t="s">
        <v>227</v>
      </c>
      <c r="E241" s="8" t="s">
        <v>86</v>
      </c>
      <c r="F241" s="8" t="s">
        <v>60</v>
      </c>
      <c r="G241">
        <v>2</v>
      </c>
      <c r="H241" s="8" t="s">
        <v>8158</v>
      </c>
      <c r="I241" s="8" t="s">
        <v>8128</v>
      </c>
      <c r="J241" s="8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8" t="s">
        <v>227</v>
      </c>
      <c r="E242" s="8" t="s">
        <v>86</v>
      </c>
      <c r="F242" s="8" t="s">
        <v>60</v>
      </c>
      <c r="G242">
        <v>4</v>
      </c>
      <c r="H242" s="8"/>
      <c r="I242" s="8" t="s">
        <v>8131</v>
      </c>
      <c r="J242" s="8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8" t="s">
        <v>227</v>
      </c>
      <c r="E243" s="8" t="s">
        <v>86</v>
      </c>
      <c r="F243" s="8" t="s">
        <v>60</v>
      </c>
      <c r="G243">
        <v>3</v>
      </c>
      <c r="H243" s="8"/>
      <c r="I243" s="8" t="s">
        <v>8137</v>
      </c>
      <c r="J243" s="8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8" t="s">
        <v>227</v>
      </c>
      <c r="E244" s="8" t="s">
        <v>86</v>
      </c>
      <c r="F244" s="8" t="s">
        <v>60</v>
      </c>
      <c r="G244">
        <v>4</v>
      </c>
      <c r="H244" s="8"/>
      <c r="I244" s="8" t="s">
        <v>8140</v>
      </c>
      <c r="J244" s="8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8" t="s">
        <v>227</v>
      </c>
      <c r="E245" s="8" t="s">
        <v>86</v>
      </c>
      <c r="F245" s="8" t="s">
        <v>60</v>
      </c>
      <c r="G245">
        <v>3</v>
      </c>
      <c r="H245" s="8"/>
      <c r="I245" s="8" t="s">
        <v>8143</v>
      </c>
      <c r="J245" s="8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8" t="s">
        <v>227</v>
      </c>
      <c r="E246" s="8" t="s">
        <v>86</v>
      </c>
      <c r="F246" s="8" t="s">
        <v>60</v>
      </c>
      <c r="H246" s="8" t="s">
        <v>2352</v>
      </c>
      <c r="I246" s="8" t="s">
        <v>8146</v>
      </c>
      <c r="J246" s="8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8" t="s">
        <v>227</v>
      </c>
      <c r="E247" s="8" t="s">
        <v>86</v>
      </c>
      <c r="F247" s="8" t="s">
        <v>60</v>
      </c>
      <c r="G247">
        <v>1</v>
      </c>
      <c r="H247" s="8"/>
      <c r="I247" s="8" t="s">
        <v>8149</v>
      </c>
      <c r="J247" s="8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8" t="s">
        <v>227</v>
      </c>
      <c r="E248" s="8" t="s">
        <v>86</v>
      </c>
      <c r="F248" s="8" t="s">
        <v>60</v>
      </c>
      <c r="G248">
        <v>3</v>
      </c>
      <c r="H248" s="8"/>
      <c r="I248" s="8" t="s">
        <v>8152</v>
      </c>
      <c r="J248" s="8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8" t="s">
        <v>227</v>
      </c>
      <c r="E249" s="8" t="s">
        <v>86</v>
      </c>
      <c r="F249" s="8" t="s">
        <v>60</v>
      </c>
      <c r="G249">
        <v>3</v>
      </c>
      <c r="H249" s="8"/>
      <c r="I249" s="8" t="s">
        <v>8155</v>
      </c>
      <c r="J249" s="8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8" t="s">
        <v>227</v>
      </c>
      <c r="E250" s="8" t="s">
        <v>86</v>
      </c>
      <c r="F250" s="8" t="s">
        <v>60</v>
      </c>
      <c r="G250">
        <v>2</v>
      </c>
      <c r="H250" s="8"/>
      <c r="I250" s="8" t="s">
        <v>8159</v>
      </c>
      <c r="J250" s="8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8" t="s">
        <v>227</v>
      </c>
      <c r="E251" s="8" t="s">
        <v>86</v>
      </c>
      <c r="F251" s="8" t="s">
        <v>60</v>
      </c>
      <c r="G251">
        <v>3</v>
      </c>
      <c r="H251" s="8"/>
      <c r="I251" s="8" t="s">
        <v>8162</v>
      </c>
      <c r="J251" s="8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8" t="s">
        <v>227</v>
      </c>
      <c r="E252" s="8" t="s">
        <v>86</v>
      </c>
      <c r="F252" s="8" t="s">
        <v>60</v>
      </c>
      <c r="H252" s="8" t="s">
        <v>2352</v>
      </c>
      <c r="I252" s="8" t="s">
        <v>8165</v>
      </c>
      <c r="J252" s="8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8" t="s">
        <v>227</v>
      </c>
      <c r="E253" s="8" t="s">
        <v>86</v>
      </c>
      <c r="F253" s="8" t="s">
        <v>60</v>
      </c>
      <c r="G253">
        <v>2</v>
      </c>
      <c r="H253" s="8"/>
      <c r="I253" s="8" t="s">
        <v>8168</v>
      </c>
      <c r="J253" s="8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8" t="s">
        <v>227</v>
      </c>
      <c r="E254" s="8" t="s">
        <v>86</v>
      </c>
      <c r="F254" s="8" t="s">
        <v>60</v>
      </c>
      <c r="G254">
        <v>4</v>
      </c>
      <c r="H254" s="8"/>
      <c r="I254" s="8" t="s">
        <v>8171</v>
      </c>
      <c r="J254" s="8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8" t="s">
        <v>227</v>
      </c>
      <c r="E255" s="8" t="s">
        <v>86</v>
      </c>
      <c r="F255" s="8" t="s">
        <v>60</v>
      </c>
      <c r="G255">
        <v>1</v>
      </c>
      <c r="H255" s="8"/>
      <c r="I255" s="8" t="s">
        <v>8174</v>
      </c>
      <c r="J255" s="8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8" t="s">
        <v>227</v>
      </c>
      <c r="E256" s="8" t="s">
        <v>86</v>
      </c>
      <c r="F256" s="8" t="s">
        <v>60</v>
      </c>
      <c r="G256">
        <v>3</v>
      </c>
      <c r="H256" s="8"/>
      <c r="I256" s="8" t="s">
        <v>8177</v>
      </c>
      <c r="J256" s="8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8" t="s">
        <v>227</v>
      </c>
      <c r="E257" s="8" t="s">
        <v>86</v>
      </c>
      <c r="F257" s="8" t="s">
        <v>60</v>
      </c>
      <c r="G257">
        <v>3</v>
      </c>
      <c r="H257" s="8"/>
      <c r="I257" s="8" t="s">
        <v>8180</v>
      </c>
      <c r="J257" s="8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8" t="s">
        <v>227</v>
      </c>
      <c r="E258" s="8" t="s">
        <v>86</v>
      </c>
      <c r="F258" s="8" t="s">
        <v>60</v>
      </c>
      <c r="G258">
        <v>2</v>
      </c>
      <c r="H258" s="8"/>
      <c r="I258" s="8" t="s">
        <v>8183</v>
      </c>
      <c r="J258" s="8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8" t="s">
        <v>227</v>
      </c>
      <c r="E259" s="8" t="s">
        <v>86</v>
      </c>
      <c r="F259" s="8" t="s">
        <v>60</v>
      </c>
      <c r="G259">
        <v>2</v>
      </c>
      <c r="H259" s="8"/>
      <c r="I259" s="8" t="s">
        <v>8186</v>
      </c>
      <c r="J259" s="8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8" t="s">
        <v>227</v>
      </c>
      <c r="E260" s="8" t="s">
        <v>86</v>
      </c>
      <c r="F260" s="8" t="s">
        <v>60</v>
      </c>
      <c r="G260">
        <v>3</v>
      </c>
      <c r="H260" s="8"/>
      <c r="I260" s="8" t="s">
        <v>8189</v>
      </c>
      <c r="J260" s="8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8" t="s">
        <v>227</v>
      </c>
      <c r="E261" s="8" t="s">
        <v>86</v>
      </c>
      <c r="F261" s="8" t="s">
        <v>60</v>
      </c>
      <c r="G261">
        <v>2</v>
      </c>
      <c r="H261" s="8"/>
      <c r="I261" s="8" t="s">
        <v>8192</v>
      </c>
      <c r="J261" s="8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8" t="s">
        <v>227</v>
      </c>
      <c r="E262" s="8" t="s">
        <v>86</v>
      </c>
      <c r="F262" s="8" t="s">
        <v>60</v>
      </c>
      <c r="G262">
        <v>2</v>
      </c>
      <c r="H262" s="8"/>
      <c r="I262" s="8" t="s">
        <v>8195</v>
      </c>
      <c r="J262" s="8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8" t="s">
        <v>227</v>
      </c>
      <c r="E263" s="8" t="s">
        <v>86</v>
      </c>
      <c r="F263" s="8" t="s">
        <v>60</v>
      </c>
      <c r="G263">
        <v>3</v>
      </c>
      <c r="H263" s="8"/>
      <c r="I263" s="8" t="s">
        <v>8198</v>
      </c>
      <c r="J263" s="8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8" t="s">
        <v>227</v>
      </c>
      <c r="E264" s="8" t="s">
        <v>86</v>
      </c>
      <c r="F264" s="8" t="s">
        <v>60</v>
      </c>
      <c r="H264" s="8" t="s">
        <v>2352</v>
      </c>
      <c r="I264" s="8" t="s">
        <v>8201</v>
      </c>
      <c r="J264" s="8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8" t="s">
        <v>227</v>
      </c>
      <c r="E265" s="8" t="s">
        <v>86</v>
      </c>
      <c r="F265" s="8" t="s">
        <v>60</v>
      </c>
      <c r="G265">
        <v>4</v>
      </c>
      <c r="H265" s="8"/>
      <c r="I265" s="8" t="s">
        <v>8204</v>
      </c>
      <c r="J265" s="8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8" t="s">
        <v>227</v>
      </c>
      <c r="E266" s="8" t="s">
        <v>86</v>
      </c>
      <c r="F266" s="8" t="s">
        <v>60</v>
      </c>
      <c r="G266">
        <v>3</v>
      </c>
      <c r="H266" s="8"/>
      <c r="I266" s="8" t="s">
        <v>8207</v>
      </c>
      <c r="J266" s="8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8" t="s">
        <v>227</v>
      </c>
      <c r="E267" s="8" t="s">
        <v>86</v>
      </c>
      <c r="F267" s="8" t="s">
        <v>60</v>
      </c>
      <c r="G267">
        <v>3</v>
      </c>
      <c r="H267" s="8"/>
      <c r="I267" s="8" t="s">
        <v>8210</v>
      </c>
      <c r="J267" s="8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8" t="s">
        <v>227</v>
      </c>
      <c r="E268" s="8" t="s">
        <v>86</v>
      </c>
      <c r="F268" s="8" t="s">
        <v>60</v>
      </c>
      <c r="G268">
        <v>2</v>
      </c>
      <c r="H268" s="8"/>
      <c r="I268" s="8" t="s">
        <v>8213</v>
      </c>
      <c r="J268" s="8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8" t="s">
        <v>227</v>
      </c>
      <c r="E269" s="8" t="s">
        <v>86</v>
      </c>
      <c r="F269" s="8" t="s">
        <v>60</v>
      </c>
      <c r="G269">
        <v>2</v>
      </c>
      <c r="H269" s="8" t="s">
        <v>8295</v>
      </c>
      <c r="I269" s="8" t="s">
        <v>8229</v>
      </c>
      <c r="J269" s="8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8" t="s">
        <v>227</v>
      </c>
      <c r="E270" s="8" t="s">
        <v>86</v>
      </c>
      <c r="F270" s="8" t="s">
        <v>60</v>
      </c>
      <c r="G270">
        <v>3</v>
      </c>
      <c r="H270" s="8" t="s">
        <v>8295</v>
      </c>
      <c r="I270" s="8" t="s">
        <v>8232</v>
      </c>
      <c r="J270" s="8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8" t="s">
        <v>227</v>
      </c>
      <c r="E271" s="8" t="s">
        <v>86</v>
      </c>
      <c r="F271" s="8" t="s">
        <v>60</v>
      </c>
      <c r="G271">
        <v>3</v>
      </c>
      <c r="H271" s="8" t="s">
        <v>8295</v>
      </c>
      <c r="I271" s="8" t="s">
        <v>8235</v>
      </c>
      <c r="J271" s="8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8" t="s">
        <v>227</v>
      </c>
      <c r="E272" s="8" t="s">
        <v>86</v>
      </c>
      <c r="F272" s="8" t="s">
        <v>60</v>
      </c>
      <c r="G272">
        <v>4</v>
      </c>
      <c r="H272" s="8" t="s">
        <v>8295</v>
      </c>
      <c r="I272" s="8" t="s">
        <v>8238</v>
      </c>
      <c r="J272" s="8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8" t="s">
        <v>227</v>
      </c>
      <c r="E273" s="8" t="s">
        <v>86</v>
      </c>
      <c r="F273" s="8" t="s">
        <v>60</v>
      </c>
      <c r="G273">
        <v>4</v>
      </c>
      <c r="H273" s="8" t="s">
        <v>8295</v>
      </c>
      <c r="I273" s="8" t="s">
        <v>8241</v>
      </c>
      <c r="J273" s="8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8" t="s">
        <v>227</v>
      </c>
      <c r="E274" s="8" t="s">
        <v>86</v>
      </c>
      <c r="F274" s="8" t="s">
        <v>60</v>
      </c>
      <c r="G274">
        <v>4</v>
      </c>
      <c r="H274" s="8" t="s">
        <v>8295</v>
      </c>
      <c r="I274" s="8" t="s">
        <v>8244</v>
      </c>
      <c r="J274" s="8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8" t="s">
        <v>227</v>
      </c>
      <c r="E275" s="8" t="s">
        <v>86</v>
      </c>
      <c r="F275" s="8" t="s">
        <v>60</v>
      </c>
      <c r="G275">
        <v>5</v>
      </c>
      <c r="H275" s="8" t="s">
        <v>8295</v>
      </c>
      <c r="I275" s="8" t="s">
        <v>8247</v>
      </c>
      <c r="J275" s="8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8" t="s">
        <v>227</v>
      </c>
      <c r="E276" s="8" t="s">
        <v>86</v>
      </c>
      <c r="F276" s="8" t="s">
        <v>60</v>
      </c>
      <c r="G276">
        <v>2</v>
      </c>
      <c r="H276" s="8" t="s">
        <v>8295</v>
      </c>
      <c r="I276" s="8" t="s">
        <v>8250</v>
      </c>
      <c r="J276" s="8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8" t="s">
        <v>227</v>
      </c>
      <c r="E277" s="8" t="s">
        <v>86</v>
      </c>
      <c r="F277" s="8" t="s">
        <v>60</v>
      </c>
      <c r="G277">
        <v>3</v>
      </c>
      <c r="H277" s="8" t="s">
        <v>8295</v>
      </c>
      <c r="I277" s="8" t="s">
        <v>8253</v>
      </c>
      <c r="J277" s="8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8" t="s">
        <v>227</v>
      </c>
      <c r="E278" s="8" t="s">
        <v>86</v>
      </c>
      <c r="F278" s="8" t="s">
        <v>60</v>
      </c>
      <c r="G278">
        <v>3</v>
      </c>
      <c r="H278" s="8" t="s">
        <v>8295</v>
      </c>
      <c r="I278" s="8" t="s">
        <v>8256</v>
      </c>
      <c r="J278" s="8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8" t="s">
        <v>227</v>
      </c>
      <c r="E279" s="8" t="s">
        <v>86</v>
      </c>
      <c r="F279" s="8" t="s">
        <v>60</v>
      </c>
      <c r="G279">
        <v>3</v>
      </c>
      <c r="H279" s="8" t="s">
        <v>8295</v>
      </c>
      <c r="I279" s="8" t="s">
        <v>8259</v>
      </c>
      <c r="J279" s="8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8" t="s">
        <v>227</v>
      </c>
      <c r="E280" s="8" t="s">
        <v>86</v>
      </c>
      <c r="F280" s="8" t="s">
        <v>60</v>
      </c>
      <c r="G280">
        <v>2</v>
      </c>
      <c r="H280" s="8" t="s">
        <v>8295</v>
      </c>
      <c r="I280" s="8" t="s">
        <v>8262</v>
      </c>
      <c r="J280" s="8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8" t="s">
        <v>227</v>
      </c>
      <c r="E281" s="8" t="s">
        <v>86</v>
      </c>
      <c r="F281" s="8" t="s">
        <v>60</v>
      </c>
      <c r="G281">
        <v>2</v>
      </c>
      <c r="H281" s="8" t="s">
        <v>8295</v>
      </c>
      <c r="I281" s="8" t="s">
        <v>8265</v>
      </c>
      <c r="J281" s="8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8" t="s">
        <v>227</v>
      </c>
      <c r="E282" s="8" t="s">
        <v>86</v>
      </c>
      <c r="F282" s="8" t="s">
        <v>60</v>
      </c>
      <c r="G282">
        <v>3</v>
      </c>
      <c r="H282" s="8" t="s">
        <v>8295</v>
      </c>
      <c r="I282" s="8" t="s">
        <v>8268</v>
      </c>
      <c r="J282" s="8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8" t="s">
        <v>227</v>
      </c>
      <c r="E283" s="8" t="s">
        <v>86</v>
      </c>
      <c r="F283" s="8" t="s">
        <v>60</v>
      </c>
      <c r="G283">
        <v>3</v>
      </c>
      <c r="H283" s="8" t="s">
        <v>8295</v>
      </c>
      <c r="I283" s="8" t="s">
        <v>8271</v>
      </c>
      <c r="J283" s="8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8" t="s">
        <v>227</v>
      </c>
      <c r="E284" s="8" t="s">
        <v>86</v>
      </c>
      <c r="F284" s="8" t="s">
        <v>60</v>
      </c>
      <c r="G284">
        <v>3</v>
      </c>
      <c r="H284" s="8" t="s">
        <v>8295</v>
      </c>
      <c r="I284" s="8" t="s">
        <v>8274</v>
      </c>
      <c r="J284" s="8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8" t="s">
        <v>227</v>
      </c>
      <c r="E285" s="8" t="s">
        <v>86</v>
      </c>
      <c r="F285" s="8" t="s">
        <v>60</v>
      </c>
      <c r="G285">
        <v>2</v>
      </c>
      <c r="H285" s="8" t="s">
        <v>8295</v>
      </c>
      <c r="I285" s="8" t="s">
        <v>8277</v>
      </c>
      <c r="J285" s="8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8" t="s">
        <v>227</v>
      </c>
      <c r="E286" s="8" t="s">
        <v>86</v>
      </c>
      <c r="F286" s="8" t="s">
        <v>60</v>
      </c>
      <c r="G286">
        <v>2</v>
      </c>
      <c r="H286" s="8" t="s">
        <v>8295</v>
      </c>
      <c r="I286" s="8" t="s">
        <v>8280</v>
      </c>
      <c r="J286" s="8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8" t="s">
        <v>227</v>
      </c>
      <c r="E287" s="8" t="s">
        <v>86</v>
      </c>
      <c r="F287" s="8" t="s">
        <v>60</v>
      </c>
      <c r="G287">
        <v>2</v>
      </c>
      <c r="H287" s="8" t="s">
        <v>8295</v>
      </c>
      <c r="I287" s="8" t="s">
        <v>8283</v>
      </c>
      <c r="J287" s="8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8" t="s">
        <v>8296</v>
      </c>
      <c r="E288" s="8" t="s">
        <v>86</v>
      </c>
      <c r="F288" s="8" t="s">
        <v>8119</v>
      </c>
      <c r="G288">
        <v>1</v>
      </c>
      <c r="H288" s="8" t="s">
        <v>8297</v>
      </c>
      <c r="I288" s="8" t="s">
        <v>8286</v>
      </c>
      <c r="J288" s="8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8" t="s">
        <v>4</v>
      </c>
      <c r="E289" s="8" t="s">
        <v>7887</v>
      </c>
      <c r="F289" s="8"/>
      <c r="H289" s="8"/>
      <c r="I289" s="8" t="s">
        <v>8289</v>
      </c>
      <c r="J289" s="8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8" t="s">
        <v>4</v>
      </c>
      <c r="E290" s="8" t="s">
        <v>2348</v>
      </c>
      <c r="F290" s="8"/>
      <c r="H290" s="8"/>
      <c r="I290" s="8" t="s">
        <v>8292</v>
      </c>
      <c r="J290" s="8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8" t="s">
        <v>1607</v>
      </c>
      <c r="E291" s="8" t="s">
        <v>8</v>
      </c>
      <c r="F291" s="8"/>
      <c r="H291" s="8"/>
      <c r="I291" s="8" t="s">
        <v>8417</v>
      </c>
      <c r="J291" s="8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8" t="s">
        <v>1607</v>
      </c>
      <c r="E292" s="8" t="s">
        <v>8</v>
      </c>
      <c r="F292" s="8"/>
      <c r="H292" s="8"/>
      <c r="I292" s="8" t="s">
        <v>8420</v>
      </c>
      <c r="J292" s="8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8" t="s">
        <v>4</v>
      </c>
      <c r="E293" s="8" t="s">
        <v>2348</v>
      </c>
      <c r="F293" s="8"/>
      <c r="H293" s="8"/>
      <c r="I293" s="8" t="s">
        <v>8456</v>
      </c>
      <c r="J293" s="8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8" t="s">
        <v>4</v>
      </c>
      <c r="E294" s="8" t="s">
        <v>8520</v>
      </c>
      <c r="F294" s="8"/>
      <c r="H294" s="8"/>
      <c r="I294" s="8" t="s">
        <v>8459</v>
      </c>
      <c r="J294" s="8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8" t="s">
        <v>4</v>
      </c>
      <c r="E295" s="8" t="s">
        <v>7887</v>
      </c>
      <c r="F295" s="8"/>
      <c r="H295" s="8"/>
      <c r="I295" s="8" t="s">
        <v>8591</v>
      </c>
      <c r="J295" s="8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8" t="s">
        <v>136</v>
      </c>
      <c r="E296" s="8" t="s">
        <v>86</v>
      </c>
      <c r="F296" s="8" t="s">
        <v>60</v>
      </c>
      <c r="H296" s="8" t="s">
        <v>8717</v>
      </c>
      <c r="I296" s="8" t="s">
        <v>8594</v>
      </c>
      <c r="J296" s="8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8" t="s">
        <v>4</v>
      </c>
      <c r="E297" s="8" t="s">
        <v>2348</v>
      </c>
      <c r="F297" s="8"/>
      <c r="H297" s="8"/>
      <c r="I297" s="8" t="s">
        <v>8597</v>
      </c>
      <c r="J297" s="8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8" t="s">
        <v>4</v>
      </c>
      <c r="E298" s="8" t="s">
        <v>7887</v>
      </c>
      <c r="F298" s="8"/>
      <c r="H298" s="8"/>
      <c r="I298" s="8" t="s">
        <v>8600</v>
      </c>
      <c r="J298" s="8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8" t="s">
        <v>4</v>
      </c>
      <c r="E299" s="8" t="s">
        <v>7887</v>
      </c>
      <c r="F299" s="8"/>
      <c r="H299" s="8"/>
      <c r="I299" s="8" t="s">
        <v>8603</v>
      </c>
      <c r="J299" s="8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8" t="s">
        <v>4</v>
      </c>
      <c r="E300" s="8" t="s">
        <v>6439</v>
      </c>
      <c r="F300" s="8"/>
      <c r="H300" s="8"/>
      <c r="I300" s="8" t="s">
        <v>8738</v>
      </c>
      <c r="J300" s="8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8" t="s">
        <v>4</v>
      </c>
      <c r="E301" s="8" t="s">
        <v>6439</v>
      </c>
      <c r="F301" s="8"/>
      <c r="H301" s="8"/>
      <c r="I301" s="8" t="s">
        <v>8741</v>
      </c>
      <c r="J301" s="8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8" t="s">
        <v>4</v>
      </c>
      <c r="E302" s="8" t="s">
        <v>8</v>
      </c>
      <c r="F302" s="8"/>
      <c r="H302" s="8"/>
      <c r="I302" s="8" t="s">
        <v>8858</v>
      </c>
      <c r="J302" s="8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8" t="s">
        <v>587</v>
      </c>
      <c r="E303" s="8" t="s">
        <v>8913</v>
      </c>
      <c r="F303" s="8"/>
      <c r="H303" s="8" t="s">
        <v>8914</v>
      </c>
      <c r="I303" s="8" t="s">
        <v>8861</v>
      </c>
      <c r="J303" s="8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8" t="s">
        <v>4</v>
      </c>
      <c r="E304" s="8" t="s">
        <v>7887</v>
      </c>
      <c r="F304" s="8"/>
      <c r="H304" s="8"/>
      <c r="I304" s="8" t="s">
        <v>8864</v>
      </c>
      <c r="J304" s="8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8" t="s">
        <v>4</v>
      </c>
      <c r="E305" s="8" t="s">
        <v>7887</v>
      </c>
      <c r="F305" s="8"/>
      <c r="H305" s="8"/>
      <c r="I305" s="8" t="s">
        <v>8940</v>
      </c>
      <c r="J305" s="8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8" t="s">
        <v>4</v>
      </c>
      <c r="E306" s="8" t="s">
        <v>7887</v>
      </c>
      <c r="F306" s="8"/>
      <c r="H306" s="8"/>
      <c r="I306" s="8" t="s">
        <v>8943</v>
      </c>
      <c r="J306" s="8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8" t="s">
        <v>4</v>
      </c>
      <c r="E307" s="8" t="s">
        <v>7887</v>
      </c>
      <c r="F307" s="8"/>
      <c r="H307" s="8"/>
      <c r="I307" s="8" t="s">
        <v>8946</v>
      </c>
      <c r="J307" s="8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8" t="s">
        <v>4</v>
      </c>
      <c r="E308" s="8" t="s">
        <v>7887</v>
      </c>
      <c r="F308" s="8"/>
      <c r="H308" s="8"/>
      <c r="I308" s="8" t="s">
        <v>8949</v>
      </c>
      <c r="J308" s="8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8" t="s">
        <v>4</v>
      </c>
      <c r="E309" s="8" t="s">
        <v>8</v>
      </c>
      <c r="F309" s="8"/>
      <c r="H309" s="8"/>
      <c r="I309" s="8" t="s">
        <v>9275</v>
      </c>
      <c r="J309" s="8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8" t="s">
        <v>4</v>
      </c>
      <c r="E310" s="8" t="s">
        <v>9303</v>
      </c>
      <c r="F310" s="8"/>
      <c r="H310" s="8"/>
      <c r="I310" s="8" t="s">
        <v>9278</v>
      </c>
      <c r="J310" s="8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8" t="s">
        <v>4</v>
      </c>
      <c r="E311" s="8" t="s">
        <v>8</v>
      </c>
      <c r="F311" s="8"/>
      <c r="H311" s="8"/>
      <c r="I311" s="8" t="s">
        <v>9281</v>
      </c>
      <c r="J311" s="8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8" t="s">
        <v>1607</v>
      </c>
      <c r="E312" s="8" t="s">
        <v>8</v>
      </c>
      <c r="F312" s="8"/>
      <c r="H312" s="8"/>
      <c r="I312" s="8" t="s">
        <v>9338</v>
      </c>
      <c r="J312" s="8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8" t="s">
        <v>4</v>
      </c>
      <c r="E313" s="8" t="s">
        <v>2348</v>
      </c>
      <c r="F313" s="8"/>
      <c r="H313" s="8"/>
      <c r="I313" s="8" t="s">
        <v>9341</v>
      </c>
      <c r="J313" s="8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8" t="s">
        <v>4</v>
      </c>
      <c r="E314" s="8" t="s">
        <v>2348</v>
      </c>
      <c r="F314" s="8"/>
      <c r="H314" s="8"/>
      <c r="I314" s="8" t="s">
        <v>9542</v>
      </c>
      <c r="J314" s="8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8" t="s">
        <v>4921</v>
      </c>
      <c r="E315" s="8" t="s">
        <v>9597</v>
      </c>
      <c r="F315" s="8"/>
      <c r="H315" s="8"/>
      <c r="I315" s="8" t="s">
        <v>9545</v>
      </c>
      <c r="J315" s="8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8" t="s">
        <v>137</v>
      </c>
      <c r="E316" s="8" t="s">
        <v>9597</v>
      </c>
      <c r="F316" s="8"/>
      <c r="H316" s="8"/>
      <c r="I316" s="8" t="s">
        <v>9548</v>
      </c>
      <c r="J316" s="8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8" t="s">
        <v>166</v>
      </c>
      <c r="E317" s="8" t="s">
        <v>9597</v>
      </c>
      <c r="F317" s="8"/>
      <c r="H317" s="8"/>
      <c r="I317" s="8" t="s">
        <v>9551</v>
      </c>
      <c r="J317" s="8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8" t="s">
        <v>4</v>
      </c>
      <c r="E318" s="8" t="s">
        <v>8</v>
      </c>
      <c r="F318" s="8"/>
      <c r="H318" s="8"/>
      <c r="I318" s="8" t="s">
        <v>9554</v>
      </c>
      <c r="J318" s="8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8" t="s">
        <v>137</v>
      </c>
      <c r="E319" s="8" t="s">
        <v>3358</v>
      </c>
      <c r="F319" s="8"/>
      <c r="H319" s="8"/>
      <c r="I319" s="8" t="s">
        <v>9557</v>
      </c>
      <c r="J319" s="8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8" t="s">
        <v>166</v>
      </c>
      <c r="E320" s="8" t="s">
        <v>3358</v>
      </c>
      <c r="F320" s="8"/>
      <c r="H320" s="8"/>
      <c r="I320" s="8" t="s">
        <v>9560</v>
      </c>
      <c r="J320" s="8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8" t="s">
        <v>4</v>
      </c>
      <c r="E321" s="8" t="s">
        <v>8</v>
      </c>
      <c r="F321" s="8"/>
      <c r="H321" s="8"/>
      <c r="I321" s="8" t="s">
        <v>9563</v>
      </c>
      <c r="J321" s="8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8" t="s">
        <v>137</v>
      </c>
      <c r="E322" s="8" t="s">
        <v>70</v>
      </c>
      <c r="F322" s="8"/>
      <c r="H322" s="8"/>
      <c r="I322" s="8" t="s">
        <v>9566</v>
      </c>
      <c r="J322" s="8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8" t="s">
        <v>4</v>
      </c>
      <c r="E323" s="8" t="s">
        <v>8</v>
      </c>
      <c r="F323" s="8"/>
      <c r="H323" s="8"/>
      <c r="I323" s="8" t="s">
        <v>9569</v>
      </c>
      <c r="J323" s="8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8" t="s">
        <v>588</v>
      </c>
      <c r="E324" s="8" t="s">
        <v>86</v>
      </c>
      <c r="F324" s="8"/>
      <c r="H324" s="8"/>
      <c r="I324" s="8" t="s">
        <v>9634</v>
      </c>
      <c r="J324" s="8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8" t="s">
        <v>9596</v>
      </c>
      <c r="E325" s="8" t="s">
        <v>9653</v>
      </c>
      <c r="F325" s="8"/>
      <c r="H325" s="8"/>
      <c r="I325" s="8" t="s">
        <v>9637</v>
      </c>
      <c r="J325" s="8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8" t="s">
        <v>166</v>
      </c>
      <c r="E326" s="8" t="s">
        <v>9653</v>
      </c>
      <c r="F326" s="8"/>
      <c r="H326" s="8"/>
      <c r="I326" s="8" t="s">
        <v>9640</v>
      </c>
      <c r="J326" s="8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8" t="s">
        <v>1607</v>
      </c>
      <c r="E327" s="8" t="s">
        <v>8</v>
      </c>
      <c r="F327" s="8"/>
      <c r="H327" s="8"/>
      <c r="I327" s="8" t="s">
        <v>9667</v>
      </c>
      <c r="J327" s="8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8" t="s">
        <v>4</v>
      </c>
      <c r="E328" s="8" t="s">
        <v>8528</v>
      </c>
      <c r="F328" s="8"/>
      <c r="H328" s="8"/>
      <c r="I328" s="8" t="s">
        <v>9679</v>
      </c>
      <c r="J328" s="8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8" t="s">
        <v>588</v>
      </c>
      <c r="E329" s="8" t="s">
        <v>86</v>
      </c>
      <c r="F329" s="8"/>
      <c r="H329" s="8"/>
      <c r="I329" s="8" t="s">
        <v>9829</v>
      </c>
      <c r="J329" s="8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8" t="s">
        <v>10015</v>
      </c>
      <c r="E330" s="8" t="s">
        <v>86</v>
      </c>
      <c r="F330" s="8"/>
      <c r="H330" s="8"/>
      <c r="I330" s="8" t="s">
        <v>9832</v>
      </c>
      <c r="J330" s="8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8" t="s">
        <v>9600</v>
      </c>
      <c r="E331" s="8"/>
      <c r="F331" s="8"/>
      <c r="H331" s="8"/>
      <c r="I331" s="8" t="s">
        <v>9835</v>
      </c>
      <c r="J331" s="8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8" t="s">
        <v>9596</v>
      </c>
      <c r="E332" s="8" t="s">
        <v>10016</v>
      </c>
      <c r="F332" s="8"/>
      <c r="H332" s="8"/>
      <c r="I332" s="8" t="s">
        <v>9838</v>
      </c>
      <c r="J332" s="8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8" t="s">
        <v>62</v>
      </c>
      <c r="E333" s="8" t="s">
        <v>10016</v>
      </c>
      <c r="F333" s="8" t="s">
        <v>10017</v>
      </c>
      <c r="H333" s="8" t="s">
        <v>10018</v>
      </c>
      <c r="I333" s="8" t="s">
        <v>9841</v>
      </c>
      <c r="J333" s="8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8" t="s">
        <v>137</v>
      </c>
      <c r="E334" s="8" t="s">
        <v>3358</v>
      </c>
      <c r="F334" s="8"/>
      <c r="H334" s="8"/>
      <c r="I334" s="8" t="s">
        <v>9844</v>
      </c>
      <c r="J334" s="8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8" t="s">
        <v>10019</v>
      </c>
      <c r="E335" s="8" t="s">
        <v>86</v>
      </c>
      <c r="F335" s="8"/>
      <c r="H335" s="8"/>
      <c r="I335" s="8" t="s">
        <v>9847</v>
      </c>
      <c r="J335" s="8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8" t="s">
        <v>588</v>
      </c>
      <c r="E336" s="8" t="s">
        <v>86</v>
      </c>
      <c r="F336" s="8"/>
      <c r="H336" s="8"/>
      <c r="I336" s="8" t="s">
        <v>10067</v>
      </c>
      <c r="J336" s="8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8" t="s">
        <v>137</v>
      </c>
      <c r="E337" s="8" t="s">
        <v>3358</v>
      </c>
      <c r="F337" s="8"/>
      <c r="H337" s="8"/>
      <c r="I337" s="8" t="s">
        <v>10070</v>
      </c>
      <c r="J337" s="8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8" t="s">
        <v>4921</v>
      </c>
      <c r="E338" s="8" t="s">
        <v>3358</v>
      </c>
      <c r="F338" s="8"/>
      <c r="H338" s="8"/>
      <c r="I338" s="8" t="s">
        <v>10073</v>
      </c>
      <c r="J338" s="8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8" t="s">
        <v>137</v>
      </c>
      <c r="E339" s="8" t="s">
        <v>10132</v>
      </c>
      <c r="F339" s="8"/>
      <c r="H339" s="8"/>
      <c r="I339" s="8" t="s">
        <v>10076</v>
      </c>
      <c r="J339" s="8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8" t="s">
        <v>62</v>
      </c>
      <c r="E340" s="8" t="s">
        <v>10130</v>
      </c>
      <c r="F340" s="8"/>
      <c r="H340" s="8" t="s">
        <v>10131</v>
      </c>
      <c r="I340" s="8" t="s">
        <v>10079</v>
      </c>
      <c r="J340" s="8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8" t="s">
        <v>10238</v>
      </c>
      <c r="E341" s="8" t="s">
        <v>10132</v>
      </c>
      <c r="F341" s="8"/>
      <c r="H341" s="8"/>
      <c r="I341" s="8" t="s">
        <v>10164</v>
      </c>
      <c r="J341" s="8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8" t="s">
        <v>4</v>
      </c>
      <c r="E342" s="8" t="s">
        <v>8</v>
      </c>
      <c r="F342" s="8"/>
      <c r="H342" s="8"/>
      <c r="I342" s="8" t="s">
        <v>10167</v>
      </c>
      <c r="J342" s="8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8" t="s">
        <v>4921</v>
      </c>
      <c r="E343" s="8" t="s">
        <v>10416</v>
      </c>
      <c r="F343" s="8"/>
      <c r="H343" s="8"/>
      <c r="I343" s="8" t="s">
        <v>10355</v>
      </c>
      <c r="J343" s="8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8" t="s">
        <v>4</v>
      </c>
      <c r="E344" s="8" t="s">
        <v>8</v>
      </c>
      <c r="F344" s="8"/>
      <c r="H344" s="8"/>
      <c r="I344" s="8" t="s">
        <v>10358</v>
      </c>
      <c r="J344" s="8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8" t="s">
        <v>1607</v>
      </c>
      <c r="E345" s="8" t="s">
        <v>8</v>
      </c>
      <c r="F345" s="8"/>
      <c r="H345" s="8"/>
      <c r="I345" s="8" t="s">
        <v>10361</v>
      </c>
      <c r="J345" s="8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8" t="s">
        <v>226</v>
      </c>
      <c r="E346" s="8" t="s">
        <v>10565</v>
      </c>
      <c r="F346" s="8" t="s">
        <v>586</v>
      </c>
      <c r="H346" s="8"/>
      <c r="I346" s="8" t="s">
        <v>10436</v>
      </c>
      <c r="J346" s="8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8" t="s">
        <v>226</v>
      </c>
      <c r="E347" s="8" t="s">
        <v>10565</v>
      </c>
      <c r="F347" s="8" t="s">
        <v>586</v>
      </c>
      <c r="H347" s="8" t="s">
        <v>2352</v>
      </c>
      <c r="I347" s="8" t="s">
        <v>10439</v>
      </c>
      <c r="J347" s="8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8" t="s">
        <v>226</v>
      </c>
      <c r="E348" s="8" t="s">
        <v>10565</v>
      </c>
      <c r="F348" s="8" t="s">
        <v>586</v>
      </c>
      <c r="H348" s="8" t="s">
        <v>2352</v>
      </c>
      <c r="I348" s="8" t="s">
        <v>10442</v>
      </c>
      <c r="J348" s="8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8" t="s">
        <v>10567</v>
      </c>
      <c r="E349" s="8" t="s">
        <v>10565</v>
      </c>
      <c r="F349" s="8" t="s">
        <v>586</v>
      </c>
      <c r="H349" s="8"/>
      <c r="I349" s="8" t="s">
        <v>10445</v>
      </c>
      <c r="J349" s="8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8" t="s">
        <v>10568</v>
      </c>
      <c r="E350" s="8" t="s">
        <v>10566</v>
      </c>
      <c r="F350" s="8" t="s">
        <v>51</v>
      </c>
      <c r="H350" s="8"/>
      <c r="I350" s="8" t="s">
        <v>10448</v>
      </c>
      <c r="J350" s="8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8" t="s">
        <v>4</v>
      </c>
      <c r="E351" s="8" t="s">
        <v>10569</v>
      </c>
      <c r="F351" s="8"/>
      <c r="H351" s="8"/>
      <c r="I351" s="8" t="s">
        <v>10451</v>
      </c>
      <c r="J351" s="8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8" t="s">
        <v>10570</v>
      </c>
      <c r="E352" s="8" t="s">
        <v>10566</v>
      </c>
      <c r="F352" s="8" t="s">
        <v>586</v>
      </c>
      <c r="H352" s="8"/>
      <c r="I352" s="8" t="s">
        <v>10454</v>
      </c>
      <c r="J352" s="8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8" t="s">
        <v>10570</v>
      </c>
      <c r="E353" s="8" t="s">
        <v>10565</v>
      </c>
      <c r="F353" s="8" t="s">
        <v>586</v>
      </c>
      <c r="H353" s="8"/>
      <c r="I353" s="8" t="s">
        <v>10457</v>
      </c>
      <c r="J353" s="8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8" t="s">
        <v>4</v>
      </c>
      <c r="E354" s="8" t="s">
        <v>11072</v>
      </c>
      <c r="F354" s="8"/>
      <c r="H354" s="8"/>
      <c r="I354" s="8" t="s">
        <v>10692</v>
      </c>
      <c r="J354" s="8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8" t="s">
        <v>587</v>
      </c>
      <c r="E355" s="8" t="s">
        <v>11072</v>
      </c>
      <c r="F355" s="8"/>
      <c r="H355" s="8"/>
      <c r="I355" s="8" t="s">
        <v>10695</v>
      </c>
      <c r="J355" s="8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8" t="s">
        <v>4</v>
      </c>
      <c r="E356" s="8" t="s">
        <v>11073</v>
      </c>
      <c r="F356" s="8"/>
      <c r="H356" s="8"/>
      <c r="I356" s="8" t="s">
        <v>10698</v>
      </c>
      <c r="J356" s="8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8" t="s">
        <v>4</v>
      </c>
      <c r="E357" s="8" t="s">
        <v>11073</v>
      </c>
      <c r="F357" s="8"/>
      <c r="H357" s="8"/>
      <c r="I357" s="8" t="s">
        <v>10701</v>
      </c>
      <c r="J357" s="8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8" t="s">
        <v>4</v>
      </c>
      <c r="E358" s="8" t="s">
        <v>8</v>
      </c>
      <c r="F358" s="8"/>
      <c r="H358" s="8"/>
      <c r="I358" s="8" t="s">
        <v>10704</v>
      </c>
      <c r="J358" s="8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8" t="s">
        <v>4</v>
      </c>
      <c r="E359" s="8" t="s">
        <v>8</v>
      </c>
      <c r="F359" s="8"/>
      <c r="H359" s="8"/>
      <c r="I359" s="8" t="s">
        <v>13501</v>
      </c>
      <c r="J359" s="8" t="s">
        <v>2394</v>
      </c>
      <c r="K359" t="s">
        <v>13502</v>
      </c>
      <c r="L359" t="s">
        <v>13503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8" t="s">
        <v>4</v>
      </c>
      <c r="E360" s="8" t="s">
        <v>8</v>
      </c>
      <c r="F360" s="8"/>
      <c r="H360" s="8" t="s">
        <v>2352</v>
      </c>
      <c r="I360" s="8" t="s">
        <v>13504</v>
      </c>
      <c r="J360" s="8" t="s">
        <v>2394</v>
      </c>
      <c r="K360" t="s">
        <v>13505</v>
      </c>
      <c r="L360" t="s">
        <v>13506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8" t="s">
        <v>4</v>
      </c>
      <c r="E361" s="8" t="s">
        <v>8</v>
      </c>
      <c r="F361" s="8"/>
      <c r="H361" s="8"/>
      <c r="I361" s="8" t="s">
        <v>13507</v>
      </c>
      <c r="J361" s="8" t="s">
        <v>2394</v>
      </c>
      <c r="K361" t="s">
        <v>13508</v>
      </c>
      <c r="L361" t="s">
        <v>13509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8" t="s">
        <v>1607</v>
      </c>
      <c r="E362" s="8" t="s">
        <v>8</v>
      </c>
      <c r="F362" s="8"/>
      <c r="H362" s="8"/>
      <c r="I362" s="8" t="s">
        <v>14045</v>
      </c>
      <c r="J362" s="8" t="s">
        <v>2394</v>
      </c>
      <c r="K362" t="s">
        <v>14046</v>
      </c>
      <c r="L362" t="s">
        <v>14047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8" t="s">
        <v>1607</v>
      </c>
      <c r="E363" s="8" t="s">
        <v>8</v>
      </c>
      <c r="F363" s="8"/>
      <c r="H363" s="8"/>
      <c r="I363" s="8" t="s">
        <v>14048</v>
      </c>
      <c r="J363" s="8" t="s">
        <v>2394</v>
      </c>
      <c r="K363" t="s">
        <v>14049</v>
      </c>
      <c r="L363" t="s">
        <v>14050</v>
      </c>
      <c r="M363" s="2" t="str">
        <f>HYPERLINK(склад2въезд1319[[#This Row],[RelativePath]])</f>
        <v>5 Крыльцо общага\K07156189_22_20260301T164633Z.jpg</v>
      </c>
    </row>
  </sheetData>
  <conditionalFormatting sqref="E364:E377 D364:D374 G2:H363 D2:E363">
    <cfRule type="containsText" dxfId="862" priority="17" operator="containsText" text="Выезд с территории">
      <formula>NOT(ISERROR(SEARCH("Выезд с территории",D2)))</formula>
    </cfRule>
  </conditionalFormatting>
  <conditionalFormatting sqref="F2:F363">
    <cfRule type="notContainsText" dxfId="861" priority="16" operator="notContains" text="порожний">
      <formula>ISERROR(SEARCH("порожний",F2))</formula>
    </cfRule>
  </conditionalFormatting>
  <conditionalFormatting sqref="E2:E377">
    <cfRule type="containsText" dxfId="860" priority="14" operator="containsText" text="Газель базы">
      <formula>NOT(ISERROR(SEARCH("Газель базы",E2)))</formula>
    </cfRule>
    <cfRule type="containsText" dxfId="859" priority="15" operator="containsText" text="Погрузчик базы">
      <formula>NOT(ISERROR(SEARCH("Погрузчик базы",E2)))</formula>
    </cfRule>
  </conditionalFormatting>
  <conditionalFormatting sqref="E2:E377">
    <cfRule type="containsText" dxfId="858" priority="13" operator="containsText" text="Трактор базы">
      <formula>NOT(ISERROR(SEARCH("Трактор базы",E2)))</formula>
    </cfRule>
  </conditionalFormatting>
  <conditionalFormatting sqref="A2:C363">
    <cfRule type="expression" dxfId="857" priority="12">
      <formula>$A2="пн"</formula>
    </cfRule>
  </conditionalFormatting>
  <conditionalFormatting sqref="A2:C365">
    <cfRule type="expression" dxfId="856" priority="6">
      <formula>$A2="вс"</formula>
    </cfRule>
    <cfRule type="expression" dxfId="855" priority="7">
      <formula>$A2="сб"</formula>
    </cfRule>
    <cfRule type="expression" dxfId="854" priority="8">
      <formula>$A2="пт"</formula>
    </cfRule>
    <cfRule type="expression" dxfId="853" priority="9">
      <formula>$A2="чт"</formula>
    </cfRule>
    <cfRule type="expression" dxfId="852" priority="10">
      <formula>$A2="ср"</formula>
    </cfRule>
    <cfRule type="expression" dxfId="851" priority="11">
      <formula>$A2="вт"</formula>
    </cfRule>
  </conditionalFormatting>
  <conditionalFormatting sqref="D2:D374">
    <cfRule type="containsText" dxfId="85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4">
    <cfRule type="containsText" dxfId="849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213"/>
  <sheetViews>
    <sheetView zoomScale="90" zoomScaleNormal="90" workbookViewId="0">
      <pane ySplit="1" topLeftCell="A198" activePane="bottomLeft" state="frozen"/>
      <selection pane="bottomLeft" activeCell="I209" sqref="I209:I21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2.140625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417</v>
      </c>
      <c r="J2" s="8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420</v>
      </c>
      <c r="J3" s="8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423</v>
      </c>
      <c r="J4" s="8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8" t="s">
        <v>226</v>
      </c>
      <c r="E5" s="8" t="s">
        <v>86</v>
      </c>
      <c r="F5" s="8" t="s">
        <v>465</v>
      </c>
      <c r="H5" s="8"/>
      <c r="I5" s="8" t="s">
        <v>426</v>
      </c>
      <c r="J5" s="8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8" t="s">
        <v>137</v>
      </c>
      <c r="E6" s="8" t="s">
        <v>86</v>
      </c>
      <c r="F6" s="8" t="s">
        <v>465</v>
      </c>
      <c r="H6" s="8"/>
      <c r="I6" s="8" t="s">
        <v>429</v>
      </c>
      <c r="J6" s="8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8" t="s">
        <v>4</v>
      </c>
      <c r="E7" s="8" t="s">
        <v>8</v>
      </c>
      <c r="F7" s="8"/>
      <c r="H7" s="8"/>
      <c r="I7" s="8" t="s">
        <v>432</v>
      </c>
      <c r="J7" s="8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8" t="s">
        <v>4</v>
      </c>
      <c r="E8" s="8" t="s">
        <v>8</v>
      </c>
      <c r="F8" s="8"/>
      <c r="H8" s="8"/>
      <c r="I8" s="8" t="s">
        <v>435</v>
      </c>
      <c r="J8" s="8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8" t="s">
        <v>4</v>
      </c>
      <c r="E9" s="8" t="s">
        <v>466</v>
      </c>
      <c r="F9" s="8"/>
      <c r="H9" s="8"/>
      <c r="I9" s="8" t="s">
        <v>438</v>
      </c>
      <c r="J9" s="8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441</v>
      </c>
      <c r="J10" s="8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444</v>
      </c>
      <c r="J11" s="8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8" t="s">
        <v>226</v>
      </c>
      <c r="E12" s="8" t="s">
        <v>86</v>
      </c>
      <c r="F12" s="8" t="s">
        <v>467</v>
      </c>
      <c r="H12" s="8"/>
      <c r="I12" s="8" t="s">
        <v>447</v>
      </c>
      <c r="J12" s="8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8" t="s">
        <v>226</v>
      </c>
      <c r="E13" s="8" t="s">
        <v>86</v>
      </c>
      <c r="F13" s="8" t="s">
        <v>467</v>
      </c>
      <c r="H13" s="8"/>
      <c r="I13" s="8" t="s">
        <v>450</v>
      </c>
      <c r="J13" s="8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8" t="s">
        <v>470</v>
      </c>
      <c r="E14" s="8" t="s">
        <v>468</v>
      </c>
      <c r="F14" s="8" t="s">
        <v>471</v>
      </c>
      <c r="H14" s="8"/>
      <c r="I14" s="8" t="s">
        <v>453</v>
      </c>
      <c r="J14" s="8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8" t="s">
        <v>226</v>
      </c>
      <c r="E15" s="8" t="s">
        <v>86</v>
      </c>
      <c r="F15" s="8" t="s">
        <v>469</v>
      </c>
      <c r="H15" s="8"/>
      <c r="I15" s="8" t="s">
        <v>456</v>
      </c>
      <c r="J15" s="8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8" t="s">
        <v>226</v>
      </c>
      <c r="E16" s="8" t="s">
        <v>86</v>
      </c>
      <c r="F16" s="8" t="s">
        <v>469</v>
      </c>
      <c r="H16" s="8"/>
      <c r="I16" s="8" t="s">
        <v>459</v>
      </c>
      <c r="J16" s="8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462</v>
      </c>
      <c r="J17" s="8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8" t="s">
        <v>4</v>
      </c>
      <c r="E18" s="8" t="s">
        <v>8</v>
      </c>
      <c r="F18" s="8"/>
      <c r="H18" s="8" t="s">
        <v>1612</v>
      </c>
      <c r="I18" s="8" t="s">
        <v>1618</v>
      </c>
      <c r="J18" s="8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8" t="s">
        <v>4</v>
      </c>
      <c r="E19" s="8" t="s">
        <v>8</v>
      </c>
      <c r="F19" s="8"/>
      <c r="H19" s="8" t="s">
        <v>1607</v>
      </c>
      <c r="I19" s="8" t="s">
        <v>1621</v>
      </c>
      <c r="J19" s="8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8" t="s">
        <v>4</v>
      </c>
      <c r="E20" s="8" t="s">
        <v>8</v>
      </c>
      <c r="F20" s="8"/>
      <c r="H20" s="8" t="s">
        <v>1607</v>
      </c>
      <c r="I20" s="8" t="s">
        <v>1624</v>
      </c>
      <c r="J20" s="8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8" t="s">
        <v>1607</v>
      </c>
      <c r="E21" s="8"/>
      <c r="F21" s="8"/>
      <c r="H21" s="8"/>
      <c r="I21" s="8" t="s">
        <v>1702</v>
      </c>
      <c r="J21" s="8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8" t="s">
        <v>4</v>
      </c>
      <c r="E22" s="8" t="s">
        <v>8</v>
      </c>
      <c r="F22" s="8"/>
      <c r="H22" s="8" t="s">
        <v>2348</v>
      </c>
      <c r="I22" s="8" t="s">
        <v>2350</v>
      </c>
      <c r="J22" s="8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8" t="s">
        <v>1607</v>
      </c>
      <c r="E23" s="8"/>
      <c r="F23" s="8"/>
      <c r="H23" s="8"/>
      <c r="I23" s="8" t="s">
        <v>1705</v>
      </c>
      <c r="J23" s="8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8" t="s">
        <v>1607</v>
      </c>
      <c r="E24" s="8"/>
      <c r="F24" s="8"/>
      <c r="H24" s="8"/>
      <c r="I24" s="8" t="s">
        <v>1708</v>
      </c>
      <c r="J24" s="8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8" t="s">
        <v>1607</v>
      </c>
      <c r="E25" s="8"/>
      <c r="F25" s="8"/>
      <c r="H25" s="8"/>
      <c r="I25" s="8" t="s">
        <v>1711</v>
      </c>
      <c r="J25" s="8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8" t="s">
        <v>1607</v>
      </c>
      <c r="E26" s="8"/>
      <c r="F26" s="8"/>
      <c r="H26" s="8"/>
      <c r="I26" s="8" t="s">
        <v>1714</v>
      </c>
      <c r="J26" s="8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8" t="s">
        <v>1607</v>
      </c>
      <c r="E27" s="8"/>
      <c r="F27" s="8"/>
      <c r="H27" s="8"/>
      <c r="I27" s="8" t="s">
        <v>1717</v>
      </c>
      <c r="J27" s="8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8" t="s">
        <v>4</v>
      </c>
      <c r="E28" s="8" t="s">
        <v>8</v>
      </c>
      <c r="F28" s="8"/>
      <c r="H28" s="8"/>
      <c r="I28" s="8" t="s">
        <v>2679</v>
      </c>
      <c r="J28" s="8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8" t="s">
        <v>4</v>
      </c>
      <c r="E29" s="8" t="s">
        <v>8</v>
      </c>
      <c r="F29" s="8"/>
      <c r="H29" s="8"/>
      <c r="I29" s="8" t="s">
        <v>3371</v>
      </c>
      <c r="J29" s="8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8" t="s">
        <v>4</v>
      </c>
      <c r="E30" s="8" t="s">
        <v>8</v>
      </c>
      <c r="F30" s="8"/>
      <c r="H30" s="8"/>
      <c r="I30" s="8" t="s">
        <v>2682</v>
      </c>
      <c r="J30" s="8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8" t="s">
        <v>3374</v>
      </c>
      <c r="E31" s="8" t="s">
        <v>3375</v>
      </c>
      <c r="F31" s="8"/>
      <c r="H31" s="8"/>
      <c r="I31" s="8" t="s">
        <v>2685</v>
      </c>
      <c r="J31" s="8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8" t="s">
        <v>3374</v>
      </c>
      <c r="E32" s="8" t="s">
        <v>3375</v>
      </c>
      <c r="F32" s="8"/>
      <c r="H32" s="8" t="s">
        <v>2352</v>
      </c>
      <c r="I32" s="8" t="s">
        <v>2688</v>
      </c>
      <c r="J32" s="8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8" t="s">
        <v>3374</v>
      </c>
      <c r="E33" s="8" t="s">
        <v>3375</v>
      </c>
      <c r="F33" s="8"/>
      <c r="H33" s="8" t="s">
        <v>2352</v>
      </c>
      <c r="I33" s="8" t="s">
        <v>2691</v>
      </c>
      <c r="J33" s="8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8" t="s">
        <v>3374</v>
      </c>
      <c r="E34" s="8" t="s">
        <v>3375</v>
      </c>
      <c r="F34" s="8"/>
      <c r="H34" s="8" t="s">
        <v>2352</v>
      </c>
      <c r="I34" s="8" t="s">
        <v>2694</v>
      </c>
      <c r="J34" s="8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8" t="s">
        <v>3374</v>
      </c>
      <c r="E35" s="8" t="s">
        <v>3375</v>
      </c>
      <c r="F35" s="8"/>
      <c r="H35" s="8" t="s">
        <v>2352</v>
      </c>
      <c r="I35" s="8" t="s">
        <v>2697</v>
      </c>
      <c r="J35" s="8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8" t="s">
        <v>3374</v>
      </c>
      <c r="E36" s="8" t="s">
        <v>3375</v>
      </c>
      <c r="F36" s="8"/>
      <c r="H36" s="8" t="s">
        <v>2352</v>
      </c>
      <c r="I36" s="8" t="s">
        <v>2700</v>
      </c>
      <c r="J36" s="8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8" t="s">
        <v>3374</v>
      </c>
      <c r="E37" s="8" t="s">
        <v>3375</v>
      </c>
      <c r="F37" s="8"/>
      <c r="H37" s="8" t="s">
        <v>2352</v>
      </c>
      <c r="I37" s="8" t="s">
        <v>2703</v>
      </c>
      <c r="J37" s="8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8" t="s">
        <v>3374</v>
      </c>
      <c r="E38" s="8" t="s">
        <v>3375</v>
      </c>
      <c r="F38" s="8"/>
      <c r="H38" s="8" t="s">
        <v>2352</v>
      </c>
      <c r="I38" s="8" t="s">
        <v>2706</v>
      </c>
      <c r="J38" s="8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8" t="s">
        <v>3374</v>
      </c>
      <c r="E39" s="8" t="s">
        <v>3375</v>
      </c>
      <c r="F39" s="8"/>
      <c r="H39" s="8" t="s">
        <v>2352</v>
      </c>
      <c r="I39" s="8" t="s">
        <v>2709</v>
      </c>
      <c r="J39" s="8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8" t="s">
        <v>3374</v>
      </c>
      <c r="E40" s="8" t="s">
        <v>3375</v>
      </c>
      <c r="F40" s="8"/>
      <c r="H40" s="8" t="s">
        <v>2352</v>
      </c>
      <c r="I40" s="8" t="s">
        <v>2712</v>
      </c>
      <c r="J40" s="8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8" t="s">
        <v>3374</v>
      </c>
      <c r="E41" s="8" t="s">
        <v>3375</v>
      </c>
      <c r="F41" s="8"/>
      <c r="H41" s="8" t="s">
        <v>2352</v>
      </c>
      <c r="I41" s="8" t="s">
        <v>2715</v>
      </c>
      <c r="J41" s="8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8" t="s">
        <v>3374</v>
      </c>
      <c r="E42" s="8" t="s">
        <v>3375</v>
      </c>
      <c r="F42" s="8"/>
      <c r="H42" s="8" t="s">
        <v>2352</v>
      </c>
      <c r="I42" s="8" t="s">
        <v>2718</v>
      </c>
      <c r="J42" s="8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8" t="s">
        <v>4</v>
      </c>
      <c r="E43" s="8" t="s">
        <v>8</v>
      </c>
      <c r="F43" s="8"/>
      <c r="H43" s="8"/>
      <c r="I43" s="8" t="s">
        <v>2721</v>
      </c>
      <c r="J43" s="8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8" t="s">
        <v>226</v>
      </c>
      <c r="E44" s="8" t="s">
        <v>3376</v>
      </c>
      <c r="F44" s="8"/>
      <c r="H44" s="8"/>
      <c r="I44" s="8" t="s">
        <v>2724</v>
      </c>
      <c r="J44" s="8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8" t="s">
        <v>226</v>
      </c>
      <c r="E45" s="8" t="s">
        <v>3376</v>
      </c>
      <c r="F45" s="8"/>
      <c r="H45" s="8" t="s">
        <v>2352</v>
      </c>
      <c r="I45" s="8" t="s">
        <v>2727</v>
      </c>
      <c r="J45" s="8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8" t="s">
        <v>226</v>
      </c>
      <c r="E46" s="8" t="s">
        <v>3376</v>
      </c>
      <c r="F46" s="8"/>
      <c r="H46" s="8" t="s">
        <v>2352</v>
      </c>
      <c r="I46" s="8" t="s">
        <v>2730</v>
      </c>
      <c r="J46" s="8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8" t="s">
        <v>226</v>
      </c>
      <c r="E47" s="8" t="s">
        <v>3376</v>
      </c>
      <c r="F47" s="8"/>
      <c r="H47" s="8" t="s">
        <v>2352</v>
      </c>
      <c r="I47" s="8" t="s">
        <v>2733</v>
      </c>
      <c r="J47" s="8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8" t="s">
        <v>226</v>
      </c>
      <c r="E48" s="8" t="s">
        <v>3376</v>
      </c>
      <c r="F48" s="8"/>
      <c r="H48" s="8" t="s">
        <v>2352</v>
      </c>
      <c r="I48" s="8" t="s">
        <v>2736</v>
      </c>
      <c r="J48" s="8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8" t="s">
        <v>4</v>
      </c>
      <c r="E49" s="8" t="s">
        <v>8</v>
      </c>
      <c r="F49" s="8"/>
      <c r="H49" s="8"/>
      <c r="I49" s="8" t="s">
        <v>2739</v>
      </c>
      <c r="J49" s="8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8" t="s">
        <v>1607</v>
      </c>
      <c r="E50" s="8"/>
      <c r="F50" s="8"/>
      <c r="H50" s="8"/>
      <c r="I50" s="8" t="s">
        <v>3434</v>
      </c>
      <c r="J50" s="8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8" t="s">
        <v>1282</v>
      </c>
      <c r="E51" s="8" t="s">
        <v>86</v>
      </c>
      <c r="F51" s="8" t="s">
        <v>165</v>
      </c>
      <c r="H51" s="8"/>
      <c r="I51" s="8" t="s">
        <v>4104</v>
      </c>
      <c r="J51" s="8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8" t="s">
        <v>887</v>
      </c>
      <c r="E52" s="8" t="s">
        <v>3412</v>
      </c>
      <c r="F52" s="8" t="s">
        <v>60</v>
      </c>
      <c r="H52" s="8"/>
      <c r="I52" s="8" t="s">
        <v>4106</v>
      </c>
      <c r="J52" s="8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8" t="s">
        <v>470</v>
      </c>
      <c r="E53" s="8" t="s">
        <v>1274</v>
      </c>
      <c r="F53" s="8" t="s">
        <v>58</v>
      </c>
      <c r="H53" s="8"/>
      <c r="I53" s="8" t="s">
        <v>4108</v>
      </c>
      <c r="J53" s="8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8" t="s">
        <v>1282</v>
      </c>
      <c r="E54" s="8" t="s">
        <v>86</v>
      </c>
      <c r="F54" s="8" t="s">
        <v>165</v>
      </c>
      <c r="H54" s="8"/>
      <c r="I54" s="8" t="s">
        <v>3677</v>
      </c>
      <c r="J54" s="8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8" t="s">
        <v>887</v>
      </c>
      <c r="E55" s="8" t="s">
        <v>3412</v>
      </c>
      <c r="F55" s="8" t="s">
        <v>165</v>
      </c>
      <c r="H55" s="8"/>
      <c r="I55" s="8" t="s">
        <v>3680</v>
      </c>
      <c r="J55" s="8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8" t="s">
        <v>887</v>
      </c>
      <c r="E56" s="8" t="s">
        <v>3412</v>
      </c>
      <c r="F56" s="8" t="s">
        <v>165</v>
      </c>
      <c r="H56" s="8"/>
      <c r="I56" s="8" t="s">
        <v>3683</v>
      </c>
      <c r="J56" s="8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8" t="s">
        <v>4103</v>
      </c>
      <c r="E57" s="8" t="s">
        <v>86</v>
      </c>
      <c r="F57" s="8"/>
      <c r="H57" s="8"/>
      <c r="I57" s="8" t="s">
        <v>3686</v>
      </c>
      <c r="J57" s="8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8" t="s">
        <v>4</v>
      </c>
      <c r="E58" s="8" t="s">
        <v>8</v>
      </c>
      <c r="F58" s="8"/>
      <c r="H58" s="8"/>
      <c r="I58" s="8" t="s">
        <v>3689</v>
      </c>
      <c r="J58" s="8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8" t="s">
        <v>4103</v>
      </c>
      <c r="E59" s="8" t="s">
        <v>86</v>
      </c>
      <c r="F59" s="8"/>
      <c r="H59" s="8"/>
      <c r="I59" s="8" t="s">
        <v>3692</v>
      </c>
      <c r="J59" s="8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8" t="s">
        <v>4103</v>
      </c>
      <c r="E60" s="8" t="s">
        <v>86</v>
      </c>
      <c r="F60" s="8"/>
      <c r="H60" s="8"/>
      <c r="I60" s="8" t="s">
        <v>3695</v>
      </c>
      <c r="J60" s="8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8" t="s">
        <v>1607</v>
      </c>
      <c r="E61" s="8" t="s">
        <v>8</v>
      </c>
      <c r="F61" s="8"/>
      <c r="H61" s="8"/>
      <c r="I61" s="8" t="s">
        <v>3698</v>
      </c>
      <c r="J61" s="8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8" t="s">
        <v>1607</v>
      </c>
      <c r="E62" s="8" t="s">
        <v>8</v>
      </c>
      <c r="F62" s="8"/>
      <c r="H62" s="8"/>
      <c r="I62" s="8" t="s">
        <v>4168</v>
      </c>
      <c r="J62" s="8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8" t="s">
        <v>4</v>
      </c>
      <c r="E63" s="8" t="s">
        <v>8</v>
      </c>
      <c r="F63" s="8"/>
      <c r="H63" s="8"/>
      <c r="I63" s="8" t="s">
        <v>4271</v>
      </c>
      <c r="J63" s="8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8" t="s">
        <v>1607</v>
      </c>
      <c r="E64" s="8" t="s">
        <v>8</v>
      </c>
      <c r="F64" s="8"/>
      <c r="H64" s="8"/>
      <c r="I64" s="8" t="s">
        <v>4274</v>
      </c>
      <c r="J64" s="8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8" t="s">
        <v>1607</v>
      </c>
      <c r="E65" s="8" t="s">
        <v>8</v>
      </c>
      <c r="F65" s="8"/>
      <c r="H65" s="8"/>
      <c r="I65" s="8" t="s">
        <v>4436</v>
      </c>
      <c r="J65" s="8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8" t="s">
        <v>1607</v>
      </c>
      <c r="E66" s="8" t="s">
        <v>8</v>
      </c>
      <c r="F66" s="8"/>
      <c r="H66" s="8"/>
      <c r="I66" s="8" t="s">
        <v>4439</v>
      </c>
      <c r="J66" s="8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8" t="s">
        <v>1607</v>
      </c>
      <c r="E67" s="8" t="s">
        <v>8</v>
      </c>
      <c r="F67" s="8"/>
      <c r="H67" s="8"/>
      <c r="I67" s="8" t="s">
        <v>4442</v>
      </c>
      <c r="J67" s="8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8" t="s">
        <v>1282</v>
      </c>
      <c r="E68" s="8" t="s">
        <v>86</v>
      </c>
      <c r="F68" s="8" t="s">
        <v>165</v>
      </c>
      <c r="H68" s="8"/>
      <c r="I68" s="8" t="s">
        <v>4685</v>
      </c>
      <c r="J68" s="8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8" t="s">
        <v>1282</v>
      </c>
      <c r="E69" s="8" t="s">
        <v>86</v>
      </c>
      <c r="F69" s="8" t="s">
        <v>165</v>
      </c>
      <c r="H69" s="8"/>
      <c r="I69" s="8" t="s">
        <v>4688</v>
      </c>
      <c r="J69" s="8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8" t="s">
        <v>1282</v>
      </c>
      <c r="E70" s="8" t="s">
        <v>86</v>
      </c>
      <c r="F70" s="8" t="s">
        <v>165</v>
      </c>
      <c r="H70" s="8"/>
      <c r="I70" s="8" t="s">
        <v>4691</v>
      </c>
      <c r="J70" s="8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8" t="s">
        <v>1607</v>
      </c>
      <c r="E71" s="8" t="s">
        <v>8</v>
      </c>
      <c r="F71" s="8"/>
      <c r="H71" s="8"/>
      <c r="I71" s="8" t="s">
        <v>4846</v>
      </c>
      <c r="J71" s="8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8" t="s">
        <v>1607</v>
      </c>
      <c r="E72" s="8" t="s">
        <v>8</v>
      </c>
      <c r="F72" s="8"/>
      <c r="H72" s="8"/>
      <c r="I72" s="8" t="s">
        <v>4954</v>
      </c>
      <c r="J72" s="8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8" t="s">
        <v>1607</v>
      </c>
      <c r="E73" s="8" t="s">
        <v>8</v>
      </c>
      <c r="F73" s="8"/>
      <c r="H73" s="8"/>
      <c r="I73" s="8" t="s">
        <v>5042</v>
      </c>
      <c r="J73" s="8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8" t="s">
        <v>1607</v>
      </c>
      <c r="E74" s="8" t="s">
        <v>8</v>
      </c>
      <c r="F74" s="8"/>
      <c r="H74" s="8"/>
      <c r="I74" s="8" t="s">
        <v>5244</v>
      </c>
      <c r="J74" s="8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8" t="s">
        <v>1607</v>
      </c>
      <c r="E75" s="8" t="s">
        <v>8</v>
      </c>
      <c r="F75" s="8"/>
      <c r="H75" s="8"/>
      <c r="I75" s="8" t="s">
        <v>5354</v>
      </c>
      <c r="J75" s="8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8" t="s">
        <v>1607</v>
      </c>
      <c r="E76" s="8" t="s">
        <v>8</v>
      </c>
      <c r="F76" s="8"/>
      <c r="H76" s="8"/>
      <c r="I76" s="8" t="s">
        <v>5510</v>
      </c>
      <c r="J76" s="8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8" t="s">
        <v>1607</v>
      </c>
      <c r="E77" s="8" t="s">
        <v>8</v>
      </c>
      <c r="F77" s="8"/>
      <c r="H77" s="8"/>
      <c r="I77" s="8" t="s">
        <v>5513</v>
      </c>
      <c r="J77" s="8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8" t="s">
        <v>1607</v>
      </c>
      <c r="E78" s="8" t="s">
        <v>8</v>
      </c>
      <c r="F78" s="8"/>
      <c r="H78" s="8"/>
      <c r="I78" s="8" t="s">
        <v>5516</v>
      </c>
      <c r="J78" s="8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8" t="s">
        <v>1607</v>
      </c>
      <c r="E79" s="8" t="s">
        <v>8</v>
      </c>
      <c r="F79" s="8"/>
      <c r="H79" s="8"/>
      <c r="I79" s="8" t="s">
        <v>5712</v>
      </c>
      <c r="J79" s="8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8" t="s">
        <v>1607</v>
      </c>
      <c r="E80" s="8" t="s">
        <v>8</v>
      </c>
      <c r="F80" s="8"/>
      <c r="H80" s="8"/>
      <c r="I80" s="8" t="s">
        <v>5766</v>
      </c>
      <c r="J80" s="8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8" t="s">
        <v>1607</v>
      </c>
      <c r="E81" s="8" t="s">
        <v>8</v>
      </c>
      <c r="F81" s="8"/>
      <c r="H81" s="8"/>
      <c r="I81" s="8" t="s">
        <v>5769</v>
      </c>
      <c r="J81" s="8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8" t="s">
        <v>1607</v>
      </c>
      <c r="E82" s="8" t="s">
        <v>8</v>
      </c>
      <c r="F82" s="8"/>
      <c r="H82" s="8"/>
      <c r="I82" s="8" t="s">
        <v>6142</v>
      </c>
      <c r="J82" s="8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8" t="s">
        <v>1607</v>
      </c>
      <c r="E83" s="8" t="s">
        <v>8</v>
      </c>
      <c r="F83" s="8"/>
      <c r="H83" s="8"/>
      <c r="I83" s="8" t="s">
        <v>6145</v>
      </c>
      <c r="J83" s="8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8" t="s">
        <v>227</v>
      </c>
      <c r="E84" s="8" t="s">
        <v>86</v>
      </c>
      <c r="F84" s="8" t="s">
        <v>60</v>
      </c>
      <c r="H84" s="8" t="s">
        <v>4098</v>
      </c>
      <c r="I84" s="8" t="s">
        <v>6284</v>
      </c>
      <c r="J84" s="8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8" t="s">
        <v>227</v>
      </c>
      <c r="E85" s="8" t="s">
        <v>86</v>
      </c>
      <c r="F85" s="8" t="s">
        <v>60</v>
      </c>
      <c r="H85" s="8" t="s">
        <v>2352</v>
      </c>
      <c r="I85" s="8" t="s">
        <v>6287</v>
      </c>
      <c r="J85" s="8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8" t="s">
        <v>227</v>
      </c>
      <c r="E86" s="8" t="s">
        <v>86</v>
      </c>
      <c r="F86" s="8" t="s">
        <v>60</v>
      </c>
      <c r="H86" s="8" t="s">
        <v>2352</v>
      </c>
      <c r="I86" s="8" t="s">
        <v>6290</v>
      </c>
      <c r="J86" s="8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8" t="s">
        <v>1607</v>
      </c>
      <c r="E87" s="8" t="s">
        <v>8</v>
      </c>
      <c r="F87" s="8"/>
      <c r="H87" s="8"/>
      <c r="I87" s="8" t="s">
        <v>6416</v>
      </c>
      <c r="J87" s="8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8" t="s">
        <v>1607</v>
      </c>
      <c r="E88" s="8" t="s">
        <v>8</v>
      </c>
      <c r="F88" s="8"/>
      <c r="H88" s="8"/>
      <c r="I88" s="8" t="s">
        <v>6419</v>
      </c>
      <c r="J88" s="8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8" t="s">
        <v>1607</v>
      </c>
      <c r="E89" s="8" t="s">
        <v>8</v>
      </c>
      <c r="F89" s="8"/>
      <c r="H89" s="8"/>
      <c r="I89" s="8" t="s">
        <v>6631</v>
      </c>
      <c r="J89" s="8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8" t="s">
        <v>1607</v>
      </c>
      <c r="E90" s="8" t="s">
        <v>8</v>
      </c>
      <c r="F90" s="8"/>
      <c r="H90" s="8"/>
      <c r="I90" s="8" t="s">
        <v>6634</v>
      </c>
      <c r="J90" s="8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8" t="s">
        <v>1607</v>
      </c>
      <c r="E91" s="8" t="s">
        <v>8</v>
      </c>
      <c r="F91" s="8"/>
      <c r="H91" s="8"/>
      <c r="I91" s="8" t="s">
        <v>6637</v>
      </c>
      <c r="J91" s="8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8" t="s">
        <v>1607</v>
      </c>
      <c r="E92" s="8" t="s">
        <v>8</v>
      </c>
      <c r="F92" s="8"/>
      <c r="H92" s="8"/>
      <c r="I92" s="8" t="s">
        <v>6640</v>
      </c>
      <c r="J92" s="8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8" t="s">
        <v>1607</v>
      </c>
      <c r="E93" s="8" t="s">
        <v>8</v>
      </c>
      <c r="F93" s="8"/>
      <c r="H93" s="8"/>
      <c r="I93" s="8" t="s">
        <v>6710</v>
      </c>
      <c r="J93" s="8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8" t="s">
        <v>1607</v>
      </c>
      <c r="E94" s="8" t="s">
        <v>8</v>
      </c>
      <c r="F94" s="8"/>
      <c r="H94" s="8"/>
      <c r="I94" s="8" t="s">
        <v>6713</v>
      </c>
      <c r="J94" s="8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8" t="s">
        <v>1607</v>
      </c>
      <c r="E95" s="8" t="s">
        <v>8</v>
      </c>
      <c r="F95" s="8"/>
      <c r="H95" s="8"/>
      <c r="I95" s="8" t="s">
        <v>6716</v>
      </c>
      <c r="J95" s="8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8" t="s">
        <v>1607</v>
      </c>
      <c r="E96" s="8" t="s">
        <v>8</v>
      </c>
      <c r="F96" s="8"/>
      <c r="H96" s="8"/>
      <c r="I96" s="8" t="s">
        <v>6858</v>
      </c>
      <c r="J96" s="8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8" t="s">
        <v>1607</v>
      </c>
      <c r="E97" s="8" t="s">
        <v>8</v>
      </c>
      <c r="F97" s="8"/>
      <c r="H97" s="8"/>
      <c r="I97" s="8" t="s">
        <v>6861</v>
      </c>
      <c r="J97" s="8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8" t="s">
        <v>1607</v>
      </c>
      <c r="E98" s="8" t="s">
        <v>8</v>
      </c>
      <c r="F98" s="8"/>
      <c r="H98" s="8"/>
      <c r="I98" s="8" t="s">
        <v>6864</v>
      </c>
      <c r="J98" s="8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8" t="s">
        <v>1607</v>
      </c>
      <c r="E99" s="8" t="s">
        <v>8</v>
      </c>
      <c r="F99" s="8"/>
      <c r="H99" s="8"/>
      <c r="I99" s="8" t="s">
        <v>6867</v>
      </c>
      <c r="J99" s="8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8" t="s">
        <v>1607</v>
      </c>
      <c r="E100" s="8" t="s">
        <v>8</v>
      </c>
      <c r="F100" s="8"/>
      <c r="H100" s="8"/>
      <c r="I100" s="8" t="s">
        <v>6870</v>
      </c>
      <c r="J100" s="8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8" t="s">
        <v>1607</v>
      </c>
      <c r="E101" s="8" t="s">
        <v>8</v>
      </c>
      <c r="F101" s="8"/>
      <c r="H101" s="8"/>
      <c r="I101" s="8" t="s">
        <v>6873</v>
      </c>
      <c r="J101" s="8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8" t="s">
        <v>1607</v>
      </c>
      <c r="E102" s="8" t="s">
        <v>8</v>
      </c>
      <c r="F102" s="8"/>
      <c r="H102" s="8"/>
      <c r="I102" s="8" t="s">
        <v>6876</v>
      </c>
      <c r="J102" s="8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8" t="s">
        <v>1607</v>
      </c>
      <c r="E103" s="8" t="s">
        <v>8</v>
      </c>
      <c r="F103" s="8"/>
      <c r="H103" s="8"/>
      <c r="I103" s="8" t="s">
        <v>7679</v>
      </c>
      <c r="J103" s="8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8" t="s">
        <v>7345</v>
      </c>
      <c r="E104" s="8" t="s">
        <v>4396</v>
      </c>
      <c r="F104" s="8" t="s">
        <v>7344</v>
      </c>
      <c r="H104" s="8"/>
      <c r="I104" s="8" t="s">
        <v>7197</v>
      </c>
      <c r="J104" s="8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8" t="s">
        <v>1607</v>
      </c>
      <c r="E105" s="8" t="s">
        <v>8</v>
      </c>
      <c r="F105" s="8"/>
      <c r="H105" s="8"/>
      <c r="I105" s="8" t="s">
        <v>7200</v>
      </c>
      <c r="J105" s="8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8" t="s">
        <v>1607</v>
      </c>
      <c r="E106" s="8" t="s">
        <v>8</v>
      </c>
      <c r="F106" s="8"/>
      <c r="H106" s="8"/>
      <c r="I106" s="8" t="s">
        <v>7407</v>
      </c>
      <c r="J106" s="8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8" t="s">
        <v>1607</v>
      </c>
      <c r="E107" s="8" t="s">
        <v>8</v>
      </c>
      <c r="F107" s="8"/>
      <c r="H107" s="8"/>
      <c r="I107" s="8" t="s">
        <v>7509</v>
      </c>
      <c r="J107" s="8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8" t="s">
        <v>7521</v>
      </c>
      <c r="E108" s="8" t="s">
        <v>60</v>
      </c>
      <c r="F108" s="8"/>
      <c r="H108" s="8"/>
      <c r="I108" s="8" t="s">
        <v>7512</v>
      </c>
      <c r="J108" s="8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8" t="s">
        <v>887</v>
      </c>
      <c r="E109" s="8" t="s">
        <v>3412</v>
      </c>
      <c r="F109" s="8" t="s">
        <v>60</v>
      </c>
      <c r="H109" s="8"/>
      <c r="I109" s="8" t="s">
        <v>7515</v>
      </c>
      <c r="J109" s="8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8" t="s">
        <v>4</v>
      </c>
      <c r="E110" s="8" t="s">
        <v>8</v>
      </c>
      <c r="F110" s="8"/>
      <c r="H110" s="8"/>
      <c r="I110" s="8" t="s">
        <v>7518</v>
      </c>
      <c r="J110" s="8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8" t="s">
        <v>1607</v>
      </c>
      <c r="E111" s="8" t="s">
        <v>8</v>
      </c>
      <c r="F111" s="8"/>
      <c r="H111" s="8"/>
      <c r="I111" s="8" t="s">
        <v>7682</v>
      </c>
      <c r="J111" s="8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8" t="s">
        <v>1607</v>
      </c>
      <c r="E112" s="8" t="s">
        <v>8</v>
      </c>
      <c r="F112" s="8"/>
      <c r="H112" s="8"/>
      <c r="I112" s="8" t="s">
        <v>7783</v>
      </c>
      <c r="J112" s="8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8" t="s">
        <v>1607</v>
      </c>
      <c r="E113" s="8" t="s">
        <v>8</v>
      </c>
      <c r="F113" s="8"/>
      <c r="H113" s="8"/>
      <c r="I113" s="8" t="s">
        <v>7786</v>
      </c>
      <c r="J113" s="8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8" t="s">
        <v>1607</v>
      </c>
      <c r="E114" s="8" t="s">
        <v>8</v>
      </c>
      <c r="F114" s="8"/>
      <c r="H114" s="8"/>
      <c r="I114" s="8" t="s">
        <v>7970</v>
      </c>
      <c r="J114" s="8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8" t="s">
        <v>4</v>
      </c>
      <c r="E115" s="8" t="s">
        <v>8</v>
      </c>
      <c r="F115" s="8"/>
      <c r="H115" s="8"/>
      <c r="I115" s="8" t="s">
        <v>7973</v>
      </c>
      <c r="J115" s="8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8" t="s">
        <v>4</v>
      </c>
      <c r="E116" s="8" t="s">
        <v>8</v>
      </c>
      <c r="F116" s="8"/>
      <c r="H116" s="8" t="s">
        <v>2352</v>
      </c>
      <c r="I116" s="8" t="s">
        <v>7976</v>
      </c>
      <c r="J116" s="8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8" t="s">
        <v>1607</v>
      </c>
      <c r="E117" s="8" t="s">
        <v>8</v>
      </c>
      <c r="F117" s="8"/>
      <c r="H117" s="8"/>
      <c r="I117" s="8" t="s">
        <v>8298</v>
      </c>
      <c r="J117" s="8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8" t="s">
        <v>1607</v>
      </c>
      <c r="E118" s="8" t="s">
        <v>8</v>
      </c>
      <c r="F118" s="8"/>
      <c r="H118" s="8"/>
      <c r="I118" s="8" t="s">
        <v>8423</v>
      </c>
      <c r="J118" s="8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8" t="s">
        <v>1607</v>
      </c>
      <c r="E119" s="8" t="s">
        <v>8</v>
      </c>
      <c r="F119" s="8"/>
      <c r="H119" s="8"/>
      <c r="I119" s="8" t="s">
        <v>8426</v>
      </c>
      <c r="J119" s="8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8" t="s">
        <v>1607</v>
      </c>
      <c r="E120" s="8" t="s">
        <v>8</v>
      </c>
      <c r="F120" s="8"/>
      <c r="H120" s="8"/>
      <c r="I120" s="8" t="s">
        <v>8462</v>
      </c>
      <c r="J120" s="8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8" t="s">
        <v>1607</v>
      </c>
      <c r="E121" s="8" t="s">
        <v>8</v>
      </c>
      <c r="F121" s="8"/>
      <c r="H121" s="8"/>
      <c r="I121" s="8" t="s">
        <v>8465</v>
      </c>
      <c r="J121" s="8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8" t="s">
        <v>1607</v>
      </c>
      <c r="E122" s="8" t="s">
        <v>8</v>
      </c>
      <c r="F122" s="8"/>
      <c r="H122" s="8"/>
      <c r="I122" s="8" t="s">
        <v>8636</v>
      </c>
      <c r="J122" s="8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8" t="s">
        <v>1607</v>
      </c>
      <c r="E123" s="8" t="s">
        <v>8</v>
      </c>
      <c r="F123" s="8"/>
      <c r="H123" s="8"/>
      <c r="I123" s="8" t="s">
        <v>8639</v>
      </c>
      <c r="J123" s="8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8" t="s">
        <v>1607</v>
      </c>
      <c r="E124" s="8" t="s">
        <v>8</v>
      </c>
      <c r="F124" s="8"/>
      <c r="H124" s="8"/>
      <c r="I124" s="8" t="s">
        <v>8744</v>
      </c>
      <c r="J124" s="8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8" t="s">
        <v>4</v>
      </c>
      <c r="E125" s="8" t="s">
        <v>6439</v>
      </c>
      <c r="F125" s="8"/>
      <c r="H125" s="8"/>
      <c r="I125" s="8" t="s">
        <v>8832</v>
      </c>
      <c r="J125" s="8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8" t="s">
        <v>1607</v>
      </c>
      <c r="E126" s="8" t="s">
        <v>8</v>
      </c>
      <c r="F126" s="8"/>
      <c r="H126" s="8"/>
      <c r="I126" s="8" t="s">
        <v>8835</v>
      </c>
      <c r="J126" s="8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8" t="s">
        <v>1607</v>
      </c>
      <c r="E127" s="8" t="s">
        <v>8</v>
      </c>
      <c r="F127" s="8"/>
      <c r="H127" s="8"/>
      <c r="I127" s="8" t="s">
        <v>8958</v>
      </c>
      <c r="J127" s="8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8" t="s">
        <v>4</v>
      </c>
      <c r="E128" s="8" t="s">
        <v>6439</v>
      </c>
      <c r="F128" s="8"/>
      <c r="H128" s="8"/>
      <c r="I128" s="8" t="s">
        <v>8961</v>
      </c>
      <c r="J128" s="8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8" t="s">
        <v>4</v>
      </c>
      <c r="E129" s="8" t="s">
        <v>7047</v>
      </c>
      <c r="F129" s="8"/>
      <c r="H129" s="8"/>
      <c r="I129" s="8" t="s">
        <v>9304</v>
      </c>
      <c r="J129" s="8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8" t="s">
        <v>1607</v>
      </c>
      <c r="E130" s="8" t="s">
        <v>8</v>
      </c>
      <c r="F130" s="8"/>
      <c r="H130" s="8"/>
      <c r="I130" s="8" t="s">
        <v>9284</v>
      </c>
      <c r="J130" s="8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8" t="s">
        <v>1607</v>
      </c>
      <c r="E131" s="8" t="s">
        <v>8</v>
      </c>
      <c r="F131" s="8"/>
      <c r="H131" s="8"/>
      <c r="I131" s="8" t="s">
        <v>9287</v>
      </c>
      <c r="J131" s="8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8" t="s">
        <v>1607</v>
      </c>
      <c r="E132" s="8" t="s">
        <v>8</v>
      </c>
      <c r="F132" s="8"/>
      <c r="H132" s="8"/>
      <c r="I132" s="8" t="s">
        <v>9350</v>
      </c>
      <c r="J132" s="8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8" t="s">
        <v>1607</v>
      </c>
      <c r="E133" s="8" t="s">
        <v>8</v>
      </c>
      <c r="F133" s="8"/>
      <c r="H133" s="8"/>
      <c r="I133" s="8" t="s">
        <v>9353</v>
      </c>
      <c r="J133" s="8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8" t="s">
        <v>1607</v>
      </c>
      <c r="E134" s="8" t="s">
        <v>8</v>
      </c>
      <c r="F134" s="8"/>
      <c r="H134" s="8"/>
      <c r="I134" s="8" t="s">
        <v>9572</v>
      </c>
      <c r="J134" s="8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8" t="s">
        <v>9599</v>
      </c>
      <c r="E135" s="8"/>
      <c r="F135" s="8"/>
      <c r="H135" s="8"/>
      <c r="I135" s="8" t="s">
        <v>9575</v>
      </c>
      <c r="J135" s="8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8" t="s">
        <v>9600</v>
      </c>
      <c r="E136" s="8"/>
      <c r="F136" s="8"/>
      <c r="H136" s="8"/>
      <c r="I136" s="8" t="s">
        <v>9578</v>
      </c>
      <c r="J136" s="8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8" t="s">
        <v>1607</v>
      </c>
      <c r="E137" s="8" t="s">
        <v>8</v>
      </c>
      <c r="F137" s="8"/>
      <c r="H137" s="8"/>
      <c r="I137" s="8" t="s">
        <v>9581</v>
      </c>
      <c r="J137" s="8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8" t="s">
        <v>4</v>
      </c>
      <c r="E138" s="8" t="s">
        <v>6439</v>
      </c>
      <c r="F138" s="8"/>
      <c r="H138" s="8"/>
      <c r="I138" s="8" t="s">
        <v>9584</v>
      </c>
      <c r="J138" s="8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8" t="s">
        <v>4</v>
      </c>
      <c r="E139" s="8" t="s">
        <v>8</v>
      </c>
      <c r="F139" s="8"/>
      <c r="H139" s="8"/>
      <c r="I139" s="8" t="s">
        <v>9587</v>
      </c>
      <c r="J139" s="8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8" t="s">
        <v>4</v>
      </c>
      <c r="E140" s="8" t="s">
        <v>6439</v>
      </c>
      <c r="F140" s="8"/>
      <c r="H140" s="8"/>
      <c r="I140" s="8" t="s">
        <v>9590</v>
      </c>
      <c r="J140" s="8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8" t="s">
        <v>4</v>
      </c>
      <c r="E141" s="8" t="s">
        <v>6439</v>
      </c>
      <c r="F141" s="8"/>
      <c r="H141" s="8"/>
      <c r="I141" s="8" t="s">
        <v>9593</v>
      </c>
      <c r="J141" s="8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8" t="s">
        <v>4</v>
      </c>
      <c r="E142" s="8" t="s">
        <v>6439</v>
      </c>
      <c r="F142" s="8"/>
      <c r="H142" s="8"/>
      <c r="I142" s="8" t="s">
        <v>9643</v>
      </c>
      <c r="J142" s="8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8" t="s">
        <v>4</v>
      </c>
      <c r="E143" s="8" t="s">
        <v>8</v>
      </c>
      <c r="F143" s="8"/>
      <c r="H143" s="8"/>
      <c r="I143" s="8" t="s">
        <v>9646</v>
      </c>
      <c r="J143" s="8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8" t="s">
        <v>4</v>
      </c>
      <c r="E144" s="8" t="s">
        <v>6439</v>
      </c>
      <c r="F144" s="8"/>
      <c r="H144" s="8"/>
      <c r="I144" s="8" t="s">
        <v>9649</v>
      </c>
      <c r="J144" s="8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8" t="s">
        <v>4</v>
      </c>
      <c r="E145" s="8" t="s">
        <v>6439</v>
      </c>
      <c r="F145" s="8"/>
      <c r="H145" s="8"/>
      <c r="I145" s="8" t="s">
        <v>9670</v>
      </c>
      <c r="J145" s="8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8" t="s">
        <v>4</v>
      </c>
      <c r="E146" s="8" t="s">
        <v>8</v>
      </c>
      <c r="F146" s="8"/>
      <c r="H146" s="8" t="s">
        <v>2352</v>
      </c>
      <c r="I146" s="8" t="s">
        <v>9673</v>
      </c>
      <c r="J146" s="8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8" t="s">
        <v>10020</v>
      </c>
      <c r="E147" s="8"/>
      <c r="F147" s="8"/>
      <c r="H147" s="8"/>
      <c r="I147" s="8" t="s">
        <v>9971</v>
      </c>
      <c r="J147" s="8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8" t="s">
        <v>10020</v>
      </c>
      <c r="E148" s="8"/>
      <c r="F148" s="8"/>
      <c r="H148" s="8"/>
      <c r="I148" s="8" t="s">
        <v>9974</v>
      </c>
      <c r="J148" s="8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8" t="s">
        <v>10020</v>
      </c>
      <c r="E149" s="8"/>
      <c r="F149" s="8"/>
      <c r="H149" s="8"/>
      <c r="I149" s="8" t="s">
        <v>9977</v>
      </c>
      <c r="J149" s="8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8" t="s">
        <v>10020</v>
      </c>
      <c r="E150" s="8"/>
      <c r="F150" s="8"/>
      <c r="H150" s="8"/>
      <c r="I150" s="8" t="s">
        <v>9980</v>
      </c>
      <c r="J150" s="8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8" t="s">
        <v>10020</v>
      </c>
      <c r="E151" s="8"/>
      <c r="F151" s="8"/>
      <c r="H151" s="8"/>
      <c r="I151" s="8" t="s">
        <v>9983</v>
      </c>
      <c r="J151" s="8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8" t="s">
        <v>10020</v>
      </c>
      <c r="E152" s="8"/>
      <c r="F152" s="8"/>
      <c r="H152" s="8"/>
      <c r="I152" s="8" t="s">
        <v>9986</v>
      </c>
      <c r="J152" s="8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8" t="s">
        <v>4</v>
      </c>
      <c r="E153" s="8" t="s">
        <v>8</v>
      </c>
      <c r="F153" s="8"/>
      <c r="H153" s="8"/>
      <c r="I153" s="8" t="s">
        <v>9989</v>
      </c>
      <c r="J153" s="8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8" t="s">
        <v>1607</v>
      </c>
      <c r="E154" s="8" t="s">
        <v>8</v>
      </c>
      <c r="F154" s="8"/>
      <c r="H154" s="8"/>
      <c r="I154" s="8" t="s">
        <v>9992</v>
      </c>
      <c r="J154" s="8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8" t="s">
        <v>1607</v>
      </c>
      <c r="E155" s="8" t="s">
        <v>8</v>
      </c>
      <c r="F155" s="8"/>
      <c r="H155" s="8"/>
      <c r="I155" s="8" t="s">
        <v>9995</v>
      </c>
      <c r="J155" s="8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8" t="s">
        <v>7</v>
      </c>
      <c r="E156" s="8"/>
      <c r="F156" s="8"/>
      <c r="H156" s="8"/>
      <c r="I156" s="8" t="s">
        <v>10100</v>
      </c>
      <c r="J156" s="8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8" t="s">
        <v>7365</v>
      </c>
      <c r="E157" s="8" t="s">
        <v>86</v>
      </c>
      <c r="F157" s="8"/>
      <c r="H157" s="8" t="s">
        <v>10133</v>
      </c>
      <c r="I157" s="8" t="s">
        <v>10103</v>
      </c>
      <c r="J157" s="8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8" t="s">
        <v>7365</v>
      </c>
      <c r="E158" s="8" t="s">
        <v>86</v>
      </c>
      <c r="F158" s="8"/>
      <c r="H158" s="8" t="s">
        <v>2352</v>
      </c>
      <c r="I158" s="8" t="s">
        <v>10106</v>
      </c>
      <c r="J158" s="8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8" t="s">
        <v>9600</v>
      </c>
      <c r="E159" s="8"/>
      <c r="F159" s="8"/>
      <c r="H159" s="8"/>
      <c r="I159" s="8" t="s">
        <v>10109</v>
      </c>
      <c r="J159" s="8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8" t="s">
        <v>588</v>
      </c>
      <c r="E160" s="8" t="s">
        <v>86</v>
      </c>
      <c r="F160" s="8"/>
      <c r="H160" s="8"/>
      <c r="I160" s="8" t="s">
        <v>10170</v>
      </c>
      <c r="J160" s="8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8" t="s">
        <v>7365</v>
      </c>
      <c r="E161" s="8" t="s">
        <v>86</v>
      </c>
      <c r="F161" s="8"/>
      <c r="H161" s="8"/>
      <c r="I161" s="8" t="s">
        <v>10173</v>
      </c>
      <c r="J161" s="8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8" t="s">
        <v>7</v>
      </c>
      <c r="E162" s="8"/>
      <c r="F162" s="8"/>
      <c r="H162" s="8"/>
      <c r="I162" s="8" t="s">
        <v>10176</v>
      </c>
      <c r="J162" s="8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8" t="s">
        <v>4</v>
      </c>
      <c r="E163" s="8" t="s">
        <v>8</v>
      </c>
      <c r="F163" s="8"/>
      <c r="H163" s="8"/>
      <c r="I163" s="8" t="s">
        <v>10179</v>
      </c>
      <c r="J163" s="8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8" t="s">
        <v>10020</v>
      </c>
      <c r="E164" s="8"/>
      <c r="F164" s="8"/>
      <c r="H164" s="8"/>
      <c r="I164" s="8" t="s">
        <v>10364</v>
      </c>
      <c r="J164" s="8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8" t="s">
        <v>10020</v>
      </c>
      <c r="E165" s="8"/>
      <c r="F165" s="8"/>
      <c r="H165" s="8"/>
      <c r="I165" s="8" t="s">
        <v>10367</v>
      </c>
      <c r="J165" s="8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8" t="s">
        <v>10020</v>
      </c>
      <c r="E166" s="8"/>
      <c r="F166" s="8"/>
      <c r="H166" s="8"/>
      <c r="I166" s="8" t="s">
        <v>10370</v>
      </c>
      <c r="J166" s="8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8" t="s">
        <v>10020</v>
      </c>
      <c r="E167" s="8"/>
      <c r="F167" s="8"/>
      <c r="H167" s="8"/>
      <c r="I167" s="8" t="s">
        <v>10373</v>
      </c>
      <c r="J167" s="8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8" t="s">
        <v>4</v>
      </c>
      <c r="E168" s="8" t="s">
        <v>8</v>
      </c>
      <c r="F168" s="8"/>
      <c r="H168" s="8"/>
      <c r="I168" s="8" t="s">
        <v>10376</v>
      </c>
      <c r="J168" s="8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8" t="s">
        <v>10020</v>
      </c>
      <c r="E169" s="8"/>
      <c r="F169" s="8"/>
      <c r="H169" s="8"/>
      <c r="I169" s="8" t="s">
        <v>10379</v>
      </c>
      <c r="J169" s="8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8" t="s">
        <v>10020</v>
      </c>
      <c r="E170" s="8"/>
      <c r="F170" s="8"/>
      <c r="H170" s="8"/>
      <c r="I170" s="8" t="s">
        <v>10382</v>
      </c>
      <c r="J170" s="8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8" t="s">
        <v>10020</v>
      </c>
      <c r="E171" s="8"/>
      <c r="F171" s="8"/>
      <c r="H171" s="8"/>
      <c r="I171" s="8" t="s">
        <v>10385</v>
      </c>
      <c r="J171" s="8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8" t="s">
        <v>4</v>
      </c>
      <c r="E172" s="8" t="s">
        <v>8</v>
      </c>
      <c r="F172" s="8"/>
      <c r="H172" s="8"/>
      <c r="I172" s="8" t="s">
        <v>10388</v>
      </c>
      <c r="J172" s="8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8" t="s">
        <v>10571</v>
      </c>
      <c r="E173" s="8"/>
      <c r="F173" s="8"/>
      <c r="H173" s="8"/>
      <c r="I173" s="8" t="s">
        <v>10460</v>
      </c>
      <c r="J173" s="8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8" t="s">
        <v>1273</v>
      </c>
      <c r="E174" s="8" t="s">
        <v>10565</v>
      </c>
      <c r="F174" s="8" t="s">
        <v>586</v>
      </c>
      <c r="H174" s="8"/>
      <c r="I174" s="8" t="s">
        <v>10463</v>
      </c>
      <c r="J174" s="8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8" t="s">
        <v>226</v>
      </c>
      <c r="E175" s="8" t="s">
        <v>10565</v>
      </c>
      <c r="F175" s="8" t="s">
        <v>586</v>
      </c>
      <c r="H175" s="8"/>
      <c r="I175" s="8" t="s">
        <v>10466</v>
      </c>
      <c r="J175" s="8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8" t="s">
        <v>226</v>
      </c>
      <c r="E176" s="8" t="s">
        <v>10565</v>
      </c>
      <c r="F176" s="8" t="s">
        <v>586</v>
      </c>
      <c r="H176" s="8" t="s">
        <v>2352</v>
      </c>
      <c r="I176" s="8" t="s">
        <v>10469</v>
      </c>
      <c r="J176" s="8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8" t="s">
        <v>10572</v>
      </c>
      <c r="E177" s="8" t="s">
        <v>10565</v>
      </c>
      <c r="F177" s="8"/>
      <c r="H177" s="8"/>
      <c r="I177" s="8" t="s">
        <v>10472</v>
      </c>
      <c r="J177" s="8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8" t="s">
        <v>226</v>
      </c>
      <c r="E178" s="8" t="s">
        <v>10566</v>
      </c>
      <c r="F178" s="8" t="s">
        <v>586</v>
      </c>
      <c r="H178" s="8"/>
      <c r="I178" s="8" t="s">
        <v>10475</v>
      </c>
      <c r="J178" s="8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8" t="s">
        <v>226</v>
      </c>
      <c r="E179" s="8" t="s">
        <v>10566</v>
      </c>
      <c r="F179" s="8" t="s">
        <v>586</v>
      </c>
      <c r="H179" s="8" t="s">
        <v>2352</v>
      </c>
      <c r="I179" s="8" t="s">
        <v>10478</v>
      </c>
      <c r="J179" s="8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8" t="s">
        <v>226</v>
      </c>
      <c r="E180" s="8" t="s">
        <v>10566</v>
      </c>
      <c r="F180" s="8" t="s">
        <v>586</v>
      </c>
      <c r="H180" s="8" t="s">
        <v>2352</v>
      </c>
      <c r="I180" s="8" t="s">
        <v>10481</v>
      </c>
      <c r="J180" s="8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8" t="s">
        <v>226</v>
      </c>
      <c r="E181" s="8" t="s">
        <v>10565</v>
      </c>
      <c r="F181" s="8" t="s">
        <v>586</v>
      </c>
      <c r="H181" s="8" t="s">
        <v>2352</v>
      </c>
      <c r="I181" s="8" t="s">
        <v>10484</v>
      </c>
      <c r="J181" s="8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8" t="s">
        <v>226</v>
      </c>
      <c r="E182" s="8" t="s">
        <v>10565</v>
      </c>
      <c r="F182" s="8" t="s">
        <v>586</v>
      </c>
      <c r="H182" s="8" t="s">
        <v>2352</v>
      </c>
      <c r="I182" s="8" t="s">
        <v>10487</v>
      </c>
      <c r="J182" s="8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8" t="s">
        <v>226</v>
      </c>
      <c r="E183" s="8" t="s">
        <v>10565</v>
      </c>
      <c r="F183" s="8" t="s">
        <v>586</v>
      </c>
      <c r="H183" s="8" t="s">
        <v>2352</v>
      </c>
      <c r="I183" s="8" t="s">
        <v>10490</v>
      </c>
      <c r="J183" s="8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8" t="s">
        <v>226</v>
      </c>
      <c r="E184" s="8" t="s">
        <v>10565</v>
      </c>
      <c r="F184" s="8" t="s">
        <v>586</v>
      </c>
      <c r="H184" s="8" t="s">
        <v>2352</v>
      </c>
      <c r="I184" s="8" t="s">
        <v>10493</v>
      </c>
      <c r="J184" s="8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8" t="s">
        <v>226</v>
      </c>
      <c r="E185" s="8" t="s">
        <v>10565</v>
      </c>
      <c r="F185" s="8" t="s">
        <v>586</v>
      </c>
      <c r="H185" s="8" t="s">
        <v>2352</v>
      </c>
      <c r="I185" s="8" t="s">
        <v>10496</v>
      </c>
      <c r="J185" s="8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8" t="s">
        <v>226</v>
      </c>
      <c r="E186" s="8" t="s">
        <v>10566</v>
      </c>
      <c r="F186" s="8" t="s">
        <v>586</v>
      </c>
      <c r="H186" s="8" t="s">
        <v>2352</v>
      </c>
      <c r="I186" s="8" t="s">
        <v>10499</v>
      </c>
      <c r="J186" s="8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8" t="s">
        <v>226</v>
      </c>
      <c r="E187" s="8" t="s">
        <v>10566</v>
      </c>
      <c r="F187" s="8" t="s">
        <v>586</v>
      </c>
      <c r="H187" s="8" t="s">
        <v>2352</v>
      </c>
      <c r="I187" s="8" t="s">
        <v>10502</v>
      </c>
      <c r="J187" s="8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8" t="s">
        <v>226</v>
      </c>
      <c r="E188" s="8" t="s">
        <v>10566</v>
      </c>
      <c r="F188" s="8" t="s">
        <v>586</v>
      </c>
      <c r="H188" s="8" t="s">
        <v>2352</v>
      </c>
      <c r="I188" s="8" t="s">
        <v>10505</v>
      </c>
      <c r="J188" s="8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8" t="s">
        <v>226</v>
      </c>
      <c r="E189" s="8" t="s">
        <v>10566</v>
      </c>
      <c r="F189" s="8" t="s">
        <v>586</v>
      </c>
      <c r="H189" s="8" t="s">
        <v>2352</v>
      </c>
      <c r="I189" s="8" t="s">
        <v>10508</v>
      </c>
      <c r="J189" s="8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8" t="s">
        <v>226</v>
      </c>
      <c r="E190" s="8" t="s">
        <v>10566</v>
      </c>
      <c r="F190" s="8" t="s">
        <v>586</v>
      </c>
      <c r="H190" s="8" t="s">
        <v>2352</v>
      </c>
      <c r="I190" s="8" t="s">
        <v>10511</v>
      </c>
      <c r="J190" s="8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8" t="s">
        <v>226</v>
      </c>
      <c r="E191" s="8" t="s">
        <v>10566</v>
      </c>
      <c r="F191" s="8" t="s">
        <v>586</v>
      </c>
      <c r="H191" s="8" t="s">
        <v>2352</v>
      </c>
      <c r="I191" s="8" t="s">
        <v>10514</v>
      </c>
      <c r="J191" s="8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8" t="s">
        <v>226</v>
      </c>
      <c r="E192" s="8" t="s">
        <v>10566</v>
      </c>
      <c r="F192" s="8" t="s">
        <v>586</v>
      </c>
      <c r="H192" s="8" t="s">
        <v>2352</v>
      </c>
      <c r="I192" s="8" t="s">
        <v>10517</v>
      </c>
      <c r="J192" s="8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8" t="s">
        <v>3397</v>
      </c>
      <c r="E193" s="8"/>
      <c r="F193" s="8"/>
      <c r="H193" s="8"/>
      <c r="I193" s="8" t="s">
        <v>10520</v>
      </c>
      <c r="J193" s="8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8" t="s">
        <v>587</v>
      </c>
      <c r="E194" s="8" t="s">
        <v>10566</v>
      </c>
      <c r="F194" s="8" t="s">
        <v>586</v>
      </c>
      <c r="H194" s="8"/>
      <c r="I194" s="8" t="s">
        <v>10523</v>
      </c>
      <c r="J194" s="8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8" t="s">
        <v>587</v>
      </c>
      <c r="E195" s="8" t="s">
        <v>10565</v>
      </c>
      <c r="F195" s="8" t="s">
        <v>586</v>
      </c>
      <c r="H195" s="8"/>
      <c r="I195" s="8" t="s">
        <v>10526</v>
      </c>
      <c r="J195" s="8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8" t="s">
        <v>7</v>
      </c>
      <c r="E196" s="8"/>
      <c r="F196" s="8"/>
      <c r="H196" s="8"/>
      <c r="I196" s="8" t="s">
        <v>10529</v>
      </c>
      <c r="J196" s="8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8" t="s">
        <v>1539</v>
      </c>
      <c r="E197" s="8"/>
      <c r="F197" s="8"/>
      <c r="H197" s="8"/>
      <c r="I197" s="8" t="s">
        <v>10532</v>
      </c>
      <c r="J197" s="8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8" t="s">
        <v>4</v>
      </c>
      <c r="E198" s="8" t="s">
        <v>8</v>
      </c>
      <c r="F198" s="8"/>
      <c r="H198" s="8"/>
      <c r="I198" s="8" t="s">
        <v>10535</v>
      </c>
      <c r="J198" s="8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8" t="s">
        <v>1539</v>
      </c>
      <c r="E199" s="8"/>
      <c r="F199" s="8"/>
      <c r="H199" s="8"/>
      <c r="I199" s="8" t="s">
        <v>10707</v>
      </c>
      <c r="J199" s="8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8" t="s">
        <v>1539</v>
      </c>
      <c r="E200" s="8"/>
      <c r="F200" s="8"/>
      <c r="H200" s="8"/>
      <c r="I200" s="8" t="s">
        <v>10710</v>
      </c>
      <c r="J200" s="8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8" t="s">
        <v>1539</v>
      </c>
      <c r="E201" s="8"/>
      <c r="F201" s="8"/>
      <c r="H201" s="8"/>
      <c r="I201" s="8" t="s">
        <v>10713</v>
      </c>
      <c r="J201" s="8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8" t="s">
        <v>7</v>
      </c>
      <c r="E202" s="8"/>
      <c r="F202" s="8"/>
      <c r="H202" s="8"/>
      <c r="I202" s="8" t="s">
        <v>10716</v>
      </c>
      <c r="J202" s="8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8" t="s">
        <v>7</v>
      </c>
      <c r="E203" s="8"/>
      <c r="F203" s="8"/>
      <c r="H203" s="8"/>
      <c r="I203" s="8" t="s">
        <v>10719</v>
      </c>
      <c r="J203" s="8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8" t="s">
        <v>4</v>
      </c>
      <c r="E204" s="8" t="s">
        <v>8</v>
      </c>
      <c r="F204" s="8"/>
      <c r="H204" s="8"/>
      <c r="I204" s="8" t="s">
        <v>10722</v>
      </c>
      <c r="J204" s="8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8" t="s">
        <v>588</v>
      </c>
      <c r="E205" s="8" t="s">
        <v>86</v>
      </c>
      <c r="F205" s="8"/>
      <c r="H205" s="8"/>
      <c r="I205" s="8" t="s">
        <v>13778</v>
      </c>
      <c r="J205" s="8" t="s">
        <v>2395</v>
      </c>
      <c r="K205" t="s">
        <v>13779</v>
      </c>
      <c r="L205" t="s">
        <v>13780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8" t="s">
        <v>588</v>
      </c>
      <c r="E206" s="8" t="s">
        <v>86</v>
      </c>
      <c r="F206" s="8"/>
      <c r="H206" s="8"/>
      <c r="I206" s="8" t="s">
        <v>13781</v>
      </c>
      <c r="J206" s="8" t="s">
        <v>2395</v>
      </c>
      <c r="K206" t="s">
        <v>13782</v>
      </c>
      <c r="L206" t="s">
        <v>13783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8" t="s">
        <v>4</v>
      </c>
      <c r="E207" s="8" t="s">
        <v>8</v>
      </c>
      <c r="F207" s="8"/>
      <c r="H207" s="8"/>
      <c r="I207" s="8" t="s">
        <v>13784</v>
      </c>
      <c r="J207" s="8" t="s">
        <v>2395</v>
      </c>
      <c r="K207" t="s">
        <v>13785</v>
      </c>
      <c r="L207" t="s">
        <v>13786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8" t="s">
        <v>1607</v>
      </c>
      <c r="E208" s="8" t="s">
        <v>8</v>
      </c>
      <c r="F208" s="8"/>
      <c r="H208" s="8"/>
      <c r="I208" s="8" t="s">
        <v>13787</v>
      </c>
      <c r="J208" s="8" t="s">
        <v>2395</v>
      </c>
      <c r="K208" t="s">
        <v>13788</v>
      </c>
      <c r="L208" t="s">
        <v>13789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8" t="s">
        <v>4</v>
      </c>
      <c r="E209" s="8" t="s">
        <v>8</v>
      </c>
      <c r="F209" s="8"/>
      <c r="H209" s="8"/>
      <c r="I209" s="8" t="s">
        <v>14051</v>
      </c>
      <c r="J209" s="8" t="s">
        <v>2395</v>
      </c>
      <c r="K209" t="s">
        <v>14052</v>
      </c>
      <c r="L209" t="s">
        <v>14053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8" t="s">
        <v>14078</v>
      </c>
      <c r="E210" s="8"/>
      <c r="F210" s="8"/>
      <c r="H210" s="8"/>
      <c r="I210" s="8" t="s">
        <v>14054</v>
      </c>
      <c r="J210" s="8" t="s">
        <v>2395</v>
      </c>
      <c r="K210" t="s">
        <v>14055</v>
      </c>
      <c r="L210" t="s">
        <v>14056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8" t="s">
        <v>14078</v>
      </c>
      <c r="E211" s="8"/>
      <c r="F211" s="8"/>
      <c r="H211" s="8"/>
      <c r="I211" s="8" t="s">
        <v>14057</v>
      </c>
      <c r="J211" s="8" t="s">
        <v>2395</v>
      </c>
      <c r="K211" t="s">
        <v>14058</v>
      </c>
      <c r="L211" t="s">
        <v>14059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8" t="s">
        <v>4</v>
      </c>
      <c r="E212" s="8" t="s">
        <v>8</v>
      </c>
      <c r="F212" s="8"/>
      <c r="H212" s="8"/>
      <c r="I212" s="8" t="s">
        <v>14060</v>
      </c>
      <c r="J212" s="8" t="s">
        <v>2395</v>
      </c>
      <c r="K212" t="s">
        <v>14061</v>
      </c>
      <c r="L212" t="s">
        <v>14062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8" t="s">
        <v>1607</v>
      </c>
      <c r="E213" s="8" t="s">
        <v>8</v>
      </c>
      <c r="F213" s="8"/>
      <c r="H213" s="8"/>
      <c r="I213" s="8" t="s">
        <v>14063</v>
      </c>
      <c r="J213" s="8" t="s">
        <v>2395</v>
      </c>
      <c r="K213" t="s">
        <v>14064</v>
      </c>
      <c r="L213" t="s">
        <v>14065</v>
      </c>
      <c r="M213" s="2" t="str">
        <f>HYPERLINK(склад2въезд131920[[#This Row],[RelativePath]])</f>
        <v>6 Площадка 1 общага\826398429_1_20260301T175346Z.jpg</v>
      </c>
    </row>
  </sheetData>
  <conditionalFormatting sqref="D214:D224 E214:E227 G2:H213 D2:E213">
    <cfRule type="containsText" dxfId="848" priority="14" operator="containsText" text="Выезд с территории">
      <formula>NOT(ISERROR(SEARCH("Выезд с территории",D2)))</formula>
    </cfRule>
  </conditionalFormatting>
  <conditionalFormatting sqref="F2:F213">
    <cfRule type="notContainsText" dxfId="847" priority="13" operator="notContains" text="порожний">
      <formula>ISERROR(SEARCH("порожний",F2))</formula>
    </cfRule>
  </conditionalFormatting>
  <conditionalFormatting sqref="E2:E227">
    <cfRule type="containsText" dxfId="846" priority="11" operator="containsText" text="Газель базы">
      <formula>NOT(ISERROR(SEARCH("Газель базы",E2)))</formula>
    </cfRule>
    <cfRule type="containsText" dxfId="845" priority="12" operator="containsText" text="Погрузчик базы">
      <formula>NOT(ISERROR(SEARCH("Погрузчик базы",E2)))</formula>
    </cfRule>
  </conditionalFormatting>
  <conditionalFormatting sqref="E2:E227">
    <cfRule type="containsText" dxfId="844" priority="10" operator="containsText" text="Трактор базы">
      <formula>NOT(ISERROR(SEARCH("Трактор базы",E2)))</formula>
    </cfRule>
  </conditionalFormatting>
  <conditionalFormatting sqref="A2:C213">
    <cfRule type="expression" dxfId="843" priority="9">
      <formula>$A2="пн"</formula>
    </cfRule>
  </conditionalFormatting>
  <conditionalFormatting sqref="A2:C215">
    <cfRule type="expression" dxfId="842" priority="3">
      <formula>$A2="вс"</formula>
    </cfRule>
    <cfRule type="expression" dxfId="841" priority="4">
      <formula>$A2="сб"</formula>
    </cfRule>
    <cfRule type="expression" dxfId="840" priority="5">
      <formula>$A2="пт"</formula>
    </cfRule>
    <cfRule type="expression" dxfId="839" priority="6">
      <formula>$A2="чт"</formula>
    </cfRule>
    <cfRule type="expression" dxfId="838" priority="7">
      <formula>$A2="ср"</formula>
    </cfRule>
    <cfRule type="expression" dxfId="837" priority="8">
      <formula>$A2="вт"</formula>
    </cfRule>
  </conditionalFormatting>
  <conditionalFormatting sqref="D2:D224">
    <cfRule type="containsText" dxfId="8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4">
    <cfRule type="containsText" dxfId="8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332"/>
  <sheetViews>
    <sheetView zoomScale="90" zoomScaleNormal="90" workbookViewId="0">
      <pane ySplit="1" topLeftCell="A311" activePane="bottomLeft" state="frozen"/>
      <selection pane="bottomLeft" activeCell="I329" sqref="I329:I33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472</v>
      </c>
      <c r="J2" s="8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8" t="s">
        <v>4</v>
      </c>
      <c r="E3" s="8" t="s">
        <v>11</v>
      </c>
      <c r="F3" s="8"/>
      <c r="H3" s="8"/>
      <c r="I3" s="8" t="s">
        <v>475</v>
      </c>
      <c r="J3" s="8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8" t="s">
        <v>4</v>
      </c>
      <c r="E4" s="8" t="s">
        <v>19</v>
      </c>
      <c r="F4" s="8"/>
      <c r="H4" s="8"/>
      <c r="I4" s="8" t="s">
        <v>478</v>
      </c>
      <c r="J4" s="8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8" t="s">
        <v>4</v>
      </c>
      <c r="E5" s="8" t="s">
        <v>19</v>
      </c>
      <c r="F5" s="8"/>
      <c r="H5" s="8"/>
      <c r="I5" s="8" t="s">
        <v>481</v>
      </c>
      <c r="J5" s="8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484</v>
      </c>
      <c r="J6" s="8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487</v>
      </c>
      <c r="J7" s="8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8" t="s">
        <v>4</v>
      </c>
      <c r="E8" s="8" t="s">
        <v>19</v>
      </c>
      <c r="F8" s="8"/>
      <c r="H8" s="8"/>
      <c r="I8" s="8" t="s">
        <v>490</v>
      </c>
      <c r="J8" s="8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8" t="s">
        <v>4</v>
      </c>
      <c r="E9" s="8" t="s">
        <v>19</v>
      </c>
      <c r="F9" s="8"/>
      <c r="H9" s="8"/>
      <c r="I9" s="8" t="s">
        <v>493</v>
      </c>
      <c r="J9" s="8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8" t="s">
        <v>585</v>
      </c>
      <c r="E10" s="8" t="s">
        <v>86</v>
      </c>
      <c r="F10" s="8" t="s">
        <v>465</v>
      </c>
      <c r="H10" s="8"/>
      <c r="I10" s="8" t="s">
        <v>496</v>
      </c>
      <c r="J10" s="8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8" t="s">
        <v>4</v>
      </c>
      <c r="E11" s="8" t="s">
        <v>19</v>
      </c>
      <c r="F11" s="8"/>
      <c r="H11" s="8"/>
      <c r="I11" s="8" t="s">
        <v>499</v>
      </c>
      <c r="J11" s="8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8" t="s">
        <v>136</v>
      </c>
      <c r="E12" s="8" t="s">
        <v>86</v>
      </c>
      <c r="F12" s="8" t="s">
        <v>586</v>
      </c>
      <c r="H12" s="8"/>
      <c r="I12" s="8" t="s">
        <v>502</v>
      </c>
      <c r="J12" s="8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8" t="s">
        <v>227</v>
      </c>
      <c r="E13" s="8" t="s">
        <v>86</v>
      </c>
      <c r="F13" s="8" t="s">
        <v>586</v>
      </c>
      <c r="H13" s="8"/>
      <c r="I13" s="8" t="s">
        <v>505</v>
      </c>
      <c r="J13" s="8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8" t="s">
        <v>226</v>
      </c>
      <c r="E14" s="8" t="s">
        <v>86</v>
      </c>
      <c r="F14" s="8" t="s">
        <v>60</v>
      </c>
      <c r="G14">
        <v>2</v>
      </c>
      <c r="H14" s="8"/>
      <c r="I14" s="8" t="s">
        <v>508</v>
      </c>
      <c r="J14" s="8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8" t="s">
        <v>587</v>
      </c>
      <c r="E15" s="8" t="s">
        <v>86</v>
      </c>
      <c r="F15" s="8" t="s">
        <v>60</v>
      </c>
      <c r="H15" s="8"/>
      <c r="I15" s="8" t="s">
        <v>511</v>
      </c>
      <c r="J15" s="8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8" t="s">
        <v>4</v>
      </c>
      <c r="E16" s="8" t="s">
        <v>12</v>
      </c>
      <c r="F16" s="8"/>
      <c r="H16" s="8"/>
      <c r="I16" s="8" t="s">
        <v>514</v>
      </c>
      <c r="J16" s="8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8" t="s">
        <v>4</v>
      </c>
      <c r="E17" s="8" t="s">
        <v>588</v>
      </c>
      <c r="F17" s="8"/>
      <c r="H17" s="8"/>
      <c r="I17" s="8" t="s">
        <v>517</v>
      </c>
      <c r="J17" s="8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520</v>
      </c>
      <c r="J18" s="8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8" t="s">
        <v>4</v>
      </c>
      <c r="E19" s="8" t="s">
        <v>589</v>
      </c>
      <c r="F19" s="8"/>
      <c r="H19" s="8"/>
      <c r="I19" s="8" t="s">
        <v>523</v>
      </c>
      <c r="J19" s="8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8" t="s">
        <v>4</v>
      </c>
      <c r="E20" s="8" t="s">
        <v>589</v>
      </c>
      <c r="F20" s="8"/>
      <c r="H20" s="8"/>
      <c r="I20" s="8" t="s">
        <v>526</v>
      </c>
      <c r="J20" s="8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8" t="s">
        <v>4</v>
      </c>
      <c r="E21" s="8" t="s">
        <v>7</v>
      </c>
      <c r="F21" s="8"/>
      <c r="H21" s="8"/>
      <c r="I21" s="8" t="s">
        <v>529</v>
      </c>
      <c r="J21" s="8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8" t="s">
        <v>4</v>
      </c>
      <c r="E22" s="8" t="s">
        <v>589</v>
      </c>
      <c r="F22" s="8"/>
      <c r="H22" s="8"/>
      <c r="I22" s="8" t="s">
        <v>532</v>
      </c>
      <c r="J22" s="8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535</v>
      </c>
      <c r="J23" s="8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8" t="s">
        <v>4</v>
      </c>
      <c r="E24" s="8" t="s">
        <v>589</v>
      </c>
      <c r="F24" s="8"/>
      <c r="H24" s="8"/>
      <c r="I24" s="8" t="s">
        <v>538</v>
      </c>
      <c r="J24" s="8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8" t="s">
        <v>4</v>
      </c>
      <c r="E25" s="8" t="s">
        <v>7</v>
      </c>
      <c r="F25" s="8"/>
      <c r="H25" s="8"/>
      <c r="I25" s="8" t="s">
        <v>540</v>
      </c>
      <c r="J25" s="8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8" t="s">
        <v>4</v>
      </c>
      <c r="E26" s="8" t="s">
        <v>7</v>
      </c>
      <c r="F26" s="8"/>
      <c r="H26" s="8"/>
      <c r="I26" s="8" t="s">
        <v>543</v>
      </c>
      <c r="J26" s="8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8" t="s">
        <v>4</v>
      </c>
      <c r="E27" s="8" t="s">
        <v>589</v>
      </c>
      <c r="F27" s="8"/>
      <c r="H27" s="8"/>
      <c r="I27" s="8" t="s">
        <v>546</v>
      </c>
      <c r="J27" s="8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8" t="s">
        <v>4</v>
      </c>
      <c r="E28" s="8" t="s">
        <v>589</v>
      </c>
      <c r="F28" s="8"/>
      <c r="H28" s="8"/>
      <c r="I28" s="8" t="s">
        <v>549</v>
      </c>
      <c r="J28" s="8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552</v>
      </c>
      <c r="J29" s="8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8" t="s">
        <v>4</v>
      </c>
      <c r="E30" s="8" t="s">
        <v>12</v>
      </c>
      <c r="F30" s="8"/>
      <c r="H30" s="8"/>
      <c r="I30" s="8" t="s">
        <v>555</v>
      </c>
      <c r="J30" s="8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8" t="s">
        <v>4</v>
      </c>
      <c r="E31" s="8" t="s">
        <v>11</v>
      </c>
      <c r="F31" s="8"/>
      <c r="H31" s="8"/>
      <c r="I31" s="8" t="s">
        <v>558</v>
      </c>
      <c r="J31" s="8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8" t="s">
        <v>4</v>
      </c>
      <c r="E32" s="8" t="s">
        <v>11</v>
      </c>
      <c r="F32" s="8"/>
      <c r="H32" s="8"/>
      <c r="I32" s="8" t="s">
        <v>561</v>
      </c>
      <c r="J32" s="8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8" t="s">
        <v>226</v>
      </c>
      <c r="E33" s="8" t="s">
        <v>86</v>
      </c>
      <c r="F33" s="8" t="s">
        <v>60</v>
      </c>
      <c r="G33">
        <v>1</v>
      </c>
      <c r="H33" s="8"/>
      <c r="I33" s="8" t="s">
        <v>564</v>
      </c>
      <c r="J33" s="8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8" t="s">
        <v>590</v>
      </c>
      <c r="E34" s="8" t="s">
        <v>86</v>
      </c>
      <c r="F34" s="8" t="s">
        <v>165</v>
      </c>
      <c r="H34" s="8"/>
      <c r="I34" s="8" t="s">
        <v>567</v>
      </c>
      <c r="J34" s="8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8" t="s">
        <v>587</v>
      </c>
      <c r="E35" s="8" t="s">
        <v>86</v>
      </c>
      <c r="F35" s="8" t="s">
        <v>165</v>
      </c>
      <c r="H35" s="8"/>
      <c r="I35" s="8" t="s">
        <v>570</v>
      </c>
      <c r="J35" s="8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8" t="s">
        <v>226</v>
      </c>
      <c r="E36" s="8" t="s">
        <v>86</v>
      </c>
      <c r="F36" s="8" t="s">
        <v>165</v>
      </c>
      <c r="H36" s="8"/>
      <c r="I36" s="8" t="s">
        <v>573</v>
      </c>
      <c r="J36" s="8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8" t="s">
        <v>587</v>
      </c>
      <c r="E37" s="8" t="s">
        <v>86</v>
      </c>
      <c r="F37" s="8" t="s">
        <v>165</v>
      </c>
      <c r="H37" s="8"/>
      <c r="I37" s="8" t="s">
        <v>576</v>
      </c>
      <c r="J37" s="8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8" t="s">
        <v>4</v>
      </c>
      <c r="E38" s="8" t="s">
        <v>11</v>
      </c>
      <c r="F38" s="8"/>
      <c r="H38" s="8"/>
      <c r="I38" s="8" t="s">
        <v>579</v>
      </c>
      <c r="J38" s="8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582</v>
      </c>
      <c r="J39" s="8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8" t="s">
        <v>4</v>
      </c>
      <c r="E40" s="8" t="s">
        <v>8</v>
      </c>
      <c r="F40" s="8"/>
      <c r="H40" s="8"/>
      <c r="I40" s="8" t="s">
        <v>905</v>
      </c>
      <c r="J40" s="8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8" t="s">
        <v>4</v>
      </c>
      <c r="E41" s="8" t="s">
        <v>8</v>
      </c>
      <c r="F41" s="8"/>
      <c r="H41" s="8" t="s">
        <v>1607</v>
      </c>
      <c r="I41" s="8" t="s">
        <v>908</v>
      </c>
      <c r="J41" s="8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8" t="s">
        <v>4</v>
      </c>
      <c r="E42" s="8" t="s">
        <v>8</v>
      </c>
      <c r="F42" s="8"/>
      <c r="H42" s="8"/>
      <c r="I42" s="8" t="s">
        <v>911</v>
      </c>
      <c r="J42" s="8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8" t="s">
        <v>4</v>
      </c>
      <c r="E43" s="8" t="s">
        <v>8</v>
      </c>
      <c r="F43" s="8"/>
      <c r="H43" s="8" t="s">
        <v>1607</v>
      </c>
      <c r="I43" s="8" t="s">
        <v>914</v>
      </c>
      <c r="J43" s="8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8" t="s">
        <v>4</v>
      </c>
      <c r="E44" s="8" t="s">
        <v>8</v>
      </c>
      <c r="F44" s="8"/>
      <c r="H44" s="8"/>
      <c r="I44" s="8" t="s">
        <v>917</v>
      </c>
      <c r="J44" s="8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8" t="s">
        <v>11</v>
      </c>
      <c r="E45" s="8"/>
      <c r="F45" s="8"/>
      <c r="H45" s="8"/>
      <c r="I45" s="8" t="s">
        <v>1741</v>
      </c>
      <c r="J45" s="8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8" t="s">
        <v>11</v>
      </c>
      <c r="E46" s="8"/>
      <c r="F46" s="8"/>
      <c r="H46" s="8"/>
      <c r="I46" s="8" t="s">
        <v>1744</v>
      </c>
      <c r="J46" s="8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8" t="s">
        <v>11</v>
      </c>
      <c r="E47" s="8"/>
      <c r="F47" s="8"/>
      <c r="H47" s="8"/>
      <c r="I47" s="8" t="s">
        <v>1747</v>
      </c>
      <c r="J47" s="8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8" t="s">
        <v>11</v>
      </c>
      <c r="E48" s="8"/>
      <c r="F48" s="8"/>
      <c r="H48" s="8"/>
      <c r="I48" s="8" t="s">
        <v>1750</v>
      </c>
      <c r="J48" s="8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8" t="s">
        <v>11</v>
      </c>
      <c r="E49" s="8"/>
      <c r="F49" s="8"/>
      <c r="H49" s="8"/>
      <c r="I49" s="8" t="s">
        <v>1753</v>
      </c>
      <c r="J49" s="8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8" t="s">
        <v>11</v>
      </c>
      <c r="E50" s="8"/>
      <c r="F50" s="8"/>
      <c r="H50" s="8"/>
      <c r="I50" s="8" t="s">
        <v>1756</v>
      </c>
      <c r="J50" s="8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8" t="s">
        <v>11</v>
      </c>
      <c r="E51" s="8"/>
      <c r="F51" s="8"/>
      <c r="H51" s="8"/>
      <c r="I51" s="8" t="s">
        <v>1759</v>
      </c>
      <c r="J51" s="8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8" t="s">
        <v>11</v>
      </c>
      <c r="E52" s="8"/>
      <c r="F52" s="8"/>
      <c r="H52" s="8"/>
      <c r="I52" s="8" t="s">
        <v>1762</v>
      </c>
      <c r="J52" s="8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8" t="s">
        <v>11</v>
      </c>
      <c r="E53" s="8"/>
      <c r="F53" s="8"/>
      <c r="H53" s="8"/>
      <c r="I53" s="8" t="s">
        <v>1765</v>
      </c>
      <c r="J53" s="8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8" t="s">
        <v>4</v>
      </c>
      <c r="E54" s="8" t="s">
        <v>8</v>
      </c>
      <c r="F54" s="8"/>
      <c r="H54" s="8" t="s">
        <v>1292</v>
      </c>
      <c r="I54" s="8" t="s">
        <v>1768</v>
      </c>
      <c r="J54" s="8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8" t="s">
        <v>11</v>
      </c>
      <c r="E55" s="8"/>
      <c r="F55" s="8"/>
      <c r="H55" s="8"/>
      <c r="I55" s="8" t="s">
        <v>1771</v>
      </c>
      <c r="J55" s="8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8" t="s">
        <v>11</v>
      </c>
      <c r="E56" s="8"/>
      <c r="F56" s="8"/>
      <c r="H56" s="8"/>
      <c r="I56" s="8" t="s">
        <v>1774</v>
      </c>
      <c r="J56" s="8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8" t="s">
        <v>11</v>
      </c>
      <c r="E57" s="8"/>
      <c r="F57" s="8"/>
      <c r="H57" s="8"/>
      <c r="I57" s="8" t="s">
        <v>1777</v>
      </c>
      <c r="J57" s="8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8" t="s">
        <v>11</v>
      </c>
      <c r="E58" s="8"/>
      <c r="F58" s="8"/>
      <c r="H58" s="8"/>
      <c r="I58" s="8" t="s">
        <v>1780</v>
      </c>
      <c r="J58" s="8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8" t="s">
        <v>11</v>
      </c>
      <c r="E59" s="8"/>
      <c r="F59" s="8"/>
      <c r="H59" s="8"/>
      <c r="I59" s="8" t="s">
        <v>1783</v>
      </c>
      <c r="J59" s="8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8" t="s">
        <v>11</v>
      </c>
      <c r="E60" s="8"/>
      <c r="F60" s="8"/>
      <c r="H60" s="8"/>
      <c r="I60" s="8" t="s">
        <v>1786</v>
      </c>
      <c r="J60" s="8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8" t="s">
        <v>11</v>
      </c>
      <c r="E61" s="8"/>
      <c r="F61" s="8"/>
      <c r="H61" s="8"/>
      <c r="I61" s="8" t="s">
        <v>1789</v>
      </c>
      <c r="J61" s="8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8" t="s">
        <v>11</v>
      </c>
      <c r="E62" s="8"/>
      <c r="F62" s="8"/>
      <c r="H62" s="8"/>
      <c r="I62" s="8" t="s">
        <v>1792</v>
      </c>
      <c r="J62" s="8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8" t="s">
        <v>11</v>
      </c>
      <c r="E63" s="8"/>
      <c r="F63" s="8"/>
      <c r="H63" s="8"/>
      <c r="I63" s="8" t="s">
        <v>1795</v>
      </c>
      <c r="J63" s="8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8" t="s">
        <v>11</v>
      </c>
      <c r="E64" s="8"/>
      <c r="F64" s="8"/>
      <c r="H64" s="8"/>
      <c r="I64" s="8" t="s">
        <v>1798</v>
      </c>
      <c r="J64" s="8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8" t="s">
        <v>11</v>
      </c>
      <c r="E65" s="8"/>
      <c r="F65" s="8"/>
      <c r="H65" s="8"/>
      <c r="I65" s="8" t="s">
        <v>1801</v>
      </c>
      <c r="J65" s="8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8" t="s">
        <v>11</v>
      </c>
      <c r="E66" s="8"/>
      <c r="F66" s="8"/>
      <c r="H66" s="8"/>
      <c r="I66" s="8" t="s">
        <v>1804</v>
      </c>
      <c r="J66" s="8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8" t="s">
        <v>11</v>
      </c>
      <c r="E67" s="8"/>
      <c r="F67" s="8"/>
      <c r="H67" s="8"/>
      <c r="I67" s="8" t="s">
        <v>1807</v>
      </c>
      <c r="J67" s="8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8" t="s">
        <v>4</v>
      </c>
      <c r="E68" s="8" t="s">
        <v>8</v>
      </c>
      <c r="F68" s="8"/>
      <c r="H68" s="8" t="s">
        <v>1292</v>
      </c>
      <c r="I68" s="8" t="s">
        <v>1810</v>
      </c>
      <c r="J68" s="8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8" t="s">
        <v>1607</v>
      </c>
      <c r="E69" s="8"/>
      <c r="F69" s="8"/>
      <c r="H69" s="8"/>
      <c r="I69" s="8" t="s">
        <v>1813</v>
      </c>
      <c r="J69" s="8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8" t="s">
        <v>1607</v>
      </c>
      <c r="E70" s="8"/>
      <c r="F70" s="8"/>
      <c r="H70" s="8"/>
      <c r="I70" s="8" t="s">
        <v>1816</v>
      </c>
      <c r="J70" s="8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8" t="s">
        <v>4</v>
      </c>
      <c r="E71" s="8" t="s">
        <v>8</v>
      </c>
      <c r="F71" s="8"/>
      <c r="H71" s="8"/>
      <c r="I71" s="8" t="s">
        <v>2742</v>
      </c>
      <c r="J71" s="8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8" t="s">
        <v>4</v>
      </c>
      <c r="E72" s="8" t="s">
        <v>8</v>
      </c>
      <c r="F72" s="8"/>
      <c r="H72" s="8"/>
      <c r="I72" s="8" t="s">
        <v>2745</v>
      </c>
      <c r="J72" s="8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8" t="s">
        <v>4</v>
      </c>
      <c r="E73" s="8" t="s">
        <v>8</v>
      </c>
      <c r="F73" s="8"/>
      <c r="H73" s="8"/>
      <c r="I73" s="8" t="s">
        <v>2748</v>
      </c>
      <c r="J73" s="8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8" t="s">
        <v>3377</v>
      </c>
      <c r="E74" s="8"/>
      <c r="F74" s="8"/>
      <c r="H74" s="8"/>
      <c r="I74" s="8" t="s">
        <v>3378</v>
      </c>
      <c r="J74" s="8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8" t="s">
        <v>4</v>
      </c>
      <c r="E75" s="8" t="s">
        <v>8</v>
      </c>
      <c r="F75" s="8"/>
      <c r="H75" s="8"/>
      <c r="I75" s="8" t="s">
        <v>2751</v>
      </c>
      <c r="J75" s="8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8" t="s">
        <v>3374</v>
      </c>
      <c r="E76" s="8" t="s">
        <v>3375</v>
      </c>
      <c r="F76" s="8"/>
      <c r="H76" s="8"/>
      <c r="I76" s="8" t="s">
        <v>2754</v>
      </c>
      <c r="J76" s="8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8" t="s">
        <v>3374</v>
      </c>
      <c r="E77" s="8" t="s">
        <v>3375</v>
      </c>
      <c r="F77" s="8"/>
      <c r="H77" s="8" t="s">
        <v>2352</v>
      </c>
      <c r="I77" s="8" t="s">
        <v>2757</v>
      </c>
      <c r="J77" s="8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8" t="s">
        <v>3374</v>
      </c>
      <c r="E78" s="8" t="s">
        <v>3375</v>
      </c>
      <c r="F78" s="8"/>
      <c r="H78" s="8" t="s">
        <v>2352</v>
      </c>
      <c r="I78" s="8" t="s">
        <v>2760</v>
      </c>
      <c r="J78" s="8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8" t="s">
        <v>3374</v>
      </c>
      <c r="E79" s="8" t="s">
        <v>3375</v>
      </c>
      <c r="F79" s="8"/>
      <c r="H79" s="8" t="s">
        <v>2352</v>
      </c>
      <c r="I79" s="8" t="s">
        <v>2763</v>
      </c>
      <c r="J79" s="8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8" t="s">
        <v>3374</v>
      </c>
      <c r="E80" s="8" t="s">
        <v>3375</v>
      </c>
      <c r="F80" s="8"/>
      <c r="H80" s="8" t="s">
        <v>2352</v>
      </c>
      <c r="I80" s="8" t="s">
        <v>2766</v>
      </c>
      <c r="J80" s="8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8" t="s">
        <v>3374</v>
      </c>
      <c r="E81" s="8" t="s">
        <v>3375</v>
      </c>
      <c r="F81" s="8"/>
      <c r="H81" s="8" t="s">
        <v>2352</v>
      </c>
      <c r="I81" s="8" t="s">
        <v>2769</v>
      </c>
      <c r="J81" s="8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8" t="s">
        <v>3374</v>
      </c>
      <c r="E82" s="8" t="s">
        <v>3375</v>
      </c>
      <c r="F82" s="8"/>
      <c r="H82" s="8" t="s">
        <v>2352</v>
      </c>
      <c r="I82" s="8" t="s">
        <v>2772</v>
      </c>
      <c r="J82" s="8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8" t="s">
        <v>3374</v>
      </c>
      <c r="E83" s="8" t="s">
        <v>3375</v>
      </c>
      <c r="F83" s="8"/>
      <c r="H83" s="8" t="s">
        <v>2352</v>
      </c>
      <c r="I83" s="8" t="s">
        <v>2775</v>
      </c>
      <c r="J83" s="8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8" t="s">
        <v>3374</v>
      </c>
      <c r="E84" s="8" t="s">
        <v>3375</v>
      </c>
      <c r="F84" s="8"/>
      <c r="H84" s="8" t="s">
        <v>2352</v>
      </c>
      <c r="I84" s="8" t="s">
        <v>2778</v>
      </c>
      <c r="J84" s="8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8" t="s">
        <v>3374</v>
      </c>
      <c r="E85" s="8" t="s">
        <v>3375</v>
      </c>
      <c r="F85" s="8"/>
      <c r="H85" s="8" t="s">
        <v>2352</v>
      </c>
      <c r="I85" s="8" t="s">
        <v>2781</v>
      </c>
      <c r="J85" s="8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8" t="s">
        <v>3374</v>
      </c>
      <c r="E86" s="8" t="s">
        <v>3375</v>
      </c>
      <c r="F86" s="8"/>
      <c r="H86" s="8" t="s">
        <v>2352</v>
      </c>
      <c r="I86" s="8" t="s">
        <v>2784</v>
      </c>
      <c r="J86" s="8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8" t="s">
        <v>3374</v>
      </c>
      <c r="E87" s="8" t="s">
        <v>3375</v>
      </c>
      <c r="F87" s="8"/>
      <c r="H87" s="8" t="s">
        <v>2352</v>
      </c>
      <c r="I87" s="8" t="s">
        <v>2787</v>
      </c>
      <c r="J87" s="8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8" t="s">
        <v>3374</v>
      </c>
      <c r="E88" s="8" t="s">
        <v>3375</v>
      </c>
      <c r="F88" s="8"/>
      <c r="H88" s="8" t="s">
        <v>2352</v>
      </c>
      <c r="I88" s="8" t="s">
        <v>2790</v>
      </c>
      <c r="J88" s="8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8" t="s">
        <v>3374</v>
      </c>
      <c r="E89" s="8" t="s">
        <v>3375</v>
      </c>
      <c r="F89" s="8"/>
      <c r="H89" s="8" t="s">
        <v>2352</v>
      </c>
      <c r="I89" s="8" t="s">
        <v>2793</v>
      </c>
      <c r="J89" s="8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8" t="s">
        <v>3374</v>
      </c>
      <c r="E90" s="8" t="s">
        <v>3375</v>
      </c>
      <c r="F90" s="8"/>
      <c r="H90" s="8" t="s">
        <v>2352</v>
      </c>
      <c r="I90" s="8" t="s">
        <v>2796</v>
      </c>
      <c r="J90" s="8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8" t="s">
        <v>3374</v>
      </c>
      <c r="E91" s="8" t="s">
        <v>3375</v>
      </c>
      <c r="F91" s="8"/>
      <c r="H91" s="8" t="s">
        <v>2352</v>
      </c>
      <c r="I91" s="8" t="s">
        <v>2799</v>
      </c>
      <c r="J91" s="8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8" t="s">
        <v>3374</v>
      </c>
      <c r="E92" s="8" t="s">
        <v>3375</v>
      </c>
      <c r="F92" s="8"/>
      <c r="H92" s="8" t="s">
        <v>2352</v>
      </c>
      <c r="I92" s="8" t="s">
        <v>2802</v>
      </c>
      <c r="J92" s="8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8" t="s">
        <v>3374</v>
      </c>
      <c r="E93" s="8" t="s">
        <v>3375</v>
      </c>
      <c r="F93" s="8"/>
      <c r="H93" s="8" t="s">
        <v>2352</v>
      </c>
      <c r="I93" s="8" t="s">
        <v>2805</v>
      </c>
      <c r="J93" s="8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8" t="s">
        <v>3374</v>
      </c>
      <c r="E94" s="8" t="s">
        <v>3375</v>
      </c>
      <c r="F94" s="8"/>
      <c r="H94" s="8" t="s">
        <v>2352</v>
      </c>
      <c r="I94" s="8" t="s">
        <v>2808</v>
      </c>
      <c r="J94" s="8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8" t="s">
        <v>3374</v>
      </c>
      <c r="E95" s="8" t="s">
        <v>3375</v>
      </c>
      <c r="F95" s="8"/>
      <c r="H95" s="8" t="s">
        <v>2352</v>
      </c>
      <c r="I95" s="8" t="s">
        <v>2811</v>
      </c>
      <c r="J95" s="8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8" t="s">
        <v>3381</v>
      </c>
      <c r="E96" s="8" t="s">
        <v>3376</v>
      </c>
      <c r="F96" s="8"/>
      <c r="H96" s="8"/>
      <c r="I96" s="8" t="s">
        <v>2814</v>
      </c>
      <c r="J96" s="8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8" t="s">
        <v>3381</v>
      </c>
      <c r="E97" s="8" t="s">
        <v>3376</v>
      </c>
      <c r="F97" s="8"/>
      <c r="H97" s="8" t="s">
        <v>2352</v>
      </c>
      <c r="I97" s="8" t="s">
        <v>2817</v>
      </c>
      <c r="J97" s="8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8" t="s">
        <v>3381</v>
      </c>
      <c r="E98" s="8" t="s">
        <v>3376</v>
      </c>
      <c r="F98" s="8"/>
      <c r="H98" s="8" t="s">
        <v>2352</v>
      </c>
      <c r="I98" s="8" t="s">
        <v>2820</v>
      </c>
      <c r="J98" s="8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8" t="s">
        <v>3381</v>
      </c>
      <c r="E99" s="8" t="s">
        <v>3376</v>
      </c>
      <c r="F99" s="8"/>
      <c r="H99" s="8" t="s">
        <v>2352</v>
      </c>
      <c r="I99" s="8" t="s">
        <v>2823</v>
      </c>
      <c r="J99" s="8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8" t="s">
        <v>3381</v>
      </c>
      <c r="E100" s="8" t="s">
        <v>3376</v>
      </c>
      <c r="F100" s="8"/>
      <c r="H100" s="8" t="s">
        <v>2352</v>
      </c>
      <c r="I100" s="8" t="s">
        <v>2826</v>
      </c>
      <c r="J100" s="8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8" t="s">
        <v>3381</v>
      </c>
      <c r="E101" s="8" t="s">
        <v>3376</v>
      </c>
      <c r="F101" s="8"/>
      <c r="H101" s="8" t="s">
        <v>2352</v>
      </c>
      <c r="I101" s="8" t="s">
        <v>2829</v>
      </c>
      <c r="J101" s="8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8" t="s">
        <v>4</v>
      </c>
      <c r="E102" s="8" t="s">
        <v>8</v>
      </c>
      <c r="F102" s="8"/>
      <c r="H102" s="8"/>
      <c r="I102" s="8" t="s">
        <v>2832</v>
      </c>
      <c r="J102" s="8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8" t="s">
        <v>1273</v>
      </c>
      <c r="E103" s="8" t="s">
        <v>3359</v>
      </c>
      <c r="F103" s="8"/>
      <c r="H103" s="8"/>
      <c r="I103" s="8" t="s">
        <v>2835</v>
      </c>
      <c r="J103" s="8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8" t="s">
        <v>1273</v>
      </c>
      <c r="E104" s="8" t="s">
        <v>3382</v>
      </c>
      <c r="F104" s="8"/>
      <c r="H104" s="8"/>
      <c r="I104" s="8" t="s">
        <v>2838</v>
      </c>
      <c r="J104" s="8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8" t="s">
        <v>226</v>
      </c>
      <c r="E105" s="8" t="s">
        <v>3382</v>
      </c>
      <c r="F105" s="8" t="s">
        <v>3376</v>
      </c>
      <c r="H105" s="8"/>
      <c r="I105" s="8" t="s">
        <v>2841</v>
      </c>
      <c r="J105" s="8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8" t="s">
        <v>226</v>
      </c>
      <c r="E106" s="8" t="s">
        <v>3382</v>
      </c>
      <c r="F106" s="8" t="s">
        <v>3376</v>
      </c>
      <c r="H106" s="8" t="s">
        <v>2352</v>
      </c>
      <c r="I106" s="8" t="s">
        <v>2844</v>
      </c>
      <c r="J106" s="8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8" t="s">
        <v>226</v>
      </c>
      <c r="E107" s="8" t="s">
        <v>3382</v>
      </c>
      <c r="F107" s="8" t="s">
        <v>3376</v>
      </c>
      <c r="H107" s="8" t="s">
        <v>2352</v>
      </c>
      <c r="I107" s="8" t="s">
        <v>2847</v>
      </c>
      <c r="J107" s="8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8" t="s">
        <v>226</v>
      </c>
      <c r="E108" s="8" t="s">
        <v>3382</v>
      </c>
      <c r="F108" s="8" t="s">
        <v>3376</v>
      </c>
      <c r="H108" s="8" t="s">
        <v>2352</v>
      </c>
      <c r="I108" s="8" t="s">
        <v>2850</v>
      </c>
      <c r="J108" s="8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8" t="s">
        <v>226</v>
      </c>
      <c r="E109" s="8" t="s">
        <v>3382</v>
      </c>
      <c r="F109" s="8" t="s">
        <v>3376</v>
      </c>
      <c r="H109" s="8" t="s">
        <v>2352</v>
      </c>
      <c r="I109" s="8" t="s">
        <v>2853</v>
      </c>
      <c r="J109" s="8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8" t="s">
        <v>226</v>
      </c>
      <c r="E110" s="8" t="s">
        <v>3382</v>
      </c>
      <c r="F110" s="8" t="s">
        <v>3376</v>
      </c>
      <c r="H110" s="8" t="s">
        <v>2352</v>
      </c>
      <c r="I110" s="8" t="s">
        <v>2856</v>
      </c>
      <c r="J110" s="8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8" t="s">
        <v>226</v>
      </c>
      <c r="E111" s="8" t="s">
        <v>3382</v>
      </c>
      <c r="F111" s="8" t="s">
        <v>3376</v>
      </c>
      <c r="H111" s="8" t="s">
        <v>2352</v>
      </c>
      <c r="I111" s="8" t="s">
        <v>2859</v>
      </c>
      <c r="J111" s="8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8" t="s">
        <v>226</v>
      </c>
      <c r="E112" s="8" t="s">
        <v>3382</v>
      </c>
      <c r="F112" s="8" t="s">
        <v>3376</v>
      </c>
      <c r="H112" s="8" t="s">
        <v>2352</v>
      </c>
      <c r="I112" s="8" t="s">
        <v>2862</v>
      </c>
      <c r="J112" s="8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8" t="s">
        <v>226</v>
      </c>
      <c r="E113" s="8" t="s">
        <v>3382</v>
      </c>
      <c r="F113" s="8" t="s">
        <v>3376</v>
      </c>
      <c r="H113" s="8" t="s">
        <v>2352</v>
      </c>
      <c r="I113" s="8" t="s">
        <v>2865</v>
      </c>
      <c r="J113" s="8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8" t="s">
        <v>226</v>
      </c>
      <c r="E114" s="8" t="s">
        <v>3382</v>
      </c>
      <c r="F114" s="8" t="s">
        <v>3376</v>
      </c>
      <c r="H114" s="8" t="s">
        <v>2352</v>
      </c>
      <c r="I114" s="8" t="s">
        <v>2868</v>
      </c>
      <c r="J114" s="8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8" t="s">
        <v>226</v>
      </c>
      <c r="E115" s="8" t="s">
        <v>3382</v>
      </c>
      <c r="F115" s="8" t="s">
        <v>3376</v>
      </c>
      <c r="H115" s="8" t="s">
        <v>2352</v>
      </c>
      <c r="I115" s="8" t="s">
        <v>2871</v>
      </c>
      <c r="J115" s="8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8" t="s">
        <v>226</v>
      </c>
      <c r="E116" s="8" t="s">
        <v>3382</v>
      </c>
      <c r="F116" s="8" t="s">
        <v>3376</v>
      </c>
      <c r="H116" s="8" t="s">
        <v>2352</v>
      </c>
      <c r="I116" s="8" t="s">
        <v>2874</v>
      </c>
      <c r="J116" s="8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8" t="s">
        <v>226</v>
      </c>
      <c r="E117" s="8" t="s">
        <v>3382</v>
      </c>
      <c r="F117" s="8" t="s">
        <v>3376</v>
      </c>
      <c r="H117" s="8" t="s">
        <v>2352</v>
      </c>
      <c r="I117" s="8" t="s">
        <v>2877</v>
      </c>
      <c r="J117" s="8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8" t="s">
        <v>226</v>
      </c>
      <c r="E118" s="8" t="s">
        <v>3382</v>
      </c>
      <c r="F118" s="8" t="s">
        <v>3376</v>
      </c>
      <c r="H118" s="8" t="s">
        <v>2352</v>
      </c>
      <c r="I118" s="8" t="s">
        <v>2880</v>
      </c>
      <c r="J118" s="8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8" t="s">
        <v>587</v>
      </c>
      <c r="E119" s="8" t="s">
        <v>3382</v>
      </c>
      <c r="F119" s="8" t="s">
        <v>3376</v>
      </c>
      <c r="H119" s="8" t="s">
        <v>3383</v>
      </c>
      <c r="I119" s="8" t="s">
        <v>2883</v>
      </c>
      <c r="J119" s="8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8" t="s">
        <v>226</v>
      </c>
      <c r="E120" s="8" t="s">
        <v>3359</v>
      </c>
      <c r="F120" s="8" t="s">
        <v>3376</v>
      </c>
      <c r="H120" s="8"/>
      <c r="I120" s="8" t="s">
        <v>2886</v>
      </c>
      <c r="J120" s="8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8" t="s">
        <v>226</v>
      </c>
      <c r="E121" s="8" t="s">
        <v>3359</v>
      </c>
      <c r="F121" s="8" t="s">
        <v>3376</v>
      </c>
      <c r="H121" s="8" t="s">
        <v>2352</v>
      </c>
      <c r="I121" s="8" t="s">
        <v>2889</v>
      </c>
      <c r="J121" s="8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8" t="s">
        <v>226</v>
      </c>
      <c r="E122" s="8" t="s">
        <v>3359</v>
      </c>
      <c r="F122" s="8" t="s">
        <v>3376</v>
      </c>
      <c r="H122" s="8" t="s">
        <v>2352</v>
      </c>
      <c r="I122" s="8" t="s">
        <v>2892</v>
      </c>
      <c r="J122" s="8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8" t="s">
        <v>226</v>
      </c>
      <c r="E123" s="8" t="s">
        <v>3359</v>
      </c>
      <c r="F123" s="8" t="s">
        <v>3376</v>
      </c>
      <c r="H123" s="8" t="s">
        <v>2352</v>
      </c>
      <c r="I123" s="8" t="s">
        <v>2895</v>
      </c>
      <c r="J123" s="8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8" t="s">
        <v>226</v>
      </c>
      <c r="E124" s="8" t="s">
        <v>3359</v>
      </c>
      <c r="F124" s="8" t="s">
        <v>3376</v>
      </c>
      <c r="H124" s="8" t="s">
        <v>2352</v>
      </c>
      <c r="I124" s="8" t="s">
        <v>2898</v>
      </c>
      <c r="J124" s="8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8" t="s">
        <v>226</v>
      </c>
      <c r="E125" s="8" t="s">
        <v>3359</v>
      </c>
      <c r="F125" s="8" t="s">
        <v>3376</v>
      </c>
      <c r="H125" s="8" t="s">
        <v>2352</v>
      </c>
      <c r="I125" s="8" t="s">
        <v>2901</v>
      </c>
      <c r="J125" s="8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8" t="s">
        <v>226</v>
      </c>
      <c r="E126" s="8" t="s">
        <v>3359</v>
      </c>
      <c r="F126" s="8" t="s">
        <v>3376</v>
      </c>
      <c r="H126" s="8" t="s">
        <v>2352</v>
      </c>
      <c r="I126" s="8" t="s">
        <v>2904</v>
      </c>
      <c r="J126" s="8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8" t="s">
        <v>226</v>
      </c>
      <c r="E127" s="8" t="s">
        <v>3359</v>
      </c>
      <c r="F127" s="8" t="s">
        <v>3376</v>
      </c>
      <c r="H127" s="8" t="s">
        <v>2352</v>
      </c>
      <c r="I127" s="8" t="s">
        <v>2907</v>
      </c>
      <c r="J127" s="8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8" t="s">
        <v>226</v>
      </c>
      <c r="E128" s="8" t="s">
        <v>3359</v>
      </c>
      <c r="F128" s="8" t="s">
        <v>3376</v>
      </c>
      <c r="H128" s="8" t="s">
        <v>2352</v>
      </c>
      <c r="I128" s="8" t="s">
        <v>2910</v>
      </c>
      <c r="J128" s="8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8" t="s">
        <v>226</v>
      </c>
      <c r="E129" s="8" t="s">
        <v>3359</v>
      </c>
      <c r="F129" s="8" t="s">
        <v>3376</v>
      </c>
      <c r="H129" s="8" t="s">
        <v>2352</v>
      </c>
      <c r="I129" s="8" t="s">
        <v>2913</v>
      </c>
      <c r="J129" s="8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8" t="s">
        <v>226</v>
      </c>
      <c r="E130" s="8" t="s">
        <v>3359</v>
      </c>
      <c r="F130" s="8" t="s">
        <v>3376</v>
      </c>
      <c r="H130" s="8" t="s">
        <v>2352</v>
      </c>
      <c r="I130" s="8" t="s">
        <v>2916</v>
      </c>
      <c r="J130" s="8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8" t="s">
        <v>226</v>
      </c>
      <c r="E131" s="8" t="s">
        <v>3359</v>
      </c>
      <c r="F131" s="8" t="s">
        <v>87</v>
      </c>
      <c r="H131" s="8"/>
      <c r="I131" s="8" t="s">
        <v>2919</v>
      </c>
      <c r="J131" s="8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8" t="s">
        <v>1273</v>
      </c>
      <c r="E132" s="8" t="s">
        <v>3360</v>
      </c>
      <c r="F132" s="8"/>
      <c r="H132" s="8"/>
      <c r="I132" s="8" t="s">
        <v>2922</v>
      </c>
      <c r="J132" s="8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8" t="s">
        <v>1273</v>
      </c>
      <c r="E133" s="8" t="s">
        <v>3360</v>
      </c>
      <c r="F133" s="8"/>
      <c r="H133" s="8" t="s">
        <v>2352</v>
      </c>
      <c r="I133" s="8" t="s">
        <v>2924</v>
      </c>
      <c r="J133" s="8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8" t="s">
        <v>226</v>
      </c>
      <c r="E134" s="8" t="s">
        <v>3360</v>
      </c>
      <c r="F134" s="8" t="s">
        <v>3376</v>
      </c>
      <c r="H134" s="8"/>
      <c r="I134" s="8" t="s">
        <v>2927</v>
      </c>
      <c r="J134" s="8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8" t="s">
        <v>226</v>
      </c>
      <c r="E135" s="8" t="s">
        <v>3360</v>
      </c>
      <c r="F135" s="8" t="s">
        <v>3376</v>
      </c>
      <c r="H135" s="8" t="s">
        <v>2352</v>
      </c>
      <c r="I135" s="8" t="s">
        <v>2930</v>
      </c>
      <c r="J135" s="8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8" t="s">
        <v>226</v>
      </c>
      <c r="E136" s="8" t="s">
        <v>3360</v>
      </c>
      <c r="F136" s="8" t="s">
        <v>3376</v>
      </c>
      <c r="H136" s="8" t="s">
        <v>2352</v>
      </c>
      <c r="I136" s="8" t="s">
        <v>2933</v>
      </c>
      <c r="J136" s="8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8" t="s">
        <v>226</v>
      </c>
      <c r="E137" s="8" t="s">
        <v>3360</v>
      </c>
      <c r="F137" s="8" t="s">
        <v>3376</v>
      </c>
      <c r="H137" s="8" t="s">
        <v>2352</v>
      </c>
      <c r="I137" s="8" t="s">
        <v>2936</v>
      </c>
      <c r="J137" s="8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8" t="s">
        <v>226</v>
      </c>
      <c r="E138" s="8" t="s">
        <v>3360</v>
      </c>
      <c r="F138" s="8" t="s">
        <v>3376</v>
      </c>
      <c r="H138" s="8" t="s">
        <v>2352</v>
      </c>
      <c r="I138" s="8" t="s">
        <v>2939</v>
      </c>
      <c r="J138" s="8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8" t="s">
        <v>226</v>
      </c>
      <c r="E139" s="8" t="s">
        <v>3360</v>
      </c>
      <c r="F139" s="8" t="s">
        <v>3376</v>
      </c>
      <c r="H139" s="8" t="s">
        <v>2352</v>
      </c>
      <c r="I139" s="8" t="s">
        <v>2942</v>
      </c>
      <c r="J139" s="8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8" t="s">
        <v>226</v>
      </c>
      <c r="E140" s="8" t="s">
        <v>3360</v>
      </c>
      <c r="F140" s="8" t="s">
        <v>3376</v>
      </c>
      <c r="H140" s="8" t="s">
        <v>2352</v>
      </c>
      <c r="I140" s="8" t="s">
        <v>2945</v>
      </c>
      <c r="J140" s="8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8" t="s">
        <v>226</v>
      </c>
      <c r="E141" s="8" t="s">
        <v>3360</v>
      </c>
      <c r="F141" s="8" t="s">
        <v>3376</v>
      </c>
      <c r="H141" s="8" t="s">
        <v>2352</v>
      </c>
      <c r="I141" s="8" t="s">
        <v>2948</v>
      </c>
      <c r="J141" s="8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8" t="s">
        <v>226</v>
      </c>
      <c r="E142" s="8" t="s">
        <v>3360</v>
      </c>
      <c r="F142" s="8" t="s">
        <v>3376</v>
      </c>
      <c r="H142" s="8" t="s">
        <v>2352</v>
      </c>
      <c r="I142" s="8" t="s">
        <v>2951</v>
      </c>
      <c r="J142" s="8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8" t="s">
        <v>226</v>
      </c>
      <c r="E143" s="8" t="s">
        <v>3360</v>
      </c>
      <c r="F143" s="8" t="s">
        <v>3376</v>
      </c>
      <c r="H143" s="8" t="s">
        <v>2352</v>
      </c>
      <c r="I143" s="8" t="s">
        <v>2954</v>
      </c>
      <c r="J143" s="8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8" t="s">
        <v>226</v>
      </c>
      <c r="E144" s="8" t="s">
        <v>3360</v>
      </c>
      <c r="F144" s="8" t="s">
        <v>3376</v>
      </c>
      <c r="H144" s="8" t="s">
        <v>2352</v>
      </c>
      <c r="I144" s="8" t="s">
        <v>2957</v>
      </c>
      <c r="J144" s="8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8" t="s">
        <v>226</v>
      </c>
      <c r="E145" s="8" t="s">
        <v>3360</v>
      </c>
      <c r="F145" s="8" t="s">
        <v>3376</v>
      </c>
      <c r="H145" s="8" t="s">
        <v>2352</v>
      </c>
      <c r="I145" s="8" t="s">
        <v>2960</v>
      </c>
      <c r="J145" s="8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8" t="s">
        <v>226</v>
      </c>
      <c r="E146" s="8" t="s">
        <v>3360</v>
      </c>
      <c r="F146" s="8" t="s">
        <v>3376</v>
      </c>
      <c r="H146" s="8" t="s">
        <v>2352</v>
      </c>
      <c r="I146" s="8" t="s">
        <v>2963</v>
      </c>
      <c r="J146" s="8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8" t="s">
        <v>226</v>
      </c>
      <c r="E147" s="8" t="s">
        <v>3360</v>
      </c>
      <c r="F147" s="8" t="s">
        <v>3376</v>
      </c>
      <c r="H147" s="8" t="s">
        <v>2352</v>
      </c>
      <c r="I147" s="8" t="s">
        <v>2966</v>
      </c>
      <c r="J147" s="8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8" t="s">
        <v>226</v>
      </c>
      <c r="E148" s="8" t="s">
        <v>3360</v>
      </c>
      <c r="F148" s="8" t="s">
        <v>3376</v>
      </c>
      <c r="H148" s="8" t="s">
        <v>2352</v>
      </c>
      <c r="I148" s="8" t="s">
        <v>2969</v>
      </c>
      <c r="J148" s="8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8" t="s">
        <v>226</v>
      </c>
      <c r="E149" s="8" t="s">
        <v>3360</v>
      </c>
      <c r="F149" s="8" t="s">
        <v>3376</v>
      </c>
      <c r="H149" s="8" t="s">
        <v>2352</v>
      </c>
      <c r="I149" s="8" t="s">
        <v>2972</v>
      </c>
      <c r="J149" s="8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8" t="s">
        <v>226</v>
      </c>
      <c r="E150" s="8" t="s">
        <v>3360</v>
      </c>
      <c r="F150" s="8" t="s">
        <v>3376</v>
      </c>
      <c r="H150" s="8" t="s">
        <v>2352</v>
      </c>
      <c r="I150" s="8" t="s">
        <v>2975</v>
      </c>
      <c r="J150" s="8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8" t="s">
        <v>226</v>
      </c>
      <c r="E151" s="8" t="s">
        <v>3360</v>
      </c>
      <c r="F151" s="8" t="s">
        <v>3376</v>
      </c>
      <c r="H151" s="8" t="s">
        <v>2352</v>
      </c>
      <c r="I151" s="8" t="s">
        <v>2978</v>
      </c>
      <c r="J151" s="8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8" t="s">
        <v>226</v>
      </c>
      <c r="E152" s="8" t="s">
        <v>3360</v>
      </c>
      <c r="F152" s="8" t="s">
        <v>3376</v>
      </c>
      <c r="H152" s="8" t="s">
        <v>2352</v>
      </c>
      <c r="I152" s="8" t="s">
        <v>2981</v>
      </c>
      <c r="J152" s="8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8" t="s">
        <v>226</v>
      </c>
      <c r="E153" s="8" t="s">
        <v>3360</v>
      </c>
      <c r="F153" s="8" t="s">
        <v>3376</v>
      </c>
      <c r="H153" s="8" t="s">
        <v>2352</v>
      </c>
      <c r="I153" s="8" t="s">
        <v>2984</v>
      </c>
      <c r="J153" s="8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8" t="s">
        <v>408</v>
      </c>
      <c r="E154" s="8" t="s">
        <v>3360</v>
      </c>
      <c r="F154" s="8"/>
      <c r="H154" s="8"/>
      <c r="I154" s="8" t="s">
        <v>2987</v>
      </c>
      <c r="J154" s="8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8" t="s">
        <v>587</v>
      </c>
      <c r="E155" s="8" t="s">
        <v>3360</v>
      </c>
      <c r="F155" s="8" t="s">
        <v>3376</v>
      </c>
      <c r="H155" s="8" t="s">
        <v>3384</v>
      </c>
      <c r="I155" s="8" t="s">
        <v>2990</v>
      </c>
      <c r="J155" s="8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8" t="s">
        <v>3454</v>
      </c>
      <c r="E156" s="8" t="s">
        <v>55</v>
      </c>
      <c r="F156" s="8"/>
      <c r="H156" s="8"/>
      <c r="I156" s="8" t="s">
        <v>3437</v>
      </c>
      <c r="J156" s="8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8" t="s">
        <v>226</v>
      </c>
      <c r="E157" s="8" t="s">
        <v>86</v>
      </c>
      <c r="F157" s="8" t="s">
        <v>165</v>
      </c>
      <c r="H157" s="8"/>
      <c r="I157" s="8" t="s">
        <v>3993</v>
      </c>
      <c r="J157" s="8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8" t="s">
        <v>226</v>
      </c>
      <c r="E158" s="8" t="s">
        <v>86</v>
      </c>
      <c r="F158" s="8" t="s">
        <v>165</v>
      </c>
      <c r="H158" s="8"/>
      <c r="I158" s="8" t="s">
        <v>3996</v>
      </c>
      <c r="J158" s="8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8" t="s">
        <v>226</v>
      </c>
      <c r="E159" s="8" t="s">
        <v>86</v>
      </c>
      <c r="F159" s="8" t="s">
        <v>165</v>
      </c>
      <c r="H159" s="8"/>
      <c r="I159" s="8" t="s">
        <v>3999</v>
      </c>
      <c r="J159" s="8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8" t="s">
        <v>887</v>
      </c>
      <c r="E160" s="8" t="s">
        <v>3412</v>
      </c>
      <c r="F160" s="8" t="s">
        <v>58</v>
      </c>
      <c r="H160" s="8"/>
      <c r="I160" s="8" t="s">
        <v>4002</v>
      </c>
      <c r="J160" s="8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8" t="s">
        <v>226</v>
      </c>
      <c r="E161" s="8" t="s">
        <v>86</v>
      </c>
      <c r="F161" s="8" t="s">
        <v>165</v>
      </c>
      <c r="H161" s="8"/>
      <c r="I161" s="8" t="s">
        <v>4005</v>
      </c>
      <c r="J161" s="8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8" t="s">
        <v>887</v>
      </c>
      <c r="E162" s="8" t="s">
        <v>3412</v>
      </c>
      <c r="F162" s="8" t="s">
        <v>58</v>
      </c>
      <c r="H162" s="8"/>
      <c r="I162" s="8" t="s">
        <v>4008</v>
      </c>
      <c r="J162" s="8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8" t="s">
        <v>887</v>
      </c>
      <c r="E163" s="8" t="s">
        <v>468</v>
      </c>
      <c r="F163" s="8" t="s">
        <v>58</v>
      </c>
      <c r="H163" s="8"/>
      <c r="I163" s="8" t="s">
        <v>4011</v>
      </c>
      <c r="J163" s="8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8" t="s">
        <v>4</v>
      </c>
      <c r="E164" s="8" t="s">
        <v>8</v>
      </c>
      <c r="F164" s="8"/>
      <c r="H164" s="8"/>
      <c r="I164" s="8" t="s">
        <v>4014</v>
      </c>
      <c r="J164" s="8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8" t="s">
        <v>226</v>
      </c>
      <c r="E165" s="8" t="s">
        <v>86</v>
      </c>
      <c r="F165" s="8" t="s">
        <v>60</v>
      </c>
      <c r="H165" s="8"/>
      <c r="I165" s="8" t="s">
        <v>4017</v>
      </c>
      <c r="J165" s="8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8" t="s">
        <v>226</v>
      </c>
      <c r="E166" s="8" t="s">
        <v>86</v>
      </c>
      <c r="F166" s="8" t="s">
        <v>60</v>
      </c>
      <c r="H166" s="8"/>
      <c r="I166" s="8" t="s">
        <v>4020</v>
      </c>
      <c r="J166" s="8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8" t="s">
        <v>226</v>
      </c>
      <c r="E167" s="8" t="s">
        <v>86</v>
      </c>
      <c r="F167" s="8" t="s">
        <v>165</v>
      </c>
      <c r="H167" s="8"/>
      <c r="I167" s="8" t="s">
        <v>4023</v>
      </c>
      <c r="J167" s="8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8" t="s">
        <v>4</v>
      </c>
      <c r="E168" s="8" t="s">
        <v>8</v>
      </c>
      <c r="F168" s="8"/>
      <c r="H168" s="8"/>
      <c r="I168" s="8" t="s">
        <v>4026</v>
      </c>
      <c r="J168" s="8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8" t="s">
        <v>226</v>
      </c>
      <c r="E169" s="8" t="s">
        <v>86</v>
      </c>
      <c r="F169" s="8" t="s">
        <v>60</v>
      </c>
      <c r="H169" s="8"/>
      <c r="I169" s="8" t="s">
        <v>4029</v>
      </c>
      <c r="J169" s="8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8" t="s">
        <v>226</v>
      </c>
      <c r="E170" s="8" t="s">
        <v>86</v>
      </c>
      <c r="F170" s="8" t="s">
        <v>60</v>
      </c>
      <c r="H170" s="8"/>
      <c r="I170" s="8" t="s">
        <v>4032</v>
      </c>
      <c r="J170" s="8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8" t="s">
        <v>4</v>
      </c>
      <c r="E171" s="8" t="s">
        <v>8</v>
      </c>
      <c r="F171" s="8"/>
      <c r="H171" s="8"/>
      <c r="I171" s="8" t="s">
        <v>4035</v>
      </c>
      <c r="J171" s="8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8" t="s">
        <v>887</v>
      </c>
      <c r="E172" s="8" t="s">
        <v>3412</v>
      </c>
      <c r="F172" s="8" t="s">
        <v>60</v>
      </c>
      <c r="H172" s="8"/>
      <c r="I172" s="8" t="s">
        <v>4110</v>
      </c>
      <c r="J172" s="8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8" t="s">
        <v>887</v>
      </c>
      <c r="E173" s="8" t="s">
        <v>3412</v>
      </c>
      <c r="F173" s="8" t="s">
        <v>165</v>
      </c>
      <c r="H173" s="8"/>
      <c r="I173" s="8" t="s">
        <v>4113</v>
      </c>
      <c r="J173" s="8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8" t="s">
        <v>887</v>
      </c>
      <c r="E174" s="8" t="s">
        <v>3412</v>
      </c>
      <c r="F174" s="8" t="s">
        <v>165</v>
      </c>
      <c r="H174" s="8"/>
      <c r="I174" s="8" t="s">
        <v>4116</v>
      </c>
      <c r="J174" s="8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8" t="s">
        <v>4</v>
      </c>
      <c r="E175" s="8" t="s">
        <v>8</v>
      </c>
      <c r="F175" s="8"/>
      <c r="H175" s="8" t="s">
        <v>2352</v>
      </c>
      <c r="I175" s="8" t="s">
        <v>4119</v>
      </c>
      <c r="J175" s="8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8" t="s">
        <v>4</v>
      </c>
      <c r="E176" s="8" t="s">
        <v>8</v>
      </c>
      <c r="F176" s="8"/>
      <c r="H176" s="8" t="s">
        <v>2352</v>
      </c>
      <c r="I176" s="8" t="s">
        <v>4122</v>
      </c>
      <c r="J176" s="8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8" t="s">
        <v>4</v>
      </c>
      <c r="E177" s="8" t="s">
        <v>8</v>
      </c>
      <c r="F177" s="8"/>
      <c r="H177" s="8" t="s">
        <v>2352</v>
      </c>
      <c r="I177" s="8" t="s">
        <v>4125</v>
      </c>
      <c r="J177" s="8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8" t="s">
        <v>4</v>
      </c>
      <c r="E178" s="8" t="s">
        <v>8</v>
      </c>
      <c r="F178" s="8"/>
      <c r="H178" s="8" t="s">
        <v>2352</v>
      </c>
      <c r="I178" s="8" t="s">
        <v>4038</v>
      </c>
      <c r="J178" s="8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8" t="s">
        <v>4</v>
      </c>
      <c r="E179" s="8" t="s">
        <v>8</v>
      </c>
      <c r="F179" s="8"/>
      <c r="H179" s="8" t="s">
        <v>2352</v>
      </c>
      <c r="I179" s="8" t="s">
        <v>4041</v>
      </c>
      <c r="J179" s="8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8" t="s">
        <v>4</v>
      </c>
      <c r="E180" s="8" t="s">
        <v>8</v>
      </c>
      <c r="F180" s="8"/>
      <c r="H180" s="8" t="s">
        <v>2352</v>
      </c>
      <c r="I180" s="8" t="s">
        <v>4044</v>
      </c>
      <c r="J180" s="8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8" t="s">
        <v>226</v>
      </c>
      <c r="E181" s="8" t="s">
        <v>86</v>
      </c>
      <c r="F181" s="8" t="s">
        <v>165</v>
      </c>
      <c r="H181" s="8"/>
      <c r="I181" s="8" t="s">
        <v>4047</v>
      </c>
      <c r="J181" s="8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8" t="s">
        <v>226</v>
      </c>
      <c r="E182" s="8" t="s">
        <v>86</v>
      </c>
      <c r="F182" s="8" t="s">
        <v>165</v>
      </c>
      <c r="H182" s="8"/>
      <c r="I182" s="8" t="s">
        <v>4050</v>
      </c>
      <c r="J182" s="8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8" t="s">
        <v>226</v>
      </c>
      <c r="E183" s="8" t="s">
        <v>86</v>
      </c>
      <c r="F183" s="8" t="s">
        <v>165</v>
      </c>
      <c r="H183" s="8"/>
      <c r="I183" s="8" t="s">
        <v>4053</v>
      </c>
      <c r="J183" s="8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8" t="s">
        <v>226</v>
      </c>
      <c r="E184" s="8" t="s">
        <v>86</v>
      </c>
      <c r="F184" s="8" t="s">
        <v>165</v>
      </c>
      <c r="H184" s="8"/>
      <c r="I184" s="8" t="s">
        <v>4056</v>
      </c>
      <c r="J184" s="8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8" t="s">
        <v>226</v>
      </c>
      <c r="E185" s="8" t="s">
        <v>86</v>
      </c>
      <c r="F185" s="8" t="s">
        <v>165</v>
      </c>
      <c r="H185" s="8"/>
      <c r="I185" s="8" t="s">
        <v>4059</v>
      </c>
      <c r="J185" s="8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8" t="s">
        <v>4128</v>
      </c>
      <c r="E186" s="8"/>
      <c r="F186" s="8"/>
      <c r="H186" s="8"/>
      <c r="I186" s="8" t="s">
        <v>4062</v>
      </c>
      <c r="J186" s="8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8" t="s">
        <v>1607</v>
      </c>
      <c r="E187" s="8"/>
      <c r="F187" s="8"/>
      <c r="H187" s="8"/>
      <c r="I187" s="8" t="s">
        <v>4065</v>
      </c>
      <c r="J187" s="8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8" t="s">
        <v>1607</v>
      </c>
      <c r="E188" s="8"/>
      <c r="F188" s="8"/>
      <c r="H188" s="8"/>
      <c r="I188" s="8" t="s">
        <v>4211</v>
      </c>
      <c r="J188" s="8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8" t="s">
        <v>4</v>
      </c>
      <c r="E189" s="8" t="s">
        <v>8</v>
      </c>
      <c r="F189" s="8"/>
      <c r="H189" s="8"/>
      <c r="I189" s="8" t="s">
        <v>4277</v>
      </c>
      <c r="J189" s="8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8" t="s">
        <v>226</v>
      </c>
      <c r="E190" s="8" t="s">
        <v>86</v>
      </c>
      <c r="F190" s="8" t="s">
        <v>165</v>
      </c>
      <c r="H190" s="8"/>
      <c r="I190" s="8" t="s">
        <v>4280</v>
      </c>
      <c r="J190" s="8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8" t="s">
        <v>226</v>
      </c>
      <c r="E191" s="8" t="s">
        <v>86</v>
      </c>
      <c r="F191" s="8" t="s">
        <v>165</v>
      </c>
      <c r="H191" s="8"/>
      <c r="I191" s="8" t="s">
        <v>4283</v>
      </c>
      <c r="J191" s="8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8" t="s">
        <v>1607</v>
      </c>
      <c r="E192" s="8" t="s">
        <v>8</v>
      </c>
      <c r="F192" s="8"/>
      <c r="H192" s="8"/>
      <c r="I192" s="8" t="s">
        <v>4445</v>
      </c>
      <c r="J192" s="8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8" t="s">
        <v>1607</v>
      </c>
      <c r="E193" s="8" t="s">
        <v>8</v>
      </c>
      <c r="F193" s="8"/>
      <c r="H193" s="8"/>
      <c r="I193" s="8" t="s">
        <v>4448</v>
      </c>
      <c r="J193" s="8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8" t="s">
        <v>1607</v>
      </c>
      <c r="E194" s="8" t="s">
        <v>8</v>
      </c>
      <c r="F194" s="8"/>
      <c r="H194" s="8"/>
      <c r="I194" s="8" t="s">
        <v>4451</v>
      </c>
      <c r="J194" s="8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8" t="s">
        <v>3377</v>
      </c>
      <c r="E195" s="8"/>
      <c r="F195" s="8"/>
      <c r="H195" s="8"/>
      <c r="I195" s="8" t="s">
        <v>5046</v>
      </c>
      <c r="J195" s="8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8" t="s">
        <v>3377</v>
      </c>
      <c r="E196" s="8"/>
      <c r="F196" s="8"/>
      <c r="H196" s="8"/>
      <c r="I196" s="8" t="s">
        <v>5049</v>
      </c>
      <c r="J196" s="8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8" t="s">
        <v>3377</v>
      </c>
      <c r="E197" s="8"/>
      <c r="F197" s="8"/>
      <c r="H197" s="8"/>
      <c r="I197" s="8" t="s">
        <v>5052</v>
      </c>
      <c r="J197" s="8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8" t="s">
        <v>1607</v>
      </c>
      <c r="E198" s="8" t="s">
        <v>8</v>
      </c>
      <c r="F198" s="8"/>
      <c r="H198" s="8"/>
      <c r="I198" s="8" t="s">
        <v>5037</v>
      </c>
      <c r="J198" s="8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8" t="s">
        <v>1607</v>
      </c>
      <c r="E199" s="8" t="s">
        <v>8</v>
      </c>
      <c r="F199" s="8"/>
      <c r="H199" s="8"/>
      <c r="I199" s="8" t="s">
        <v>5238</v>
      </c>
      <c r="J199" s="8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8" t="s">
        <v>4</v>
      </c>
      <c r="E200" s="8" t="s">
        <v>5472</v>
      </c>
      <c r="F200" s="8"/>
      <c r="H200" s="8"/>
      <c r="I200" s="8" t="s">
        <v>5479</v>
      </c>
      <c r="J200" s="8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8" t="s">
        <v>1607</v>
      </c>
      <c r="E201" s="8" t="s">
        <v>8</v>
      </c>
      <c r="F201" s="8"/>
      <c r="H201" s="8"/>
      <c r="I201" s="8" t="s">
        <v>5519</v>
      </c>
      <c r="J201" s="8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8" t="s">
        <v>3377</v>
      </c>
      <c r="E202" s="8"/>
      <c r="F202" s="8"/>
      <c r="H202" s="8"/>
      <c r="I202" s="8" t="s">
        <v>5688</v>
      </c>
      <c r="J202" s="8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8" t="s">
        <v>1607</v>
      </c>
      <c r="E203" s="8" t="s">
        <v>8</v>
      </c>
      <c r="F203" s="8"/>
      <c r="H203" s="8"/>
      <c r="I203" s="8" t="s">
        <v>5522</v>
      </c>
      <c r="J203" s="8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8" t="s">
        <v>1607</v>
      </c>
      <c r="E204" s="8" t="s">
        <v>8</v>
      </c>
      <c r="F204" s="8"/>
      <c r="H204" s="8"/>
      <c r="I204" s="8" t="s">
        <v>5733</v>
      </c>
      <c r="J204" s="8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8" t="s">
        <v>1607</v>
      </c>
      <c r="E205" s="8" t="s">
        <v>8</v>
      </c>
      <c r="F205" s="8"/>
      <c r="H205" s="8"/>
      <c r="I205" s="8" t="s">
        <v>5904</v>
      </c>
      <c r="J205" s="8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8" t="s">
        <v>1607</v>
      </c>
      <c r="E206" s="8" t="s">
        <v>8</v>
      </c>
      <c r="F206" s="8"/>
      <c r="H206" s="8"/>
      <c r="I206" s="8" t="s">
        <v>5907</v>
      </c>
      <c r="J206" s="8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8" t="s">
        <v>1607</v>
      </c>
      <c r="E207" s="8" t="s">
        <v>8</v>
      </c>
      <c r="F207" s="8"/>
      <c r="H207" s="8"/>
      <c r="I207" s="8" t="s">
        <v>6148</v>
      </c>
      <c r="J207" s="8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8" t="s">
        <v>1607</v>
      </c>
      <c r="E208" s="8" t="s">
        <v>8</v>
      </c>
      <c r="F208" s="8"/>
      <c r="H208" s="8"/>
      <c r="I208" s="8" t="s">
        <v>6151</v>
      </c>
      <c r="J208" s="8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8" t="s">
        <v>1607</v>
      </c>
      <c r="E209" s="8" t="s">
        <v>8</v>
      </c>
      <c r="F209" s="8"/>
      <c r="H209" s="8"/>
      <c r="I209" s="8" t="s">
        <v>6295</v>
      </c>
      <c r="J209" s="8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8" t="s">
        <v>1607</v>
      </c>
      <c r="E210" s="8" t="s">
        <v>8</v>
      </c>
      <c r="F210" s="8"/>
      <c r="H210" s="8"/>
      <c r="I210" s="8" t="s">
        <v>6440</v>
      </c>
      <c r="J210" s="8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8" t="s">
        <v>1607</v>
      </c>
      <c r="E211" s="8" t="s">
        <v>8</v>
      </c>
      <c r="F211" s="8"/>
      <c r="H211" s="8"/>
      <c r="I211" s="8" t="s">
        <v>6443</v>
      </c>
      <c r="J211" s="8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8" t="s">
        <v>1607</v>
      </c>
      <c r="E212" s="8" t="s">
        <v>8</v>
      </c>
      <c r="F212" s="8"/>
      <c r="H212" s="8"/>
      <c r="I212" s="8" t="s">
        <v>6663</v>
      </c>
      <c r="J212" s="8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8" t="s">
        <v>1607</v>
      </c>
      <c r="E213" s="8" t="s">
        <v>8</v>
      </c>
      <c r="F213" s="8"/>
      <c r="H213" s="8"/>
      <c r="I213" s="8" t="s">
        <v>6666</v>
      </c>
      <c r="J213" s="8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8" t="s">
        <v>1607</v>
      </c>
      <c r="E214" s="8" t="s">
        <v>8</v>
      </c>
      <c r="F214" s="8"/>
      <c r="H214" s="8"/>
      <c r="I214" s="8" t="s">
        <v>6669</v>
      </c>
      <c r="J214" s="8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8" t="s">
        <v>1607</v>
      </c>
      <c r="E215" s="8" t="s">
        <v>8</v>
      </c>
      <c r="F215" s="8"/>
      <c r="H215" s="8"/>
      <c r="I215" s="8" t="s">
        <v>6675</v>
      </c>
      <c r="J215" s="8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8" t="s">
        <v>1607</v>
      </c>
      <c r="E216" s="8" t="s">
        <v>8</v>
      </c>
      <c r="F216" s="8"/>
      <c r="H216" s="8"/>
      <c r="I216" s="8" t="s">
        <v>6673</v>
      </c>
      <c r="J216" s="8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8" t="s">
        <v>1607</v>
      </c>
      <c r="E217" s="8" t="s">
        <v>8</v>
      </c>
      <c r="F217" s="8"/>
      <c r="H217" s="8"/>
      <c r="I217" s="8" t="s">
        <v>6779</v>
      </c>
      <c r="J217" s="8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8" t="s">
        <v>1607</v>
      </c>
      <c r="E218" s="8" t="s">
        <v>8</v>
      </c>
      <c r="F218" s="8"/>
      <c r="H218" s="8"/>
      <c r="I218" s="8" t="s">
        <v>6782</v>
      </c>
      <c r="J218" s="8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8" t="s">
        <v>1607</v>
      </c>
      <c r="E219" s="8" t="s">
        <v>8</v>
      </c>
      <c r="F219" s="8"/>
      <c r="H219" s="8"/>
      <c r="I219" s="8" t="s">
        <v>6785</v>
      </c>
      <c r="J219" s="8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8" t="s">
        <v>1607</v>
      </c>
      <c r="E220" s="8" t="s">
        <v>8</v>
      </c>
      <c r="F220" s="8"/>
      <c r="H220" s="8"/>
      <c r="I220" s="8" t="s">
        <v>6946</v>
      </c>
      <c r="J220" s="8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8" t="s">
        <v>1607</v>
      </c>
      <c r="E221" s="8" t="s">
        <v>8</v>
      </c>
      <c r="F221" s="8"/>
      <c r="H221" s="8"/>
      <c r="I221" s="8" t="s">
        <v>7048</v>
      </c>
      <c r="J221" s="8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8" t="s">
        <v>1607</v>
      </c>
      <c r="E222" s="8" t="s">
        <v>8</v>
      </c>
      <c r="F222" s="8"/>
      <c r="H222" s="8"/>
      <c r="I222" s="8" t="s">
        <v>7051</v>
      </c>
      <c r="J222" s="8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8" t="s">
        <v>1607</v>
      </c>
      <c r="E223" s="8" t="s">
        <v>8</v>
      </c>
      <c r="F223" s="8"/>
      <c r="H223" s="8"/>
      <c r="I223" s="8" t="s">
        <v>7054</v>
      </c>
      <c r="J223" s="8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8" t="s">
        <v>1607</v>
      </c>
      <c r="E224" s="8" t="s">
        <v>8</v>
      </c>
      <c r="F224" s="8"/>
      <c r="H224" s="8"/>
      <c r="I224" s="8" t="s">
        <v>7057</v>
      </c>
      <c r="J224" s="8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8" t="s">
        <v>1607</v>
      </c>
      <c r="E225" s="8" t="s">
        <v>8</v>
      </c>
      <c r="F225" s="8"/>
      <c r="H225" s="8"/>
      <c r="I225" s="8" t="s">
        <v>7060</v>
      </c>
      <c r="J225" s="8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8" t="s">
        <v>1607</v>
      </c>
      <c r="E226" s="8" t="s">
        <v>8</v>
      </c>
      <c r="F226" s="8"/>
      <c r="H226" s="8"/>
      <c r="I226" s="8" t="s">
        <v>7063</v>
      </c>
      <c r="J226" s="8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8" t="s">
        <v>1607</v>
      </c>
      <c r="E227" s="8" t="s">
        <v>8</v>
      </c>
      <c r="F227" s="8"/>
      <c r="H227" s="8"/>
      <c r="I227" s="8" t="s">
        <v>7346</v>
      </c>
      <c r="J227" s="8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8" t="s">
        <v>1607</v>
      </c>
      <c r="E228" s="8" t="s">
        <v>8</v>
      </c>
      <c r="F228" s="8"/>
      <c r="H228" s="8"/>
      <c r="I228" s="8" t="s">
        <v>7349</v>
      </c>
      <c r="J228" s="8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8" t="s">
        <v>1607</v>
      </c>
      <c r="E229" s="8" t="s">
        <v>8</v>
      </c>
      <c r="F229" s="8"/>
      <c r="H229" s="8"/>
      <c r="I229" s="8" t="s">
        <v>7522</v>
      </c>
      <c r="J229" s="8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8" t="s">
        <v>1607</v>
      </c>
      <c r="E230" s="8" t="s">
        <v>8</v>
      </c>
      <c r="F230" s="8"/>
      <c r="H230" s="8"/>
      <c r="I230" s="8" t="s">
        <v>7525</v>
      </c>
      <c r="J230" s="8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8" t="s">
        <v>1607</v>
      </c>
      <c r="E231" s="8" t="s">
        <v>8</v>
      </c>
      <c r="F231" s="8"/>
      <c r="H231" s="8"/>
      <c r="I231" s="8" t="s">
        <v>7528</v>
      </c>
      <c r="J231" s="8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8" t="s">
        <v>1607</v>
      </c>
      <c r="E232" s="8" t="s">
        <v>8</v>
      </c>
      <c r="F232" s="8"/>
      <c r="H232" s="8"/>
      <c r="I232" s="8" t="s">
        <v>7740</v>
      </c>
      <c r="J232" s="8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8" t="s">
        <v>1607</v>
      </c>
      <c r="E233" s="8" t="s">
        <v>8</v>
      </c>
      <c r="F233" s="8"/>
      <c r="H233" s="8"/>
      <c r="I233" s="8" t="s">
        <v>7742</v>
      </c>
      <c r="J233" s="8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8" t="s">
        <v>4</v>
      </c>
      <c r="E234" s="8" t="s">
        <v>7924</v>
      </c>
      <c r="F234" s="8"/>
      <c r="H234" s="8"/>
      <c r="I234" s="8" t="s">
        <v>7888</v>
      </c>
      <c r="J234" s="8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8" t="s">
        <v>4</v>
      </c>
      <c r="E235" s="8" t="s">
        <v>7924</v>
      </c>
      <c r="F235" s="8"/>
      <c r="H235" s="8" t="s">
        <v>2352</v>
      </c>
      <c r="I235" s="8" t="s">
        <v>7891</v>
      </c>
      <c r="J235" s="8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8" t="s">
        <v>4</v>
      </c>
      <c r="E236" s="8" t="s">
        <v>7924</v>
      </c>
      <c r="F236" s="8"/>
      <c r="H236" s="8" t="s">
        <v>2352</v>
      </c>
      <c r="I236" s="8" t="s">
        <v>7894</v>
      </c>
      <c r="J236" s="8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8" t="s">
        <v>4</v>
      </c>
      <c r="E237" s="8" t="s">
        <v>7924</v>
      </c>
      <c r="F237" s="8"/>
      <c r="H237" s="8" t="s">
        <v>2352</v>
      </c>
      <c r="I237" s="8" t="s">
        <v>7897</v>
      </c>
      <c r="J237" s="8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8" t="s">
        <v>4</v>
      </c>
      <c r="E238" s="8" t="s">
        <v>7924</v>
      </c>
      <c r="F238" s="8"/>
      <c r="H238" s="8" t="s">
        <v>2352</v>
      </c>
      <c r="I238" s="8" t="s">
        <v>7900</v>
      </c>
      <c r="J238" s="8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8" t="s">
        <v>4</v>
      </c>
      <c r="E239" s="8" t="s">
        <v>7924</v>
      </c>
      <c r="F239" s="8"/>
      <c r="H239" s="8" t="s">
        <v>2352</v>
      </c>
      <c r="I239" s="8" t="s">
        <v>7903</v>
      </c>
      <c r="J239" s="8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8" t="s">
        <v>4</v>
      </c>
      <c r="E240" s="8" t="s">
        <v>7924</v>
      </c>
      <c r="F240" s="8"/>
      <c r="H240" s="8" t="s">
        <v>2352</v>
      </c>
      <c r="I240" s="8" t="s">
        <v>7906</v>
      </c>
      <c r="J240" s="8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8" t="s">
        <v>4</v>
      </c>
      <c r="E241" s="8" t="s">
        <v>7924</v>
      </c>
      <c r="F241" s="8"/>
      <c r="H241" s="8" t="s">
        <v>2352</v>
      </c>
      <c r="I241" s="8" t="s">
        <v>7909</v>
      </c>
      <c r="J241" s="8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8" t="s">
        <v>4</v>
      </c>
      <c r="E242" s="8" t="s">
        <v>7924</v>
      </c>
      <c r="F242" s="8"/>
      <c r="H242" s="8" t="s">
        <v>2352</v>
      </c>
      <c r="I242" s="8" t="s">
        <v>7912</v>
      </c>
      <c r="J242" s="8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8" t="s">
        <v>4</v>
      </c>
      <c r="E243" s="8" t="s">
        <v>7924</v>
      </c>
      <c r="F243" s="8"/>
      <c r="H243" s="8" t="s">
        <v>2352</v>
      </c>
      <c r="I243" s="8" t="s">
        <v>7915</v>
      </c>
      <c r="J243" s="8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8" t="s">
        <v>4</v>
      </c>
      <c r="E244" s="8" t="s">
        <v>7924</v>
      </c>
      <c r="F244" s="8"/>
      <c r="H244" s="8" t="s">
        <v>2352</v>
      </c>
      <c r="I244" s="8" t="s">
        <v>7918</v>
      </c>
      <c r="J244" s="8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8" t="s">
        <v>4</v>
      </c>
      <c r="E245" s="8" t="s">
        <v>7924</v>
      </c>
      <c r="F245" s="8"/>
      <c r="H245" s="8" t="s">
        <v>2352</v>
      </c>
      <c r="I245" s="8" t="s">
        <v>7921</v>
      </c>
      <c r="J245" s="8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8" t="s">
        <v>4</v>
      </c>
      <c r="E246" s="8" t="s">
        <v>7924</v>
      </c>
      <c r="F246" s="8"/>
      <c r="H246" s="8" t="s">
        <v>2352</v>
      </c>
      <c r="I246" s="8" t="s">
        <v>8084</v>
      </c>
      <c r="J246" s="8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8" t="s">
        <v>4</v>
      </c>
      <c r="E247" s="8" t="s">
        <v>7924</v>
      </c>
      <c r="F247" s="8"/>
      <c r="H247" s="8" t="s">
        <v>2352</v>
      </c>
      <c r="I247" s="8" t="s">
        <v>8087</v>
      </c>
      <c r="J247" s="8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8" t="s">
        <v>4</v>
      </c>
      <c r="E248" s="8" t="s">
        <v>7924</v>
      </c>
      <c r="F248" s="8"/>
      <c r="H248" s="8" t="s">
        <v>2352</v>
      </c>
      <c r="I248" s="8" t="s">
        <v>8090</v>
      </c>
      <c r="J248" s="8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8" t="s">
        <v>4</v>
      </c>
      <c r="E249" s="8" t="s">
        <v>7924</v>
      </c>
      <c r="F249" s="8"/>
      <c r="H249" s="8" t="s">
        <v>2352</v>
      </c>
      <c r="I249" s="8" t="s">
        <v>8093</v>
      </c>
      <c r="J249" s="8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8" t="s">
        <v>1607</v>
      </c>
      <c r="E250" s="8" t="s">
        <v>8</v>
      </c>
      <c r="F250" s="8"/>
      <c r="H250" s="8"/>
      <c r="I250" s="8" t="s">
        <v>8096</v>
      </c>
      <c r="J250" s="8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8" t="s">
        <v>4</v>
      </c>
      <c r="E251" s="8" t="s">
        <v>8330</v>
      </c>
      <c r="F251" s="8"/>
      <c r="H251" s="8"/>
      <c r="I251" s="8" t="s">
        <v>8327</v>
      </c>
      <c r="J251" s="8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8" t="s">
        <v>1607</v>
      </c>
      <c r="E252" s="8" t="s">
        <v>8</v>
      </c>
      <c r="F252" s="8"/>
      <c r="H252" s="8"/>
      <c r="I252" s="8" t="s">
        <v>8429</v>
      </c>
      <c r="J252" s="8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8" t="s">
        <v>1607</v>
      </c>
      <c r="E253" s="8" t="s">
        <v>8</v>
      </c>
      <c r="F253" s="8"/>
      <c r="H253" s="8"/>
      <c r="I253" s="8" t="s">
        <v>8432</v>
      </c>
      <c r="J253" s="8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8" t="s">
        <v>1607</v>
      </c>
      <c r="E254" s="8" t="s">
        <v>8</v>
      </c>
      <c r="F254" s="8"/>
      <c r="H254" s="8"/>
      <c r="I254" s="8" t="s">
        <v>8521</v>
      </c>
      <c r="J254" s="8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8" t="s">
        <v>1607</v>
      </c>
      <c r="E255" s="8" t="s">
        <v>8</v>
      </c>
      <c r="F255" s="8"/>
      <c r="H255" s="8"/>
      <c r="I255" s="8" t="s">
        <v>8524</v>
      </c>
      <c r="J255" s="8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8" t="s">
        <v>1607</v>
      </c>
      <c r="E256" s="8" t="s">
        <v>8</v>
      </c>
      <c r="F256" s="8"/>
      <c r="H256" s="8"/>
      <c r="I256" s="8" t="s">
        <v>8708</v>
      </c>
      <c r="J256" s="8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8" t="s">
        <v>1607</v>
      </c>
      <c r="E257" s="8" t="s">
        <v>8</v>
      </c>
      <c r="F257" s="8"/>
      <c r="H257" s="8"/>
      <c r="I257" s="8" t="s">
        <v>8711</v>
      </c>
      <c r="J257" s="8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8" t="s">
        <v>1607</v>
      </c>
      <c r="E258" s="8" t="s">
        <v>8</v>
      </c>
      <c r="F258" s="8"/>
      <c r="H258" s="8"/>
      <c r="I258" s="8" t="s">
        <v>8808</v>
      </c>
      <c r="J258" s="8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8" t="s">
        <v>1607</v>
      </c>
      <c r="E259" s="8" t="s">
        <v>8</v>
      </c>
      <c r="F259" s="8"/>
      <c r="H259" s="8"/>
      <c r="I259" s="8" t="s">
        <v>8915</v>
      </c>
      <c r="J259" s="8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8" t="s">
        <v>1607</v>
      </c>
      <c r="E260" s="8" t="s">
        <v>8</v>
      </c>
      <c r="F260" s="8"/>
      <c r="H260" s="8"/>
      <c r="I260" s="8" t="s">
        <v>8918</v>
      </c>
      <c r="J260" s="8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8" t="s">
        <v>1607</v>
      </c>
      <c r="E261" s="8" t="s">
        <v>8</v>
      </c>
      <c r="F261" s="8"/>
      <c r="H261" s="8"/>
      <c r="I261" s="8" t="s">
        <v>9131</v>
      </c>
      <c r="J261" s="8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8" t="s">
        <v>1607</v>
      </c>
      <c r="E262" s="8" t="s">
        <v>8</v>
      </c>
      <c r="F262" s="8"/>
      <c r="H262" s="8"/>
      <c r="I262" s="8" t="s">
        <v>9134</v>
      </c>
      <c r="J262" s="8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8" t="s">
        <v>1607</v>
      </c>
      <c r="E263" s="8" t="s">
        <v>8</v>
      </c>
      <c r="F263" s="8"/>
      <c r="H263" s="8"/>
      <c r="I263" s="8" t="s">
        <v>9307</v>
      </c>
      <c r="J263" s="8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8" t="s">
        <v>1607</v>
      </c>
      <c r="E264" s="8" t="s">
        <v>8</v>
      </c>
      <c r="F264" s="8"/>
      <c r="H264" s="8"/>
      <c r="I264" s="8" t="s">
        <v>9310</v>
      </c>
      <c r="J264" s="8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8" t="s">
        <v>1607</v>
      </c>
      <c r="E265" s="8" t="s">
        <v>8</v>
      </c>
      <c r="F265" s="8"/>
      <c r="H265" s="8"/>
      <c r="I265" s="8" t="s">
        <v>9313</v>
      </c>
      <c r="J265" s="8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8" t="s">
        <v>1607</v>
      </c>
      <c r="E266" s="8" t="s">
        <v>8</v>
      </c>
      <c r="F266" s="8"/>
      <c r="H266" s="8"/>
      <c r="I266" s="8" t="s">
        <v>9415</v>
      </c>
      <c r="J266" s="8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8" t="s">
        <v>1607</v>
      </c>
      <c r="E267" s="8" t="s">
        <v>8</v>
      </c>
      <c r="F267" s="8"/>
      <c r="H267" s="8"/>
      <c r="I267" s="8" t="s">
        <v>9418</v>
      </c>
      <c r="J267" s="8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8" t="s">
        <v>4</v>
      </c>
      <c r="E268" s="8" t="s">
        <v>7924</v>
      </c>
      <c r="F268" s="8"/>
      <c r="H268" s="8"/>
      <c r="I268" s="8" t="s">
        <v>9423</v>
      </c>
      <c r="J268" s="8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8" t="s">
        <v>4</v>
      </c>
      <c r="E269" s="8" t="s">
        <v>8</v>
      </c>
      <c r="F269" s="8"/>
      <c r="H269" s="8"/>
      <c r="I269" s="8" t="s">
        <v>9426</v>
      </c>
      <c r="J269" s="8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8" t="s">
        <v>4</v>
      </c>
      <c r="E270" s="8" t="s">
        <v>7924</v>
      </c>
      <c r="F270" s="8"/>
      <c r="H270" s="8"/>
      <c r="I270" s="8" t="s">
        <v>9429</v>
      </c>
      <c r="J270" s="8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8" t="s">
        <v>4</v>
      </c>
      <c r="E271" s="8" t="s">
        <v>7924</v>
      </c>
      <c r="F271" s="8"/>
      <c r="H271" s="8"/>
      <c r="I271" s="8" t="s">
        <v>9432</v>
      </c>
      <c r="J271" s="8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8" t="s">
        <v>9600</v>
      </c>
      <c r="E272" s="8"/>
      <c r="F272" s="8"/>
      <c r="H272" s="8"/>
      <c r="I272" s="8" t="s">
        <v>9435</v>
      </c>
      <c r="J272" s="8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8" t="s">
        <v>4</v>
      </c>
      <c r="E273" s="8" t="s">
        <v>8</v>
      </c>
      <c r="F273" s="8"/>
      <c r="H273" s="8"/>
      <c r="I273" s="8" t="s">
        <v>9438</v>
      </c>
      <c r="J273" s="8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8" t="s">
        <v>4</v>
      </c>
      <c r="E274" s="8" t="s">
        <v>8</v>
      </c>
      <c r="F274" s="8"/>
      <c r="H274" s="8"/>
      <c r="I274" s="8" t="s">
        <v>9441</v>
      </c>
      <c r="J274" s="8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8" t="s">
        <v>4</v>
      </c>
      <c r="E275" s="8" t="s">
        <v>8</v>
      </c>
      <c r="F275" s="8"/>
      <c r="H275" s="8"/>
      <c r="I275" s="8" t="s">
        <v>9444</v>
      </c>
      <c r="J275" s="8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8" t="s">
        <v>4</v>
      </c>
      <c r="E276" s="8" t="s">
        <v>8</v>
      </c>
      <c r="F276" s="8"/>
      <c r="H276" s="8"/>
      <c r="I276" s="8" t="s">
        <v>9447</v>
      </c>
      <c r="J276" s="8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8" t="s">
        <v>9601</v>
      </c>
      <c r="E277" s="8" t="s">
        <v>2348</v>
      </c>
      <c r="F277" s="8"/>
      <c r="H277" s="8"/>
      <c r="I277" s="8" t="s">
        <v>9450</v>
      </c>
      <c r="J277" s="8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8" t="s">
        <v>4</v>
      </c>
      <c r="E278" s="8" t="s">
        <v>7924</v>
      </c>
      <c r="F278" s="8"/>
      <c r="H278" s="8"/>
      <c r="I278" s="8" t="s">
        <v>9453</v>
      </c>
      <c r="J278" s="8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8" t="s">
        <v>4</v>
      </c>
      <c r="E279" s="8" t="s">
        <v>8</v>
      </c>
      <c r="F279" s="8"/>
      <c r="H279" s="8"/>
      <c r="I279" s="8" t="s">
        <v>9456</v>
      </c>
      <c r="J279" s="8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8" t="s">
        <v>4</v>
      </c>
      <c r="E280" s="8" t="s">
        <v>3413</v>
      </c>
      <c r="F280" s="8"/>
      <c r="H280" s="8"/>
      <c r="I280" s="8" t="s">
        <v>9657</v>
      </c>
      <c r="J280" s="8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8" t="s">
        <v>4</v>
      </c>
      <c r="E281" s="8" t="s">
        <v>3413</v>
      </c>
      <c r="F281" s="8"/>
      <c r="H281" s="8" t="s">
        <v>2352</v>
      </c>
      <c r="I281" s="8" t="s">
        <v>9660</v>
      </c>
      <c r="J281" s="8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8" t="s">
        <v>1607</v>
      </c>
      <c r="E282" s="8" t="s">
        <v>8</v>
      </c>
      <c r="F282" s="8"/>
      <c r="H282" s="8"/>
      <c r="I282" s="8" t="s">
        <v>9663</v>
      </c>
      <c r="J282" s="8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8" t="s">
        <v>1607</v>
      </c>
      <c r="E283" s="8" t="s">
        <v>8</v>
      </c>
      <c r="F283" s="8"/>
      <c r="H283" s="8"/>
      <c r="I283" s="8" t="s">
        <v>9697</v>
      </c>
      <c r="J283" s="8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8" t="s">
        <v>4</v>
      </c>
      <c r="E284" s="8" t="s">
        <v>10021</v>
      </c>
      <c r="F284" s="8"/>
      <c r="H284" s="8"/>
      <c r="I284" s="8" t="s">
        <v>9850</v>
      </c>
      <c r="J284" s="8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8" t="s">
        <v>7887</v>
      </c>
      <c r="E285" s="8"/>
      <c r="F285" s="8"/>
      <c r="H285" s="8"/>
      <c r="I285" s="8" t="s">
        <v>9852</v>
      </c>
      <c r="J285" s="8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8" t="s">
        <v>7887</v>
      </c>
      <c r="E286" s="8"/>
      <c r="F286" s="8"/>
      <c r="H286" s="8"/>
      <c r="I286" s="8" t="s">
        <v>9854</v>
      </c>
      <c r="J286" s="8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8" t="s">
        <v>7887</v>
      </c>
      <c r="E287" s="8"/>
      <c r="F287" s="8"/>
      <c r="H287" s="8"/>
      <c r="I287" s="8" t="s">
        <v>9856</v>
      </c>
      <c r="J287" s="8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8" t="s">
        <v>7887</v>
      </c>
      <c r="E288" s="8"/>
      <c r="F288" s="8"/>
      <c r="H288" s="8"/>
      <c r="I288" s="8" t="s">
        <v>9858</v>
      </c>
      <c r="J288" s="8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8" t="s">
        <v>7887</v>
      </c>
      <c r="E289" s="8"/>
      <c r="F289" s="8"/>
      <c r="H289" s="8"/>
      <c r="I289" s="8" t="s">
        <v>9860</v>
      </c>
      <c r="J289" s="8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8" t="s">
        <v>7887</v>
      </c>
      <c r="E290" s="8"/>
      <c r="F290" s="8"/>
      <c r="H290" s="8"/>
      <c r="I290" s="8" t="s">
        <v>9862</v>
      </c>
      <c r="J290" s="8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8" t="s">
        <v>7887</v>
      </c>
      <c r="E291" s="8"/>
      <c r="F291" s="8"/>
      <c r="H291" s="8"/>
      <c r="I291" s="8" t="s">
        <v>9864</v>
      </c>
      <c r="J291" s="8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8" t="s">
        <v>7887</v>
      </c>
      <c r="E292" s="8"/>
      <c r="F292" s="8"/>
      <c r="H292" s="8"/>
      <c r="I292" s="8" t="s">
        <v>9866</v>
      </c>
      <c r="J292" s="8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8" t="s">
        <v>137</v>
      </c>
      <c r="E293" s="8" t="s">
        <v>10011</v>
      </c>
      <c r="F293" s="8"/>
      <c r="H293" s="8"/>
      <c r="I293" s="8" t="s">
        <v>9868</v>
      </c>
      <c r="J293" s="8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8" t="s">
        <v>4</v>
      </c>
      <c r="E294" s="8" t="s">
        <v>8</v>
      </c>
      <c r="F294" s="8"/>
      <c r="H294" s="8"/>
      <c r="I294" s="8" t="s">
        <v>9870</v>
      </c>
      <c r="J294" s="8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8" t="s">
        <v>11</v>
      </c>
      <c r="E295" s="8"/>
      <c r="F295" s="8"/>
      <c r="H295" s="8" t="s">
        <v>2352</v>
      </c>
      <c r="I295" s="8" t="s">
        <v>10112</v>
      </c>
      <c r="J295" s="8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8" t="s">
        <v>11</v>
      </c>
      <c r="E296" s="8"/>
      <c r="F296" s="8"/>
      <c r="H296" s="8" t="s">
        <v>2352</v>
      </c>
      <c r="I296" s="8" t="s">
        <v>10115</v>
      </c>
      <c r="J296" s="8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8" t="s">
        <v>11</v>
      </c>
      <c r="E297" s="8"/>
      <c r="F297" s="8"/>
      <c r="H297" s="8"/>
      <c r="I297" s="8" t="s">
        <v>10118</v>
      </c>
      <c r="J297" s="8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8" t="s">
        <v>9600</v>
      </c>
      <c r="E298" s="8"/>
      <c r="F298" s="8"/>
      <c r="H298" s="8"/>
      <c r="I298" s="8" t="s">
        <v>10121</v>
      </c>
      <c r="J298" s="8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8" t="s">
        <v>10020</v>
      </c>
      <c r="E299" s="8"/>
      <c r="F299" s="8"/>
      <c r="H299" s="8"/>
      <c r="I299" s="8" t="s">
        <v>10124</v>
      </c>
      <c r="J299" s="8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8" t="s">
        <v>10020</v>
      </c>
      <c r="E300" s="8"/>
      <c r="F300" s="8"/>
      <c r="H300" s="8"/>
      <c r="I300" s="8" t="s">
        <v>10127</v>
      </c>
      <c r="J300" s="8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8" t="s">
        <v>4</v>
      </c>
      <c r="E301" s="8" t="s">
        <v>8</v>
      </c>
      <c r="F301" s="8"/>
      <c r="H301" s="8"/>
      <c r="I301" s="8" t="s">
        <v>10152</v>
      </c>
      <c r="J301" s="8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8" t="s">
        <v>7887</v>
      </c>
      <c r="E302" s="8"/>
      <c r="F302" s="8"/>
      <c r="H302" s="8"/>
      <c r="I302" s="8" t="s">
        <v>10155</v>
      </c>
      <c r="J302" s="8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8" t="s">
        <v>10239</v>
      </c>
      <c r="E303" s="8" t="s">
        <v>10132</v>
      </c>
      <c r="F303" s="8"/>
      <c r="H303" s="8" t="s">
        <v>10240</v>
      </c>
      <c r="I303" s="8" t="s">
        <v>10158</v>
      </c>
      <c r="J303" s="8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8" t="s">
        <v>4</v>
      </c>
      <c r="E304" s="8" t="s">
        <v>8</v>
      </c>
      <c r="F304" s="8"/>
      <c r="H304" s="8"/>
      <c r="I304" s="8" t="s">
        <v>10161</v>
      </c>
      <c r="J304" s="8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8" t="s">
        <v>10020</v>
      </c>
      <c r="E305" s="8"/>
      <c r="F305" s="8"/>
      <c r="H305" s="8"/>
      <c r="I305" s="8" t="s">
        <v>10391</v>
      </c>
      <c r="J305" s="8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8" t="s">
        <v>10020</v>
      </c>
      <c r="E306" s="8"/>
      <c r="F306" s="8"/>
      <c r="H306" s="8"/>
      <c r="I306" s="8" t="s">
        <v>10394</v>
      </c>
      <c r="J306" s="8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8" t="s">
        <v>10020</v>
      </c>
      <c r="E307" s="8"/>
      <c r="F307" s="8"/>
      <c r="H307" s="8"/>
      <c r="I307" s="8" t="s">
        <v>10397</v>
      </c>
      <c r="J307" s="8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8" t="s">
        <v>10020</v>
      </c>
      <c r="E308" s="8"/>
      <c r="F308" s="8"/>
      <c r="H308" s="8"/>
      <c r="I308" s="8" t="s">
        <v>10400</v>
      </c>
      <c r="J308" s="8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8" t="s">
        <v>4</v>
      </c>
      <c r="E309" s="8" t="s">
        <v>8</v>
      </c>
      <c r="F309" s="8"/>
      <c r="H309" s="8"/>
      <c r="I309" s="8" t="s">
        <v>10403</v>
      </c>
      <c r="J309" s="8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8" t="s">
        <v>10020</v>
      </c>
      <c r="E310" s="8"/>
      <c r="F310" s="8"/>
      <c r="H310" s="8"/>
      <c r="I310" s="8" t="s">
        <v>10406</v>
      </c>
      <c r="J310" s="8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8" t="s">
        <v>10020</v>
      </c>
      <c r="E311" s="8"/>
      <c r="F311" s="8"/>
      <c r="H311" s="8"/>
      <c r="I311" s="8" t="s">
        <v>10409</v>
      </c>
      <c r="J311" s="8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8" t="s">
        <v>4</v>
      </c>
      <c r="E312" s="8" t="s">
        <v>8</v>
      </c>
      <c r="F312" s="8"/>
      <c r="H312" s="8"/>
      <c r="I312" s="8" t="s">
        <v>10412</v>
      </c>
      <c r="J312" s="8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8" t="s">
        <v>10020</v>
      </c>
      <c r="E313" s="8"/>
      <c r="F313" s="8"/>
      <c r="H313" s="8"/>
      <c r="I313" s="8" t="s">
        <v>10538</v>
      </c>
      <c r="J313" s="8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8" t="s">
        <v>7</v>
      </c>
      <c r="E314" s="8"/>
      <c r="F314" s="8"/>
      <c r="H314" s="8"/>
      <c r="I314" s="8" t="s">
        <v>10541</v>
      </c>
      <c r="J314" s="8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8" t="s">
        <v>4</v>
      </c>
      <c r="E315" s="8" t="s">
        <v>8</v>
      </c>
      <c r="F315" s="8"/>
      <c r="H315" s="8"/>
      <c r="I315" s="8" t="s">
        <v>10544</v>
      </c>
      <c r="J315" s="8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8" t="s">
        <v>226</v>
      </c>
      <c r="E316" s="8" t="s">
        <v>11067</v>
      </c>
      <c r="F316" s="8" t="s">
        <v>165</v>
      </c>
      <c r="G316">
        <v>2</v>
      </c>
      <c r="H316" s="8"/>
      <c r="I316" s="8" t="s">
        <v>10759</v>
      </c>
      <c r="J316" s="8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8" t="s">
        <v>4</v>
      </c>
      <c r="E317" s="8" t="s">
        <v>8</v>
      </c>
      <c r="F317" s="8"/>
      <c r="H317" s="8"/>
      <c r="I317" s="8" t="s">
        <v>10762</v>
      </c>
      <c r="J317" s="8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8" t="s">
        <v>4</v>
      </c>
      <c r="E318" s="8" t="s">
        <v>8</v>
      </c>
      <c r="F318" s="8"/>
      <c r="H318" s="8"/>
      <c r="I318" s="8" t="s">
        <v>10765</v>
      </c>
      <c r="J318" s="8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8" t="s">
        <v>137</v>
      </c>
      <c r="E319" s="8" t="s">
        <v>11066</v>
      </c>
      <c r="F319" s="8"/>
      <c r="H319" s="8"/>
      <c r="I319" s="8" t="s">
        <v>10768</v>
      </c>
      <c r="J319" s="8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8" t="s">
        <v>4</v>
      </c>
      <c r="E320" s="8" t="s">
        <v>11074</v>
      </c>
      <c r="F320" s="8"/>
      <c r="H320" s="8"/>
      <c r="I320" s="8" t="s">
        <v>10771</v>
      </c>
      <c r="J320" s="8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8" t="s">
        <v>4</v>
      </c>
      <c r="E321" s="8" t="s">
        <v>8</v>
      </c>
      <c r="F321" s="8"/>
      <c r="H321" s="8"/>
      <c r="I321" s="8" t="s">
        <v>10774</v>
      </c>
      <c r="J321" s="8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8" t="s">
        <v>7</v>
      </c>
      <c r="E322" s="8"/>
      <c r="F322" s="8"/>
      <c r="H322" s="8"/>
      <c r="I322" s="8" t="s">
        <v>10777</v>
      </c>
      <c r="J322" s="8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8" t="s">
        <v>4</v>
      </c>
      <c r="E323" s="8" t="s">
        <v>8</v>
      </c>
      <c r="F323" s="8"/>
      <c r="H323" s="8"/>
      <c r="I323" s="8" t="s">
        <v>10780</v>
      </c>
      <c r="J323" s="8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8" t="s">
        <v>4</v>
      </c>
      <c r="E324" s="8" t="s">
        <v>8</v>
      </c>
      <c r="F324" s="8"/>
      <c r="H324" s="8"/>
      <c r="I324" s="8" t="s">
        <v>13790</v>
      </c>
      <c r="J324" s="8" t="s">
        <v>2396</v>
      </c>
      <c r="K324" t="s">
        <v>13791</v>
      </c>
      <c r="L324" t="s">
        <v>13792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8" t="s">
        <v>1607</v>
      </c>
      <c r="E325" s="8" t="s">
        <v>8</v>
      </c>
      <c r="F325" s="8"/>
      <c r="H325" s="8"/>
      <c r="I325" s="8" t="s">
        <v>13793</v>
      </c>
      <c r="J325" s="8" t="s">
        <v>2396</v>
      </c>
      <c r="K325" t="s">
        <v>13794</v>
      </c>
      <c r="L325" t="s">
        <v>13795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8" t="s">
        <v>4</v>
      </c>
      <c r="E326" s="8" t="s">
        <v>8</v>
      </c>
      <c r="F326" s="8"/>
      <c r="H326" s="8"/>
      <c r="I326" s="8" t="s">
        <v>13796</v>
      </c>
      <c r="J326" s="8" t="s">
        <v>2396</v>
      </c>
      <c r="K326" t="s">
        <v>13797</v>
      </c>
      <c r="L326" t="s">
        <v>13798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8" t="s">
        <v>13848</v>
      </c>
      <c r="E327" s="8" t="s">
        <v>1274</v>
      </c>
      <c r="F327" s="8"/>
      <c r="H327" s="8"/>
      <c r="I327" s="8" t="s">
        <v>13799</v>
      </c>
      <c r="J327" s="8" t="s">
        <v>2396</v>
      </c>
      <c r="K327" t="s">
        <v>13800</v>
      </c>
      <c r="L327" t="s">
        <v>13801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8" t="s">
        <v>4</v>
      </c>
      <c r="E328" s="8" t="s">
        <v>8</v>
      </c>
      <c r="F328" s="8"/>
      <c r="H328" s="8"/>
      <c r="I328" s="8" t="s">
        <v>13802</v>
      </c>
      <c r="J328" s="8" t="s">
        <v>2396</v>
      </c>
      <c r="K328" t="s">
        <v>13803</v>
      </c>
      <c r="L328" t="s">
        <v>13804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8" t="s">
        <v>4</v>
      </c>
      <c r="E329" s="8" t="s">
        <v>8</v>
      </c>
      <c r="F329" s="8"/>
      <c r="H329" s="8"/>
      <c r="I329" s="8" t="s">
        <v>14066</v>
      </c>
      <c r="J329" s="8" t="s">
        <v>2396</v>
      </c>
      <c r="K329" t="s">
        <v>14067</v>
      </c>
      <c r="L329" t="s">
        <v>14068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8" t="s">
        <v>1607</v>
      </c>
      <c r="E330" s="8" t="s">
        <v>8</v>
      </c>
      <c r="F330" s="8"/>
      <c r="H330" s="8"/>
      <c r="I330" s="8" t="s">
        <v>14069</v>
      </c>
      <c r="J330" s="8" t="s">
        <v>2396</v>
      </c>
      <c r="K330" t="s">
        <v>14070</v>
      </c>
      <c r="L330" t="s">
        <v>14071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8" t="s">
        <v>4</v>
      </c>
      <c r="E331" s="8" t="s">
        <v>8</v>
      </c>
      <c r="F331" s="8"/>
      <c r="H331" s="8"/>
      <c r="I331" s="8" t="s">
        <v>14072</v>
      </c>
      <c r="J331" s="8" t="s">
        <v>2396</v>
      </c>
      <c r="K331" t="s">
        <v>14073</v>
      </c>
      <c r="L331" t="s">
        <v>14074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8" t="s">
        <v>4</v>
      </c>
      <c r="E332" s="8" t="s">
        <v>8</v>
      </c>
      <c r="F332" s="8"/>
      <c r="H332" s="8" t="s">
        <v>2352</v>
      </c>
      <c r="I332" s="8" t="s">
        <v>14075</v>
      </c>
      <c r="J332" s="8" t="s">
        <v>2396</v>
      </c>
      <c r="K332" t="s">
        <v>14076</v>
      </c>
      <c r="L332" t="s">
        <v>14077</v>
      </c>
      <c r="M332" s="2" t="str">
        <f>HYPERLINK(склад2въезд13192021[[#This Row],[RelativePath]])</f>
        <v>7 Площадка 2 бетонщики\134160575_1_20260301T171448Z.jpg</v>
      </c>
    </row>
  </sheetData>
  <conditionalFormatting sqref="E333:E346 D1:D197 D333:D1048576 G2:H332 D2:E332">
    <cfRule type="containsText" dxfId="834" priority="18" operator="containsText" text="Выезд с территории">
      <formula>NOT(ISERROR(SEARCH("Выезд с территории",D1)))</formula>
    </cfRule>
  </conditionalFormatting>
  <conditionalFormatting sqref="F2:F332">
    <cfRule type="notContainsText" dxfId="833" priority="17" operator="notContains" text="порожний">
      <formula>ISERROR(SEARCH("порожний",F2))</formula>
    </cfRule>
  </conditionalFormatting>
  <conditionalFormatting sqref="E2:E346">
    <cfRule type="containsText" dxfId="832" priority="15" operator="containsText" text="Газель базы">
      <formula>NOT(ISERROR(SEARCH("Газель базы",E2)))</formula>
    </cfRule>
    <cfRule type="containsText" dxfId="831" priority="16" operator="containsText" text="Погрузчик базы">
      <formula>NOT(ISERROR(SEARCH("Погрузчик базы",E2)))</formula>
    </cfRule>
  </conditionalFormatting>
  <conditionalFormatting sqref="E2:E346">
    <cfRule type="containsText" dxfId="830" priority="14" operator="containsText" text="Трактор базы">
      <formula>NOT(ISERROR(SEARCH("Трактор базы",E2)))</formula>
    </cfRule>
  </conditionalFormatting>
  <conditionalFormatting sqref="A2:C332">
    <cfRule type="expression" dxfId="829" priority="13">
      <formula>$A2="пн"</formula>
    </cfRule>
  </conditionalFormatting>
  <conditionalFormatting sqref="A2:C334">
    <cfRule type="expression" dxfId="828" priority="7">
      <formula>$A2="вс"</formula>
    </cfRule>
    <cfRule type="expression" dxfId="827" priority="8">
      <formula>$A2="сб"</formula>
    </cfRule>
    <cfRule type="expression" dxfId="826" priority="9">
      <formula>$A2="пт"</formula>
    </cfRule>
    <cfRule type="expression" dxfId="825" priority="10">
      <formula>$A2="чт"</formula>
    </cfRule>
    <cfRule type="expression" dxfId="824" priority="11">
      <formula>$A2="ср"</formula>
    </cfRule>
    <cfRule type="expression" dxfId="823" priority="12">
      <formula>$A2="вт"</formula>
    </cfRule>
  </conditionalFormatting>
  <conditionalFormatting sqref="D1:D1048576">
    <cfRule type="containsText" dxfId="822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821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820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316"/>
  <sheetViews>
    <sheetView zoomScale="90" zoomScaleNormal="90" workbookViewId="0">
      <pane ySplit="1" topLeftCell="A302" activePane="bottomLeft" state="frozen"/>
      <selection pane="bottomLeft" activeCell="I315" sqref="I315:I31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33.28515625" bestFit="1" customWidth="1"/>
    <col min="6" max="6" width="25.140625" bestFit="1" customWidth="1"/>
    <col min="7" max="7" width="7.28515625" bestFit="1" customWidth="1"/>
    <col min="8" max="8" width="18.4257812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8" t="s">
        <v>4</v>
      </c>
      <c r="E2" s="8" t="s">
        <v>9</v>
      </c>
      <c r="F2" s="8"/>
      <c r="H2" s="8"/>
      <c r="I2" s="8" t="s">
        <v>591</v>
      </c>
      <c r="J2" s="8" t="s">
        <v>13186</v>
      </c>
      <c r="K2" t="s">
        <v>13187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8" t="s">
        <v>885</v>
      </c>
      <c r="E3" s="8" t="s">
        <v>886</v>
      </c>
      <c r="F3" s="8"/>
      <c r="H3" s="8"/>
      <c r="I3" s="8" t="s">
        <v>593</v>
      </c>
      <c r="J3" s="8" t="s">
        <v>13186</v>
      </c>
      <c r="K3" t="s">
        <v>13188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8" t="s">
        <v>885</v>
      </c>
      <c r="E4" s="8" t="s">
        <v>886</v>
      </c>
      <c r="F4" s="8"/>
      <c r="H4" s="8"/>
      <c r="I4" s="8" t="s">
        <v>595</v>
      </c>
      <c r="J4" s="8" t="s">
        <v>13186</v>
      </c>
      <c r="K4" t="s">
        <v>13189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8" t="s">
        <v>4</v>
      </c>
      <c r="E5" s="8" t="s">
        <v>683</v>
      </c>
      <c r="F5" s="8"/>
      <c r="H5" s="8"/>
      <c r="I5" s="8" t="s">
        <v>597</v>
      </c>
      <c r="J5" s="8" t="s">
        <v>13186</v>
      </c>
      <c r="K5" t="s">
        <v>13190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8" t="s">
        <v>4</v>
      </c>
      <c r="E6" s="8" t="s">
        <v>9</v>
      </c>
      <c r="F6" s="8"/>
      <c r="H6" s="8"/>
      <c r="I6" s="8" t="s">
        <v>599</v>
      </c>
      <c r="J6" s="8" t="s">
        <v>13186</v>
      </c>
      <c r="K6" t="s">
        <v>13191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8" t="s">
        <v>684</v>
      </c>
      <c r="E7" s="8" t="s">
        <v>468</v>
      </c>
      <c r="F7" s="8"/>
      <c r="H7" s="8"/>
      <c r="I7" s="8" t="s">
        <v>601</v>
      </c>
      <c r="J7" s="8" t="s">
        <v>13186</v>
      </c>
      <c r="K7" t="s">
        <v>13192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8" t="s">
        <v>684</v>
      </c>
      <c r="E8" s="8" t="s">
        <v>468</v>
      </c>
      <c r="F8" s="8"/>
      <c r="H8" s="8"/>
      <c r="I8" s="8" t="s">
        <v>603</v>
      </c>
      <c r="J8" s="8" t="s">
        <v>13186</v>
      </c>
      <c r="K8" t="s">
        <v>13193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8" t="s">
        <v>4</v>
      </c>
      <c r="E9" s="8" t="s">
        <v>9</v>
      </c>
      <c r="F9" s="8"/>
      <c r="H9" s="8"/>
      <c r="I9" s="8" t="s">
        <v>605</v>
      </c>
      <c r="J9" s="8" t="s">
        <v>13186</v>
      </c>
      <c r="K9" t="s">
        <v>13194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8" t="s">
        <v>685</v>
      </c>
      <c r="E10" s="8"/>
      <c r="F10" s="8"/>
      <c r="H10" s="8"/>
      <c r="I10" s="8" t="s">
        <v>607</v>
      </c>
      <c r="J10" s="8" t="s">
        <v>13186</v>
      </c>
      <c r="K10" t="s">
        <v>13195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8" t="s">
        <v>889</v>
      </c>
      <c r="E11" s="8" t="s">
        <v>468</v>
      </c>
      <c r="F11" s="8"/>
      <c r="H11" s="8"/>
      <c r="I11" s="8" t="s">
        <v>609</v>
      </c>
      <c r="J11" s="8" t="s">
        <v>13186</v>
      </c>
      <c r="K11" t="s">
        <v>13196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8" t="s">
        <v>4</v>
      </c>
      <c r="E12" s="8" t="s">
        <v>9</v>
      </c>
      <c r="F12" s="8"/>
      <c r="H12" s="8"/>
      <c r="I12" s="8" t="s">
        <v>611</v>
      </c>
      <c r="J12" s="8" t="s">
        <v>13186</v>
      </c>
      <c r="K12" t="s">
        <v>13197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8" t="s">
        <v>4</v>
      </c>
      <c r="E13" s="8" t="s">
        <v>9</v>
      </c>
      <c r="F13" s="8"/>
      <c r="H13" s="8"/>
      <c r="I13" s="8" t="s">
        <v>613</v>
      </c>
      <c r="J13" s="8" t="s">
        <v>13186</v>
      </c>
      <c r="K13" t="s">
        <v>13198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8" t="s">
        <v>686</v>
      </c>
      <c r="E14" s="8" t="s">
        <v>687</v>
      </c>
      <c r="F14" s="8"/>
      <c r="H14" s="8"/>
      <c r="I14" s="8" t="s">
        <v>615</v>
      </c>
      <c r="J14" s="8" t="s">
        <v>13186</v>
      </c>
      <c r="K14" t="s">
        <v>13199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8" t="s">
        <v>686</v>
      </c>
      <c r="E15" s="8" t="s">
        <v>687</v>
      </c>
      <c r="F15" s="8"/>
      <c r="H15" s="8"/>
      <c r="I15" s="8" t="s">
        <v>617</v>
      </c>
      <c r="J15" s="8" t="s">
        <v>13186</v>
      </c>
      <c r="K15" t="s">
        <v>13200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8" t="s">
        <v>686</v>
      </c>
      <c r="E16" s="8" t="s">
        <v>687</v>
      </c>
      <c r="F16" s="8"/>
      <c r="H16" s="8"/>
      <c r="I16" s="8" t="s">
        <v>619</v>
      </c>
      <c r="J16" s="8" t="s">
        <v>13186</v>
      </c>
      <c r="K16" t="s">
        <v>13201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8" t="s">
        <v>4</v>
      </c>
      <c r="E17" s="8" t="s">
        <v>9</v>
      </c>
      <c r="F17" s="8"/>
      <c r="H17" s="8"/>
      <c r="I17" s="8" t="s">
        <v>621</v>
      </c>
      <c r="J17" s="8" t="s">
        <v>13186</v>
      </c>
      <c r="K17" t="s">
        <v>13202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8" t="s">
        <v>4</v>
      </c>
      <c r="E18" s="8" t="s">
        <v>9</v>
      </c>
      <c r="F18" s="8"/>
      <c r="H18" s="8"/>
      <c r="I18" s="8" t="s">
        <v>623</v>
      </c>
      <c r="J18" s="8" t="s">
        <v>13186</v>
      </c>
      <c r="K18" t="s">
        <v>13203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8" t="s">
        <v>4</v>
      </c>
      <c r="E19" s="8" t="s">
        <v>9</v>
      </c>
      <c r="F19" s="8"/>
      <c r="H19" s="8"/>
      <c r="I19" s="8" t="s">
        <v>625</v>
      </c>
      <c r="J19" s="8" t="s">
        <v>13186</v>
      </c>
      <c r="K19" t="s">
        <v>13204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8" t="s">
        <v>4</v>
      </c>
      <c r="E20" s="8" t="s">
        <v>9</v>
      </c>
      <c r="F20" s="8"/>
      <c r="H20" s="8"/>
      <c r="I20" s="8" t="s">
        <v>627</v>
      </c>
      <c r="J20" s="8" t="s">
        <v>13186</v>
      </c>
      <c r="K20" t="s">
        <v>13205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8" t="s">
        <v>4</v>
      </c>
      <c r="E21" s="8" t="s">
        <v>9</v>
      </c>
      <c r="F21" s="8"/>
      <c r="H21" s="8"/>
      <c r="I21" s="8" t="s">
        <v>629</v>
      </c>
      <c r="J21" s="8" t="s">
        <v>13186</v>
      </c>
      <c r="K21" t="s">
        <v>13206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8" t="s">
        <v>4</v>
      </c>
      <c r="E22" s="8" t="s">
        <v>9</v>
      </c>
      <c r="F22" s="8"/>
      <c r="H22" s="8"/>
      <c r="I22" s="8" t="s">
        <v>631</v>
      </c>
      <c r="J22" s="8" t="s">
        <v>13186</v>
      </c>
      <c r="K22" t="s">
        <v>13207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8" t="s">
        <v>686</v>
      </c>
      <c r="E23" s="8" t="s">
        <v>687</v>
      </c>
      <c r="F23" s="8"/>
      <c r="H23" s="8"/>
      <c r="I23" s="8" t="s">
        <v>633</v>
      </c>
      <c r="J23" s="8" t="s">
        <v>13186</v>
      </c>
      <c r="K23" t="s">
        <v>13208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8" t="s">
        <v>4</v>
      </c>
      <c r="E24" s="8" t="s">
        <v>9</v>
      </c>
      <c r="F24" s="8"/>
      <c r="H24" s="8"/>
      <c r="I24" s="8" t="s">
        <v>635</v>
      </c>
      <c r="J24" s="8" t="s">
        <v>13186</v>
      </c>
      <c r="K24" t="s">
        <v>13209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8" t="s">
        <v>4</v>
      </c>
      <c r="E25" s="8" t="s">
        <v>9</v>
      </c>
      <c r="F25" s="8"/>
      <c r="H25" s="8"/>
      <c r="I25" s="8" t="s">
        <v>637</v>
      </c>
      <c r="J25" s="8" t="s">
        <v>13186</v>
      </c>
      <c r="K25" t="s">
        <v>13210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8" t="s">
        <v>4</v>
      </c>
      <c r="E26" s="8" t="s">
        <v>9</v>
      </c>
      <c r="F26" s="8"/>
      <c r="H26" s="8"/>
      <c r="I26" s="8" t="s">
        <v>639</v>
      </c>
      <c r="J26" s="8" t="s">
        <v>13186</v>
      </c>
      <c r="K26" t="s">
        <v>13211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8" t="s">
        <v>4</v>
      </c>
      <c r="E27" s="8" t="s">
        <v>9</v>
      </c>
      <c r="F27" s="8"/>
      <c r="H27" s="8"/>
      <c r="I27" s="8" t="s">
        <v>641</v>
      </c>
      <c r="J27" s="8" t="s">
        <v>13186</v>
      </c>
      <c r="K27" t="s">
        <v>13212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8" t="s">
        <v>4</v>
      </c>
      <c r="E28" s="8" t="s">
        <v>9</v>
      </c>
      <c r="F28" s="8"/>
      <c r="H28" s="8"/>
      <c r="I28" s="8" t="s">
        <v>643</v>
      </c>
      <c r="J28" s="8" t="s">
        <v>13186</v>
      </c>
      <c r="K28" t="s">
        <v>13213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8" t="s">
        <v>4</v>
      </c>
      <c r="E29" s="8" t="s">
        <v>9</v>
      </c>
      <c r="F29" s="8"/>
      <c r="H29" s="8"/>
      <c r="I29" s="8" t="s">
        <v>645</v>
      </c>
      <c r="J29" s="8" t="s">
        <v>13186</v>
      </c>
      <c r="K29" t="s">
        <v>13214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8" t="s">
        <v>4</v>
      </c>
      <c r="E30" s="8" t="s">
        <v>9</v>
      </c>
      <c r="F30" s="8"/>
      <c r="H30" s="8"/>
      <c r="I30" s="8" t="s">
        <v>647</v>
      </c>
      <c r="J30" s="8" t="s">
        <v>13186</v>
      </c>
      <c r="K30" t="s">
        <v>13215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8" t="s">
        <v>4</v>
      </c>
      <c r="E31" s="8" t="s">
        <v>9</v>
      </c>
      <c r="F31" s="8"/>
      <c r="H31" s="8"/>
      <c r="I31" s="8" t="s">
        <v>649</v>
      </c>
      <c r="J31" s="8" t="s">
        <v>13186</v>
      </c>
      <c r="K31" t="s">
        <v>13216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8" t="s">
        <v>4</v>
      </c>
      <c r="E32" s="8" t="s">
        <v>9</v>
      </c>
      <c r="F32" s="8"/>
      <c r="H32" s="8"/>
      <c r="I32" s="8" t="s">
        <v>651</v>
      </c>
      <c r="J32" s="8" t="s">
        <v>13186</v>
      </c>
      <c r="K32" t="s">
        <v>13217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8" t="s">
        <v>4</v>
      </c>
      <c r="E33" s="8" t="s">
        <v>9</v>
      </c>
      <c r="F33" s="8"/>
      <c r="H33" s="8"/>
      <c r="I33" s="8" t="s">
        <v>653</v>
      </c>
      <c r="J33" s="8" t="s">
        <v>13186</v>
      </c>
      <c r="K33" t="s">
        <v>13218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8" t="s">
        <v>686</v>
      </c>
      <c r="E34" s="8" t="s">
        <v>687</v>
      </c>
      <c r="F34" s="8"/>
      <c r="H34" s="8"/>
      <c r="I34" s="8" t="s">
        <v>655</v>
      </c>
      <c r="J34" s="8" t="s">
        <v>13186</v>
      </c>
      <c r="K34" t="s">
        <v>13219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8" t="s">
        <v>686</v>
      </c>
      <c r="E35" s="8" t="s">
        <v>687</v>
      </c>
      <c r="F35" s="8"/>
      <c r="H35" s="8"/>
      <c r="I35" s="8" t="s">
        <v>657</v>
      </c>
      <c r="J35" s="8" t="s">
        <v>13186</v>
      </c>
      <c r="K35" t="s">
        <v>13220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8" t="s">
        <v>4</v>
      </c>
      <c r="E36" s="8" t="s">
        <v>9</v>
      </c>
      <c r="F36" s="8"/>
      <c r="H36" s="8"/>
      <c r="I36" s="8" t="s">
        <v>659</v>
      </c>
      <c r="J36" s="8" t="s">
        <v>13186</v>
      </c>
      <c r="K36" t="s">
        <v>13221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8" t="s">
        <v>4</v>
      </c>
      <c r="E37" s="8" t="s">
        <v>9</v>
      </c>
      <c r="F37" s="8"/>
      <c r="H37" s="8"/>
      <c r="I37" s="8" t="s">
        <v>661</v>
      </c>
      <c r="J37" s="8" t="s">
        <v>13186</v>
      </c>
      <c r="K37" t="s">
        <v>13222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8" t="s">
        <v>686</v>
      </c>
      <c r="E38" s="8" t="s">
        <v>687</v>
      </c>
      <c r="F38" s="8"/>
      <c r="H38" s="8"/>
      <c r="I38" s="8" t="s">
        <v>663</v>
      </c>
      <c r="J38" s="8" t="s">
        <v>13186</v>
      </c>
      <c r="K38" t="s">
        <v>13223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8" t="s">
        <v>686</v>
      </c>
      <c r="E39" s="8" t="s">
        <v>687</v>
      </c>
      <c r="F39" s="8"/>
      <c r="H39" s="8"/>
      <c r="I39" s="8" t="s">
        <v>665</v>
      </c>
      <c r="J39" s="8" t="s">
        <v>13186</v>
      </c>
      <c r="K39" t="s">
        <v>13224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8" t="s">
        <v>686</v>
      </c>
      <c r="E40" s="8" t="s">
        <v>687</v>
      </c>
      <c r="F40" s="8"/>
      <c r="H40" s="8"/>
      <c r="I40" s="8" t="s">
        <v>667</v>
      </c>
      <c r="J40" s="8" t="s">
        <v>13186</v>
      </c>
      <c r="K40" t="s">
        <v>13225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8" t="s">
        <v>4</v>
      </c>
      <c r="E41" s="8" t="s">
        <v>9</v>
      </c>
      <c r="F41" s="8"/>
      <c r="H41" s="8"/>
      <c r="I41" s="8" t="s">
        <v>669</v>
      </c>
      <c r="J41" s="8" t="s">
        <v>13186</v>
      </c>
      <c r="K41" t="s">
        <v>13226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8" t="s">
        <v>686</v>
      </c>
      <c r="E42" s="8" t="s">
        <v>687</v>
      </c>
      <c r="F42" s="8"/>
      <c r="H42" s="8"/>
      <c r="I42" s="8" t="s">
        <v>671</v>
      </c>
      <c r="J42" s="8" t="s">
        <v>13186</v>
      </c>
      <c r="K42" t="s">
        <v>13227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8" t="s">
        <v>686</v>
      </c>
      <c r="E43" s="8" t="s">
        <v>687</v>
      </c>
      <c r="F43" s="8"/>
      <c r="H43" s="8"/>
      <c r="I43" s="8" t="s">
        <v>673</v>
      </c>
      <c r="J43" s="8" t="s">
        <v>13186</v>
      </c>
      <c r="K43" t="s">
        <v>13228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8" t="s">
        <v>686</v>
      </c>
      <c r="E44" s="8" t="s">
        <v>687</v>
      </c>
      <c r="F44" s="8"/>
      <c r="H44" s="8"/>
      <c r="I44" s="8" t="s">
        <v>675</v>
      </c>
      <c r="J44" s="8" t="s">
        <v>13186</v>
      </c>
      <c r="K44" t="s">
        <v>13229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8" t="s">
        <v>4</v>
      </c>
      <c r="E45" s="8" t="s">
        <v>9</v>
      </c>
      <c r="F45" s="8"/>
      <c r="H45" s="8"/>
      <c r="I45" s="8" t="s">
        <v>677</v>
      </c>
      <c r="J45" s="8" t="s">
        <v>13186</v>
      </c>
      <c r="K45" t="s">
        <v>13230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8" t="s">
        <v>4</v>
      </c>
      <c r="E46" s="8" t="s">
        <v>9</v>
      </c>
      <c r="F46" s="8"/>
      <c r="H46" s="8"/>
      <c r="I46" s="8" t="s">
        <v>679</v>
      </c>
      <c r="J46" s="8" t="s">
        <v>13186</v>
      </c>
      <c r="K46" t="s">
        <v>13231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681</v>
      </c>
      <c r="J47" s="8" t="s">
        <v>13186</v>
      </c>
      <c r="K47" t="s">
        <v>13232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8" t="s">
        <v>4</v>
      </c>
      <c r="E48" s="8" t="s">
        <v>9</v>
      </c>
      <c r="F48" s="8"/>
      <c r="H48" s="8"/>
      <c r="I48" s="8" t="s">
        <v>920</v>
      </c>
      <c r="J48" s="8" t="s">
        <v>13186</v>
      </c>
      <c r="K48" t="s">
        <v>13233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8" t="s">
        <v>4</v>
      </c>
      <c r="E49" s="8" t="s">
        <v>9</v>
      </c>
      <c r="F49" s="8"/>
      <c r="H49" s="8"/>
      <c r="I49" s="8" t="s">
        <v>922</v>
      </c>
      <c r="J49" s="8" t="s">
        <v>13186</v>
      </c>
      <c r="K49" t="s">
        <v>13234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8" t="s">
        <v>4</v>
      </c>
      <c r="E50" s="8" t="s">
        <v>9</v>
      </c>
      <c r="F50" s="8"/>
      <c r="H50" s="8"/>
      <c r="I50" s="8" t="s">
        <v>924</v>
      </c>
      <c r="J50" s="8" t="s">
        <v>13186</v>
      </c>
      <c r="K50" t="s">
        <v>13235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8" t="s">
        <v>1627</v>
      </c>
      <c r="E51" s="8" t="s">
        <v>687</v>
      </c>
      <c r="F51" s="8"/>
      <c r="H51" s="8"/>
      <c r="I51" s="8" t="s">
        <v>926</v>
      </c>
      <c r="J51" s="8" t="s">
        <v>13186</v>
      </c>
      <c r="K51" t="s">
        <v>13236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8" t="s">
        <v>4</v>
      </c>
      <c r="E52" s="8" t="s">
        <v>9</v>
      </c>
      <c r="F52" s="8"/>
      <c r="H52" s="8"/>
      <c r="I52" s="8" t="s">
        <v>928</v>
      </c>
      <c r="J52" s="8" t="s">
        <v>13186</v>
      </c>
      <c r="K52" t="s">
        <v>13237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8" t="s">
        <v>1627</v>
      </c>
      <c r="E53" s="8" t="s">
        <v>687</v>
      </c>
      <c r="F53" s="8"/>
      <c r="H53" s="8"/>
      <c r="I53" s="8" t="s">
        <v>930</v>
      </c>
      <c r="J53" s="8" t="s">
        <v>13186</v>
      </c>
      <c r="K53" t="s">
        <v>13238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8" t="s">
        <v>1627</v>
      </c>
      <c r="E54" s="8" t="s">
        <v>687</v>
      </c>
      <c r="F54" s="8"/>
      <c r="H54" s="8"/>
      <c r="I54" s="8" t="s">
        <v>932</v>
      </c>
      <c r="J54" s="8" t="s">
        <v>13186</v>
      </c>
      <c r="K54" t="s">
        <v>13239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8" t="s">
        <v>1627</v>
      </c>
      <c r="E55" s="8" t="s">
        <v>687</v>
      </c>
      <c r="F55" s="8"/>
      <c r="H55" s="8"/>
      <c r="I55" s="8" t="s">
        <v>934</v>
      </c>
      <c r="J55" s="8" t="s">
        <v>13186</v>
      </c>
      <c r="K55" t="s">
        <v>13240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8" t="s">
        <v>1627</v>
      </c>
      <c r="E56" s="8" t="s">
        <v>687</v>
      </c>
      <c r="F56" s="8"/>
      <c r="H56" s="8"/>
      <c r="I56" s="8" t="s">
        <v>936</v>
      </c>
      <c r="J56" s="8" t="s">
        <v>13186</v>
      </c>
      <c r="K56" t="s">
        <v>13241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8" t="s">
        <v>4</v>
      </c>
      <c r="E57" s="8" t="s">
        <v>9</v>
      </c>
      <c r="F57" s="8"/>
      <c r="H57" s="8" t="s">
        <v>2352</v>
      </c>
      <c r="I57" s="8" t="s">
        <v>938</v>
      </c>
      <c r="J57" s="8" t="s">
        <v>13186</v>
      </c>
      <c r="K57" t="s">
        <v>13242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8" t="s">
        <v>4</v>
      </c>
      <c r="E58" s="8" t="s">
        <v>9</v>
      </c>
      <c r="F58" s="8"/>
      <c r="H58" s="8" t="s">
        <v>2352</v>
      </c>
      <c r="I58" s="8" t="s">
        <v>940</v>
      </c>
      <c r="J58" s="8" t="s">
        <v>13186</v>
      </c>
      <c r="K58" t="s">
        <v>13243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8" t="s">
        <v>4</v>
      </c>
      <c r="E59" s="8" t="s">
        <v>9</v>
      </c>
      <c r="F59" s="8"/>
      <c r="H59" s="8" t="s">
        <v>2352</v>
      </c>
      <c r="I59" s="8" t="s">
        <v>942</v>
      </c>
      <c r="J59" s="8" t="s">
        <v>13186</v>
      </c>
      <c r="K59" t="s">
        <v>13244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8" t="s">
        <v>4</v>
      </c>
      <c r="E60" s="8" t="s">
        <v>9</v>
      </c>
      <c r="F60" s="8"/>
      <c r="H60" s="8" t="s">
        <v>2352</v>
      </c>
      <c r="I60" s="8" t="s">
        <v>944</v>
      </c>
      <c r="J60" s="8" t="s">
        <v>13186</v>
      </c>
      <c r="K60" t="s">
        <v>13245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8" t="s">
        <v>4</v>
      </c>
      <c r="E61" s="8" t="s">
        <v>9</v>
      </c>
      <c r="F61" s="8"/>
      <c r="H61" s="8" t="s">
        <v>2352</v>
      </c>
      <c r="I61" s="8" t="s">
        <v>946</v>
      </c>
      <c r="J61" s="8" t="s">
        <v>13186</v>
      </c>
      <c r="K61" t="s">
        <v>13246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8" t="s">
        <v>4</v>
      </c>
      <c r="E62" s="8" t="s">
        <v>9</v>
      </c>
      <c r="F62" s="8"/>
      <c r="H62" s="8" t="s">
        <v>2352</v>
      </c>
      <c r="I62" s="8" t="s">
        <v>948</v>
      </c>
      <c r="J62" s="8" t="s">
        <v>13186</v>
      </c>
      <c r="K62" t="s">
        <v>13247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8" t="s">
        <v>4</v>
      </c>
      <c r="E63" s="8" t="s">
        <v>9</v>
      </c>
      <c r="F63" s="8"/>
      <c r="H63" s="8" t="s">
        <v>2352</v>
      </c>
      <c r="I63" s="8" t="s">
        <v>950</v>
      </c>
      <c r="J63" s="8" t="s">
        <v>13186</v>
      </c>
      <c r="K63" t="s">
        <v>13248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8" t="s">
        <v>4</v>
      </c>
      <c r="E64" s="8" t="s">
        <v>9</v>
      </c>
      <c r="F64" s="8"/>
      <c r="H64" s="8" t="s">
        <v>2352</v>
      </c>
      <c r="I64" s="8" t="s">
        <v>1819</v>
      </c>
      <c r="J64" s="8" t="s">
        <v>13186</v>
      </c>
      <c r="K64" t="s">
        <v>13249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8" t="s">
        <v>4</v>
      </c>
      <c r="E65" s="8" t="s">
        <v>9</v>
      </c>
      <c r="F65" s="8"/>
      <c r="H65" s="8" t="s">
        <v>2352</v>
      </c>
      <c r="I65" s="8" t="s">
        <v>1821</v>
      </c>
      <c r="J65" s="8" t="s">
        <v>13186</v>
      </c>
      <c r="K65" t="s">
        <v>13250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8" t="s">
        <v>4</v>
      </c>
      <c r="E66" s="8" t="s">
        <v>9</v>
      </c>
      <c r="F66" s="8"/>
      <c r="H66" s="8" t="s">
        <v>2352</v>
      </c>
      <c r="I66" s="8" t="s">
        <v>1823</v>
      </c>
      <c r="J66" s="8" t="s">
        <v>13186</v>
      </c>
      <c r="K66" t="s">
        <v>13251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8" t="s">
        <v>1627</v>
      </c>
      <c r="E67" s="8" t="s">
        <v>687</v>
      </c>
      <c r="F67" s="8"/>
      <c r="H67" s="8"/>
      <c r="I67" s="8" t="s">
        <v>1825</v>
      </c>
      <c r="J67" s="8" t="s">
        <v>13186</v>
      </c>
      <c r="K67" t="s">
        <v>13252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8" t="s">
        <v>4</v>
      </c>
      <c r="E68" s="8" t="s">
        <v>9</v>
      </c>
      <c r="F68" s="8"/>
      <c r="H68" s="8" t="s">
        <v>2352</v>
      </c>
      <c r="I68" s="8" t="s">
        <v>1827</v>
      </c>
      <c r="J68" s="8" t="s">
        <v>13186</v>
      </c>
      <c r="K68" t="s">
        <v>13253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8" t="s">
        <v>4</v>
      </c>
      <c r="E69" s="8" t="s">
        <v>9</v>
      </c>
      <c r="F69" s="8"/>
      <c r="H69" s="8" t="s">
        <v>2352</v>
      </c>
      <c r="I69" s="8" t="s">
        <v>1829</v>
      </c>
      <c r="J69" s="8" t="s">
        <v>13186</v>
      </c>
      <c r="K69" t="s">
        <v>13254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8" t="s">
        <v>1627</v>
      </c>
      <c r="E70" s="8" t="s">
        <v>687</v>
      </c>
      <c r="F70" s="8"/>
      <c r="H70" s="8"/>
      <c r="I70" s="8" t="s">
        <v>1831</v>
      </c>
      <c r="J70" s="8" t="s">
        <v>13186</v>
      </c>
      <c r="K70" t="s">
        <v>13255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8" t="s">
        <v>1627</v>
      </c>
      <c r="E71" s="8" t="s">
        <v>687</v>
      </c>
      <c r="F71" s="8"/>
      <c r="H71" s="8"/>
      <c r="I71" s="8" t="s">
        <v>1833</v>
      </c>
      <c r="J71" s="8" t="s">
        <v>13186</v>
      </c>
      <c r="K71" t="s">
        <v>13256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8" t="s">
        <v>1627</v>
      </c>
      <c r="E72" s="8" t="s">
        <v>687</v>
      </c>
      <c r="F72" s="8"/>
      <c r="H72" s="8"/>
      <c r="I72" s="8" t="s">
        <v>1835</v>
      </c>
      <c r="J72" s="8" t="s">
        <v>13186</v>
      </c>
      <c r="K72" t="s">
        <v>13257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8" t="s">
        <v>4</v>
      </c>
      <c r="E73" s="8" t="s">
        <v>9</v>
      </c>
      <c r="F73" s="8"/>
      <c r="H73" s="8" t="s">
        <v>2352</v>
      </c>
      <c r="I73" s="8" t="s">
        <v>1837</v>
      </c>
      <c r="J73" s="8" t="s">
        <v>13186</v>
      </c>
      <c r="K73" t="s">
        <v>13258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8" t="s">
        <v>4</v>
      </c>
      <c r="E74" s="8" t="s">
        <v>9</v>
      </c>
      <c r="F74" s="8"/>
      <c r="H74" s="8" t="s">
        <v>2352</v>
      </c>
      <c r="I74" s="8" t="s">
        <v>1839</v>
      </c>
      <c r="J74" s="8" t="s">
        <v>13186</v>
      </c>
      <c r="K74" t="s">
        <v>13259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8" t="s">
        <v>4</v>
      </c>
      <c r="E75" s="8" t="s">
        <v>9</v>
      </c>
      <c r="F75" s="8"/>
      <c r="H75" s="8" t="s">
        <v>2352</v>
      </c>
      <c r="I75" s="8" t="s">
        <v>1841</v>
      </c>
      <c r="J75" s="8" t="s">
        <v>13186</v>
      </c>
      <c r="K75" t="s">
        <v>13260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8" t="s">
        <v>4</v>
      </c>
      <c r="E76" s="8" t="s">
        <v>9</v>
      </c>
      <c r="F76" s="8"/>
      <c r="H76" s="8" t="s">
        <v>2352</v>
      </c>
      <c r="I76" s="8" t="s">
        <v>1843</v>
      </c>
      <c r="J76" s="8" t="s">
        <v>13186</v>
      </c>
      <c r="K76" t="s">
        <v>13261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8" t="s">
        <v>1627</v>
      </c>
      <c r="E77" s="8" t="s">
        <v>1058</v>
      </c>
      <c r="F77" s="8"/>
      <c r="H77" s="8"/>
      <c r="I77" s="8" t="s">
        <v>1845</v>
      </c>
      <c r="J77" s="8" t="s">
        <v>13186</v>
      </c>
      <c r="K77" t="s">
        <v>13262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8" t="s">
        <v>4</v>
      </c>
      <c r="E78" s="8" t="s">
        <v>9</v>
      </c>
      <c r="F78" s="8"/>
      <c r="H78" s="8" t="s">
        <v>2352</v>
      </c>
      <c r="I78" s="8" t="s">
        <v>1847</v>
      </c>
      <c r="J78" s="8" t="s">
        <v>13186</v>
      </c>
      <c r="K78" t="s">
        <v>13263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8" t="s">
        <v>4</v>
      </c>
      <c r="E79" s="8" t="s">
        <v>9</v>
      </c>
      <c r="F79" s="8"/>
      <c r="H79" s="8" t="s">
        <v>2352</v>
      </c>
      <c r="I79" s="8" t="s">
        <v>1849</v>
      </c>
      <c r="J79" s="8" t="s">
        <v>13186</v>
      </c>
      <c r="K79" t="s">
        <v>13264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8" t="s">
        <v>1627</v>
      </c>
      <c r="E80" s="8" t="s">
        <v>1058</v>
      </c>
      <c r="F80" s="8"/>
      <c r="H80" s="8"/>
      <c r="I80" s="8" t="s">
        <v>1851</v>
      </c>
      <c r="J80" s="8" t="s">
        <v>13186</v>
      </c>
      <c r="K80" t="s">
        <v>13265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8" t="s">
        <v>4</v>
      </c>
      <c r="E81" s="8" t="s">
        <v>9</v>
      </c>
      <c r="F81" s="8"/>
      <c r="H81" s="8" t="s">
        <v>2352</v>
      </c>
      <c r="I81" s="8" t="s">
        <v>1853</v>
      </c>
      <c r="J81" s="8" t="s">
        <v>13186</v>
      </c>
      <c r="K81" t="s">
        <v>13266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8" t="s">
        <v>4</v>
      </c>
      <c r="E82" s="8" t="s">
        <v>9</v>
      </c>
      <c r="F82" s="8"/>
      <c r="H82" s="8" t="s">
        <v>2352</v>
      </c>
      <c r="I82" s="8" t="s">
        <v>1855</v>
      </c>
      <c r="J82" s="8" t="s">
        <v>13186</v>
      </c>
      <c r="K82" t="s">
        <v>13267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8" t="s">
        <v>4</v>
      </c>
      <c r="E83" s="8" t="s">
        <v>9</v>
      </c>
      <c r="F83" s="8"/>
      <c r="H83" s="8" t="s">
        <v>2352</v>
      </c>
      <c r="I83" s="8" t="s">
        <v>1857</v>
      </c>
      <c r="J83" s="8" t="s">
        <v>13186</v>
      </c>
      <c r="K83" t="s">
        <v>13268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8" t="s">
        <v>4</v>
      </c>
      <c r="E84" s="8" t="s">
        <v>9</v>
      </c>
      <c r="F84" s="8"/>
      <c r="H84" s="8" t="s">
        <v>2352</v>
      </c>
      <c r="I84" s="8" t="s">
        <v>1859</v>
      </c>
      <c r="J84" s="8" t="s">
        <v>13186</v>
      </c>
      <c r="K84" t="s">
        <v>13269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8" t="s">
        <v>4</v>
      </c>
      <c r="E85" s="8" t="s">
        <v>9</v>
      </c>
      <c r="F85" s="8"/>
      <c r="H85" s="8" t="s">
        <v>2352</v>
      </c>
      <c r="I85" s="8" t="s">
        <v>1861</v>
      </c>
      <c r="J85" s="8" t="s">
        <v>13186</v>
      </c>
      <c r="K85" t="s">
        <v>13270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8" t="s">
        <v>4</v>
      </c>
      <c r="E86" s="8" t="s">
        <v>9</v>
      </c>
      <c r="F86" s="8"/>
      <c r="H86" s="8" t="s">
        <v>2352</v>
      </c>
      <c r="I86" s="8" t="s">
        <v>1863</v>
      </c>
      <c r="J86" s="8" t="s">
        <v>13186</v>
      </c>
      <c r="K86" t="s">
        <v>13271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8" t="s">
        <v>4</v>
      </c>
      <c r="E87" s="8" t="s">
        <v>9</v>
      </c>
      <c r="F87" s="8"/>
      <c r="H87" s="8" t="s">
        <v>2352</v>
      </c>
      <c r="I87" s="8" t="s">
        <v>1865</v>
      </c>
      <c r="J87" s="8" t="s">
        <v>13186</v>
      </c>
      <c r="K87" t="s">
        <v>13272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8" t="s">
        <v>1627</v>
      </c>
      <c r="E88" s="8" t="s">
        <v>687</v>
      </c>
      <c r="F88" s="8"/>
      <c r="H88" s="8"/>
      <c r="I88" s="8" t="s">
        <v>1867</v>
      </c>
      <c r="J88" s="8" t="s">
        <v>13186</v>
      </c>
      <c r="K88" t="s">
        <v>13273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8" t="s">
        <v>684</v>
      </c>
      <c r="E89" s="8" t="s">
        <v>468</v>
      </c>
      <c r="F89" s="8"/>
      <c r="H89" s="8"/>
      <c r="I89" s="8" t="s">
        <v>1869</v>
      </c>
      <c r="J89" s="8" t="s">
        <v>13186</v>
      </c>
      <c r="K89" t="s">
        <v>13274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8" t="s">
        <v>1607</v>
      </c>
      <c r="E90" s="8" t="s">
        <v>8</v>
      </c>
      <c r="F90" s="8"/>
      <c r="H90" s="8"/>
      <c r="I90" s="8" t="s">
        <v>1871</v>
      </c>
      <c r="J90" s="8" t="s">
        <v>13186</v>
      </c>
      <c r="K90" t="s">
        <v>13275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8" t="s">
        <v>4</v>
      </c>
      <c r="E91" s="8" t="s">
        <v>9</v>
      </c>
      <c r="F91" s="8"/>
      <c r="H91" s="8" t="s">
        <v>2352</v>
      </c>
      <c r="I91" s="8" t="s">
        <v>1873</v>
      </c>
      <c r="J91" s="8" t="s">
        <v>13186</v>
      </c>
      <c r="K91" t="s">
        <v>13276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8" t="s">
        <v>4</v>
      </c>
      <c r="E92" s="8" t="s">
        <v>9</v>
      </c>
      <c r="F92" s="8"/>
      <c r="H92" s="8" t="s">
        <v>2352</v>
      </c>
      <c r="I92" s="8" t="s">
        <v>1875</v>
      </c>
      <c r="J92" s="8" t="s">
        <v>13186</v>
      </c>
      <c r="K92" t="s">
        <v>13277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8" t="s">
        <v>4</v>
      </c>
      <c r="E93" s="8" t="s">
        <v>9</v>
      </c>
      <c r="F93" s="8"/>
      <c r="H93" s="8" t="s">
        <v>2352</v>
      </c>
      <c r="I93" s="8" t="s">
        <v>1877</v>
      </c>
      <c r="J93" s="8" t="s">
        <v>13186</v>
      </c>
      <c r="K93" t="s">
        <v>13278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8" t="s">
        <v>1627</v>
      </c>
      <c r="E94" s="8" t="s">
        <v>687</v>
      </c>
      <c r="F94" s="8"/>
      <c r="H94" s="8"/>
      <c r="I94" s="8" t="s">
        <v>1879</v>
      </c>
      <c r="J94" s="8" t="s">
        <v>13186</v>
      </c>
      <c r="K94" t="s">
        <v>13279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8" t="s">
        <v>2353</v>
      </c>
      <c r="E95" s="8" t="s">
        <v>468</v>
      </c>
      <c r="F95" s="8" t="s">
        <v>2354</v>
      </c>
      <c r="H95" s="8"/>
      <c r="I95" s="8" t="s">
        <v>1881</v>
      </c>
      <c r="J95" s="8" t="s">
        <v>13186</v>
      </c>
      <c r="K95" t="s">
        <v>13280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8" t="s">
        <v>4</v>
      </c>
      <c r="E96" s="8" t="s">
        <v>9</v>
      </c>
      <c r="F96" s="8"/>
      <c r="H96" s="8" t="s">
        <v>2352</v>
      </c>
      <c r="I96" s="8" t="s">
        <v>1883</v>
      </c>
      <c r="J96" s="8" t="s">
        <v>13186</v>
      </c>
      <c r="K96" t="s">
        <v>13281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8" t="s">
        <v>4</v>
      </c>
      <c r="E97" s="8" t="s">
        <v>9</v>
      </c>
      <c r="F97" s="8"/>
      <c r="H97" s="8" t="s">
        <v>2352</v>
      </c>
      <c r="I97" s="8" t="s">
        <v>1885</v>
      </c>
      <c r="J97" s="8" t="s">
        <v>13186</v>
      </c>
      <c r="K97" t="s">
        <v>13282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8" t="s">
        <v>1607</v>
      </c>
      <c r="E98" s="8" t="s">
        <v>8</v>
      </c>
      <c r="F98" s="8"/>
      <c r="H98" s="8"/>
      <c r="I98" s="8" t="s">
        <v>1887</v>
      </c>
      <c r="J98" s="8" t="s">
        <v>13186</v>
      </c>
      <c r="K98" t="s">
        <v>13283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8" t="s">
        <v>4</v>
      </c>
      <c r="E99" s="8" t="s">
        <v>9</v>
      </c>
      <c r="F99" s="8"/>
      <c r="H99" s="8" t="s">
        <v>1607</v>
      </c>
      <c r="I99" s="8" t="s">
        <v>1889</v>
      </c>
      <c r="J99" s="8" t="s">
        <v>13186</v>
      </c>
      <c r="K99" t="s">
        <v>13284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8" t="s">
        <v>1607</v>
      </c>
      <c r="E100" s="8" t="s">
        <v>8</v>
      </c>
      <c r="F100" s="8"/>
      <c r="H100" s="8"/>
      <c r="I100" s="8" t="s">
        <v>2992</v>
      </c>
      <c r="J100" s="8" t="s">
        <v>13186</v>
      </c>
      <c r="K100" t="s">
        <v>13285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8" t="s">
        <v>1607</v>
      </c>
      <c r="E101" s="8" t="s">
        <v>8</v>
      </c>
      <c r="F101" s="8"/>
      <c r="H101" s="8"/>
      <c r="I101" s="8" t="s">
        <v>2994</v>
      </c>
      <c r="J101" s="8" t="s">
        <v>13186</v>
      </c>
      <c r="K101" t="s">
        <v>13286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8" t="s">
        <v>1607</v>
      </c>
      <c r="E102" s="8" t="s">
        <v>8</v>
      </c>
      <c r="F102" s="8"/>
      <c r="H102" s="8"/>
      <c r="I102" s="8" t="s">
        <v>2996</v>
      </c>
      <c r="J102" s="8" t="s">
        <v>13186</v>
      </c>
      <c r="K102" t="s">
        <v>13287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8" t="s">
        <v>1607</v>
      </c>
      <c r="E103" s="8" t="s">
        <v>8</v>
      </c>
      <c r="F103" s="8"/>
      <c r="H103" s="8"/>
      <c r="I103" s="8" t="s">
        <v>2998</v>
      </c>
      <c r="J103" s="8" t="s">
        <v>13186</v>
      </c>
      <c r="K103" t="s">
        <v>13288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8" t="s">
        <v>1607</v>
      </c>
      <c r="E104" s="8" t="s">
        <v>8</v>
      </c>
      <c r="F104" s="8"/>
      <c r="H104" s="8"/>
      <c r="I104" s="8" t="s">
        <v>3000</v>
      </c>
      <c r="J104" s="8" t="s">
        <v>13186</v>
      </c>
      <c r="K104" t="s">
        <v>13289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8" t="s">
        <v>884</v>
      </c>
      <c r="E105" s="8" t="s">
        <v>3385</v>
      </c>
      <c r="F105" s="8" t="s">
        <v>892</v>
      </c>
      <c r="G105">
        <v>4</v>
      </c>
      <c r="H105" s="8"/>
      <c r="I105" s="8" t="s">
        <v>3002</v>
      </c>
      <c r="J105" s="8" t="s">
        <v>13186</v>
      </c>
      <c r="K105" t="s">
        <v>13290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8" t="s">
        <v>1607</v>
      </c>
      <c r="E106" s="8" t="s">
        <v>8</v>
      </c>
      <c r="F106" s="8"/>
      <c r="H106" s="8"/>
      <c r="I106" s="8" t="s">
        <v>3440</v>
      </c>
      <c r="J106" s="8" t="s">
        <v>13186</v>
      </c>
      <c r="K106" t="s">
        <v>13291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8" t="s">
        <v>4</v>
      </c>
      <c r="E107" s="8" t="s">
        <v>9</v>
      </c>
      <c r="F107" s="8"/>
      <c r="H107" s="8"/>
      <c r="I107" s="8" t="s">
        <v>3701</v>
      </c>
      <c r="J107" s="8" t="s">
        <v>13186</v>
      </c>
      <c r="K107" t="s">
        <v>13292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8" t="s">
        <v>685</v>
      </c>
      <c r="E108" s="8" t="s">
        <v>4129</v>
      </c>
      <c r="F108" s="8"/>
      <c r="H108" s="8"/>
      <c r="I108" s="8" t="s">
        <v>3703</v>
      </c>
      <c r="J108" s="8" t="s">
        <v>13186</v>
      </c>
      <c r="K108" t="s">
        <v>13293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8" t="s">
        <v>4</v>
      </c>
      <c r="E109" s="8" t="s">
        <v>53</v>
      </c>
      <c r="F109" s="8"/>
      <c r="H109" s="8"/>
      <c r="I109" s="8" t="s">
        <v>3705</v>
      </c>
      <c r="J109" s="8" t="s">
        <v>13186</v>
      </c>
      <c r="K109" t="s">
        <v>13294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8" t="s">
        <v>1607</v>
      </c>
      <c r="E110" s="8" t="s">
        <v>8</v>
      </c>
      <c r="F110" s="8"/>
      <c r="H110" s="8"/>
      <c r="I110" s="8" t="s">
        <v>3707</v>
      </c>
      <c r="J110" s="8" t="s">
        <v>13186</v>
      </c>
      <c r="K110" t="s">
        <v>13295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8" t="s">
        <v>1607</v>
      </c>
      <c r="E111" s="8" t="s">
        <v>8</v>
      </c>
      <c r="F111" s="8"/>
      <c r="H111" s="8"/>
      <c r="I111" s="8" t="s">
        <v>3709</v>
      </c>
      <c r="J111" s="8" t="s">
        <v>13186</v>
      </c>
      <c r="K111" t="s">
        <v>13296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8" t="s">
        <v>1627</v>
      </c>
      <c r="E112" s="8" t="s">
        <v>687</v>
      </c>
      <c r="F112" s="8"/>
      <c r="H112" s="8"/>
      <c r="I112" s="8" t="s">
        <v>3711</v>
      </c>
      <c r="J112" s="8" t="s">
        <v>13186</v>
      </c>
      <c r="K112" t="s">
        <v>13297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8" t="s">
        <v>1627</v>
      </c>
      <c r="E113" s="8" t="s">
        <v>687</v>
      </c>
      <c r="F113" s="8"/>
      <c r="H113" s="8"/>
      <c r="I113" s="8" t="s">
        <v>3713</v>
      </c>
      <c r="J113" s="8" t="s">
        <v>13186</v>
      </c>
      <c r="K113" t="s">
        <v>13298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8" t="s">
        <v>1607</v>
      </c>
      <c r="E114" s="8" t="s">
        <v>8</v>
      </c>
      <c r="F114" s="8"/>
      <c r="H114" s="8"/>
      <c r="I114" s="8" t="s">
        <v>3715</v>
      </c>
      <c r="J114" s="8" t="s">
        <v>13186</v>
      </c>
      <c r="K114" t="s">
        <v>13299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8" t="s">
        <v>1607</v>
      </c>
      <c r="E115" s="8" t="s">
        <v>8</v>
      </c>
      <c r="F115" s="8"/>
      <c r="H115" s="8"/>
      <c r="I115" s="8" t="s">
        <v>3717</v>
      </c>
      <c r="J115" s="8" t="s">
        <v>13186</v>
      </c>
      <c r="K115" t="s">
        <v>13300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8" t="s">
        <v>1607</v>
      </c>
      <c r="E116" s="8" t="s">
        <v>8</v>
      </c>
      <c r="F116" s="8"/>
      <c r="H116" s="8"/>
      <c r="I116" s="8" t="s">
        <v>4171</v>
      </c>
      <c r="J116" s="8" t="s">
        <v>13186</v>
      </c>
      <c r="K116" t="s">
        <v>13301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8" t="s">
        <v>1607</v>
      </c>
      <c r="E117" s="8" t="s">
        <v>8</v>
      </c>
      <c r="F117" s="8"/>
      <c r="H117" s="8"/>
      <c r="I117" s="8" t="s">
        <v>4286</v>
      </c>
      <c r="J117" s="8" t="s">
        <v>13186</v>
      </c>
      <c r="K117" t="s">
        <v>13302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8" t="s">
        <v>1607</v>
      </c>
      <c r="E118" s="8" t="s">
        <v>8</v>
      </c>
      <c r="F118" s="8"/>
      <c r="H118" s="8"/>
      <c r="I118" s="8" t="s">
        <v>4577</v>
      </c>
      <c r="J118" s="8" t="s">
        <v>13186</v>
      </c>
      <c r="K118" t="s">
        <v>13303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8" t="s">
        <v>4</v>
      </c>
      <c r="E119" s="8" t="s">
        <v>9</v>
      </c>
      <c r="F119" s="8"/>
      <c r="H119" s="8"/>
      <c r="I119" s="8" t="s">
        <v>4579</v>
      </c>
      <c r="J119" s="8" t="s">
        <v>13186</v>
      </c>
      <c r="K119" t="s">
        <v>13304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8" t="s">
        <v>685</v>
      </c>
      <c r="E120" s="8"/>
      <c r="F120" s="8"/>
      <c r="H120" s="8"/>
      <c r="I120" s="8" t="s">
        <v>4581</v>
      </c>
      <c r="J120" s="8" t="s">
        <v>13186</v>
      </c>
      <c r="K120" t="s">
        <v>13305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8" t="s">
        <v>685</v>
      </c>
      <c r="E121" s="8"/>
      <c r="F121" s="8"/>
      <c r="H121" s="8"/>
      <c r="I121" s="8" t="s">
        <v>4583</v>
      </c>
      <c r="J121" s="8" t="s">
        <v>13186</v>
      </c>
      <c r="K121" t="s">
        <v>13306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8" t="s">
        <v>684</v>
      </c>
      <c r="E122" s="8" t="s">
        <v>468</v>
      </c>
      <c r="F122" s="8"/>
      <c r="H122" s="8"/>
      <c r="I122" s="8" t="s">
        <v>4585</v>
      </c>
      <c r="J122" s="8" t="s">
        <v>13186</v>
      </c>
      <c r="K122" t="s">
        <v>13307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8" t="s">
        <v>4</v>
      </c>
      <c r="E123" s="8" t="s">
        <v>9</v>
      </c>
      <c r="F123" s="8"/>
      <c r="H123" s="8"/>
      <c r="I123" s="8" t="s">
        <v>4587</v>
      </c>
      <c r="J123" s="8" t="s">
        <v>13186</v>
      </c>
      <c r="K123" t="s">
        <v>13308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8" t="s">
        <v>4</v>
      </c>
      <c r="E124" s="8" t="s">
        <v>9</v>
      </c>
      <c r="F124" s="8"/>
      <c r="H124" s="8" t="s">
        <v>2352</v>
      </c>
      <c r="I124" s="8" t="s">
        <v>4589</v>
      </c>
      <c r="J124" s="8" t="s">
        <v>13186</v>
      </c>
      <c r="K124" t="s">
        <v>13309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8" t="s">
        <v>4</v>
      </c>
      <c r="E125" s="8" t="s">
        <v>9</v>
      </c>
      <c r="F125" s="8"/>
      <c r="H125" s="8" t="s">
        <v>2352</v>
      </c>
      <c r="I125" s="8" t="s">
        <v>4591</v>
      </c>
      <c r="J125" s="8" t="s">
        <v>13186</v>
      </c>
      <c r="K125" t="s">
        <v>13310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8" t="s">
        <v>1607</v>
      </c>
      <c r="E126" s="8" t="s">
        <v>8</v>
      </c>
      <c r="F126" s="8"/>
      <c r="H126" s="8"/>
      <c r="I126" s="8" t="s">
        <v>4593</v>
      </c>
      <c r="J126" s="8" t="s">
        <v>13186</v>
      </c>
      <c r="K126" t="s">
        <v>13311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8" t="s">
        <v>1607</v>
      </c>
      <c r="E127" s="8" t="s">
        <v>8</v>
      </c>
      <c r="F127" s="8"/>
      <c r="H127" s="8"/>
      <c r="I127" s="8" t="s">
        <v>4694</v>
      </c>
      <c r="J127" s="8" t="s">
        <v>13186</v>
      </c>
      <c r="K127" t="s">
        <v>13312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8" t="s">
        <v>1607</v>
      </c>
      <c r="E128" s="8" t="s">
        <v>8</v>
      </c>
      <c r="F128" s="8"/>
      <c r="H128" s="8"/>
      <c r="I128" s="8" t="s">
        <v>4849</v>
      </c>
      <c r="J128" s="8" t="s">
        <v>13186</v>
      </c>
      <c r="K128" t="s">
        <v>13313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8" t="s">
        <v>1607</v>
      </c>
      <c r="E129" s="8" t="s">
        <v>8</v>
      </c>
      <c r="F129" s="8"/>
      <c r="H129" s="8"/>
      <c r="I129" s="8" t="s">
        <v>4957</v>
      </c>
      <c r="J129" s="8" t="s">
        <v>13186</v>
      </c>
      <c r="K129" t="s">
        <v>13314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8" t="s">
        <v>1607</v>
      </c>
      <c r="E130" s="8" t="s">
        <v>8</v>
      </c>
      <c r="F130" s="8"/>
      <c r="H130" s="8"/>
      <c r="I130" s="8" t="s">
        <v>5064</v>
      </c>
      <c r="J130" s="8" t="s">
        <v>13186</v>
      </c>
      <c r="K130" t="s">
        <v>13315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8" t="s">
        <v>1627</v>
      </c>
      <c r="E131" s="8" t="s">
        <v>687</v>
      </c>
      <c r="F131" s="8"/>
      <c r="H131" s="8"/>
      <c r="I131" s="8" t="s">
        <v>5247</v>
      </c>
      <c r="J131" s="8" t="s">
        <v>13186</v>
      </c>
      <c r="K131" t="s">
        <v>13316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8" t="s">
        <v>4</v>
      </c>
      <c r="E132" s="8" t="s">
        <v>9</v>
      </c>
      <c r="F132" s="8"/>
      <c r="H132" s="8"/>
      <c r="I132" s="8" t="s">
        <v>5249</v>
      </c>
      <c r="J132" s="8" t="s">
        <v>13186</v>
      </c>
      <c r="K132" t="s">
        <v>13317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8" t="s">
        <v>1627</v>
      </c>
      <c r="E133" s="8" t="s">
        <v>687</v>
      </c>
      <c r="F133" s="8"/>
      <c r="H133" s="8"/>
      <c r="I133" s="8" t="s">
        <v>5251</v>
      </c>
      <c r="J133" s="8" t="s">
        <v>13186</v>
      </c>
      <c r="K133" t="s">
        <v>13318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8" t="s">
        <v>1627</v>
      </c>
      <c r="E134" s="8" t="s">
        <v>687</v>
      </c>
      <c r="F134" s="8"/>
      <c r="H134" s="8"/>
      <c r="I134" s="8" t="s">
        <v>5253</v>
      </c>
      <c r="J134" s="8" t="s">
        <v>13186</v>
      </c>
      <c r="K134" t="s">
        <v>13319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8" t="s">
        <v>4</v>
      </c>
      <c r="E135" s="8" t="s">
        <v>9</v>
      </c>
      <c r="F135" s="8"/>
      <c r="H135" s="8"/>
      <c r="I135" s="8" t="s">
        <v>5255</v>
      </c>
      <c r="J135" s="8" t="s">
        <v>13186</v>
      </c>
      <c r="K135" t="s">
        <v>13320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8" t="s">
        <v>4</v>
      </c>
      <c r="E136" s="8" t="s">
        <v>9</v>
      </c>
      <c r="F136" s="8"/>
      <c r="H136" s="8"/>
      <c r="I136" s="8" t="s">
        <v>5357</v>
      </c>
      <c r="J136" s="8" t="s">
        <v>13186</v>
      </c>
      <c r="K136" t="s">
        <v>13321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8" t="s">
        <v>1607</v>
      </c>
      <c r="E137" s="8" t="s">
        <v>9</v>
      </c>
      <c r="F137" s="8"/>
      <c r="H137" s="8"/>
      <c r="I137" s="8" t="s">
        <v>5359</v>
      </c>
      <c r="J137" s="8" t="s">
        <v>13186</v>
      </c>
      <c r="K137" t="s">
        <v>13322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8" t="s">
        <v>1607</v>
      </c>
      <c r="E138" s="8" t="s">
        <v>9</v>
      </c>
      <c r="F138" s="8"/>
      <c r="H138" s="8"/>
      <c r="I138" s="8" t="s">
        <v>5525</v>
      </c>
      <c r="J138" s="8" t="s">
        <v>13186</v>
      </c>
      <c r="K138" t="s">
        <v>13323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8" t="s">
        <v>4</v>
      </c>
      <c r="E139" s="8" t="s">
        <v>9</v>
      </c>
      <c r="F139" s="8"/>
      <c r="H139" s="8"/>
      <c r="I139" s="8" t="s">
        <v>5527</v>
      </c>
      <c r="J139" s="8" t="s">
        <v>13186</v>
      </c>
      <c r="K139" t="s">
        <v>13324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8" t="s">
        <v>5694</v>
      </c>
      <c r="E140" s="8"/>
      <c r="F140" s="8"/>
      <c r="H140" s="8"/>
      <c r="I140" s="8" t="s">
        <v>5529</v>
      </c>
      <c r="J140" s="8" t="s">
        <v>13186</v>
      </c>
      <c r="K140" t="s">
        <v>13325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8" t="s">
        <v>884</v>
      </c>
      <c r="E141" s="8" t="s">
        <v>5695</v>
      </c>
      <c r="F141" s="8"/>
      <c r="H141" s="8"/>
      <c r="I141" s="8" t="s">
        <v>5531</v>
      </c>
      <c r="J141" s="8" t="s">
        <v>13186</v>
      </c>
      <c r="K141" t="s">
        <v>13326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8" t="s">
        <v>1607</v>
      </c>
      <c r="E142" s="8" t="s">
        <v>9</v>
      </c>
      <c r="F142" s="8"/>
      <c r="H142" s="8"/>
      <c r="I142" s="8" t="s">
        <v>5533</v>
      </c>
      <c r="J142" s="8" t="s">
        <v>13186</v>
      </c>
      <c r="K142" t="s">
        <v>13327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8" t="s">
        <v>1607</v>
      </c>
      <c r="E143" s="8" t="s">
        <v>9</v>
      </c>
      <c r="F143" s="8"/>
      <c r="H143" s="8"/>
      <c r="I143" s="8" t="s">
        <v>5715</v>
      </c>
      <c r="J143" s="8" t="s">
        <v>13186</v>
      </c>
      <c r="K143" t="s">
        <v>13328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8" t="s">
        <v>1607</v>
      </c>
      <c r="E144" s="8" t="s">
        <v>9</v>
      </c>
      <c r="F144" s="8"/>
      <c r="H144" s="8"/>
      <c r="I144" s="8" t="s">
        <v>5890</v>
      </c>
      <c r="J144" s="8" t="s">
        <v>13186</v>
      </c>
      <c r="K144" t="s">
        <v>13329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8" t="s">
        <v>1607</v>
      </c>
      <c r="E145" s="8" t="s">
        <v>9</v>
      </c>
      <c r="F145" s="8"/>
      <c r="H145" s="8"/>
      <c r="I145" s="8" t="s">
        <v>5892</v>
      </c>
      <c r="J145" s="8" t="s">
        <v>13186</v>
      </c>
      <c r="K145" t="s">
        <v>13330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8" t="s">
        <v>1607</v>
      </c>
      <c r="E146" s="8" t="s">
        <v>9</v>
      </c>
      <c r="F146" s="8"/>
      <c r="H146" s="8"/>
      <c r="I146" s="8" t="s">
        <v>5929</v>
      </c>
      <c r="J146" s="8" t="s">
        <v>13186</v>
      </c>
      <c r="K146" t="s">
        <v>13331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8" t="s">
        <v>1607</v>
      </c>
      <c r="E147" s="8" t="s">
        <v>9</v>
      </c>
      <c r="F147" s="8"/>
      <c r="H147" s="8"/>
      <c r="I147" s="8" t="s">
        <v>5931</v>
      </c>
      <c r="J147" s="8" t="s">
        <v>13186</v>
      </c>
      <c r="K147" t="s">
        <v>13332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8" t="s">
        <v>1607</v>
      </c>
      <c r="E148" s="8" t="s">
        <v>9</v>
      </c>
      <c r="F148" s="8"/>
      <c r="H148" s="8"/>
      <c r="I148" s="8" t="s">
        <v>6293</v>
      </c>
      <c r="J148" s="8" t="s">
        <v>13186</v>
      </c>
      <c r="K148" t="s">
        <v>13333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8" t="s">
        <v>1607</v>
      </c>
      <c r="E149" s="8" t="s">
        <v>9</v>
      </c>
      <c r="F149" s="8"/>
      <c r="H149" s="8"/>
      <c r="I149" s="8" t="s">
        <v>6422</v>
      </c>
      <c r="J149" s="8" t="s">
        <v>13186</v>
      </c>
      <c r="K149" t="s">
        <v>13334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8" t="s">
        <v>1607</v>
      </c>
      <c r="E150" s="8" t="s">
        <v>9</v>
      </c>
      <c r="F150" s="8"/>
      <c r="H150" s="8"/>
      <c r="I150" s="8" t="s">
        <v>6424</v>
      </c>
      <c r="J150" s="8" t="s">
        <v>13186</v>
      </c>
      <c r="K150" t="s">
        <v>13335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8" t="s">
        <v>5694</v>
      </c>
      <c r="E151" s="8"/>
      <c r="F151" s="8"/>
      <c r="H151" s="8"/>
      <c r="I151" s="8" t="s">
        <v>6514</v>
      </c>
      <c r="J151" s="8" t="s">
        <v>13186</v>
      </c>
      <c r="K151" t="s">
        <v>13336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8" t="s">
        <v>884</v>
      </c>
      <c r="E152" s="8" t="s">
        <v>53</v>
      </c>
      <c r="F152" s="8"/>
      <c r="G152">
        <v>5</v>
      </c>
      <c r="H152" s="8"/>
      <c r="I152" s="8" t="s">
        <v>6516</v>
      </c>
      <c r="J152" s="8" t="s">
        <v>13186</v>
      </c>
      <c r="K152" t="s">
        <v>13337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8" t="s">
        <v>4</v>
      </c>
      <c r="E153" s="8" t="s">
        <v>468</v>
      </c>
      <c r="F153" s="8"/>
      <c r="H153" s="8"/>
      <c r="I153" s="8" t="s">
        <v>6518</v>
      </c>
      <c r="J153" s="8" t="s">
        <v>13186</v>
      </c>
      <c r="K153" t="s">
        <v>13338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8" t="s">
        <v>1607</v>
      </c>
      <c r="E154" s="8" t="s">
        <v>9</v>
      </c>
      <c r="F154" s="8"/>
      <c r="H154" s="8"/>
      <c r="I154" s="8" t="s">
        <v>6520</v>
      </c>
      <c r="J154" s="8" t="s">
        <v>13186</v>
      </c>
      <c r="K154" t="s">
        <v>13339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8" t="s">
        <v>1607</v>
      </c>
      <c r="E155" s="8" t="s">
        <v>9</v>
      </c>
      <c r="F155" s="8"/>
      <c r="H155" s="8"/>
      <c r="I155" s="8" t="s">
        <v>6660</v>
      </c>
      <c r="J155" s="8" t="s">
        <v>13186</v>
      </c>
      <c r="K155" t="s">
        <v>13340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8" t="s">
        <v>1607</v>
      </c>
      <c r="E156" s="8" t="s">
        <v>9</v>
      </c>
      <c r="F156" s="8"/>
      <c r="H156" s="8"/>
      <c r="I156" s="8" t="s">
        <v>6522</v>
      </c>
      <c r="J156" s="8" t="s">
        <v>13186</v>
      </c>
      <c r="K156" t="s">
        <v>13341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8" t="s">
        <v>1607</v>
      </c>
      <c r="E157" s="8" t="s">
        <v>9</v>
      </c>
      <c r="F157" s="8"/>
      <c r="H157" s="8"/>
      <c r="I157" s="8" t="s">
        <v>6728</v>
      </c>
      <c r="J157" s="8" t="s">
        <v>13186</v>
      </c>
      <c r="K157" t="s">
        <v>13342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8" t="s">
        <v>1607</v>
      </c>
      <c r="E158" s="8" t="s">
        <v>9</v>
      </c>
      <c r="F158" s="8"/>
      <c r="H158" s="8"/>
      <c r="I158" s="8" t="s">
        <v>6730</v>
      </c>
      <c r="J158" s="8" t="s">
        <v>13186</v>
      </c>
      <c r="K158" t="s">
        <v>13343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8" t="s">
        <v>1607</v>
      </c>
      <c r="E159" s="8" t="s">
        <v>9</v>
      </c>
      <c r="F159" s="8"/>
      <c r="H159" s="8"/>
      <c r="I159" s="8" t="s">
        <v>6732</v>
      </c>
      <c r="J159" s="8" t="s">
        <v>13186</v>
      </c>
      <c r="K159" t="s">
        <v>13344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8" t="s">
        <v>1607</v>
      </c>
      <c r="E160" s="8" t="s">
        <v>9</v>
      </c>
      <c r="F160" s="8"/>
      <c r="H160" s="8"/>
      <c r="I160" s="8" t="s">
        <v>6879</v>
      </c>
      <c r="J160" s="8" t="s">
        <v>13186</v>
      </c>
      <c r="K160" t="s">
        <v>13345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8" t="s">
        <v>1607</v>
      </c>
      <c r="E161" s="8" t="s">
        <v>9</v>
      </c>
      <c r="F161" s="8"/>
      <c r="H161" s="8"/>
      <c r="I161" s="8" t="s">
        <v>6881</v>
      </c>
      <c r="J161" s="8" t="s">
        <v>13186</v>
      </c>
      <c r="K161" t="s">
        <v>13346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8" t="s">
        <v>1607</v>
      </c>
      <c r="E162" s="8" t="s">
        <v>9</v>
      </c>
      <c r="F162" s="8"/>
      <c r="H162" s="8"/>
      <c r="I162" s="8" t="s">
        <v>6883</v>
      </c>
      <c r="J162" s="8" t="s">
        <v>13186</v>
      </c>
      <c r="K162" t="s">
        <v>13347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8" t="s">
        <v>1607</v>
      </c>
      <c r="E163" s="8" t="s">
        <v>9</v>
      </c>
      <c r="F163" s="8"/>
      <c r="H163" s="8"/>
      <c r="I163" s="8" t="s">
        <v>6885</v>
      </c>
      <c r="J163" s="8" t="s">
        <v>13186</v>
      </c>
      <c r="K163" t="s">
        <v>13348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8" t="s">
        <v>1607</v>
      </c>
      <c r="E164" s="8" t="s">
        <v>9</v>
      </c>
      <c r="F164" s="8"/>
      <c r="H164" s="8"/>
      <c r="I164" s="8" t="s">
        <v>6887</v>
      </c>
      <c r="J164" s="8" t="s">
        <v>13186</v>
      </c>
      <c r="K164" t="s">
        <v>13349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8" t="s">
        <v>1607</v>
      </c>
      <c r="E165" s="8" t="s">
        <v>9</v>
      </c>
      <c r="F165" s="8"/>
      <c r="H165" s="8"/>
      <c r="I165" s="8" t="s">
        <v>6889</v>
      </c>
      <c r="J165" s="8" t="s">
        <v>13186</v>
      </c>
      <c r="K165" t="s">
        <v>13350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8" t="s">
        <v>1607</v>
      </c>
      <c r="E166" s="8" t="s">
        <v>7066</v>
      </c>
      <c r="F166" s="8"/>
      <c r="H166" s="8"/>
      <c r="I166" s="8" t="s">
        <v>6891</v>
      </c>
      <c r="J166" s="8" t="s">
        <v>13186</v>
      </c>
      <c r="K166" t="s">
        <v>13351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8" t="s">
        <v>1607</v>
      </c>
      <c r="E167" s="8" t="s">
        <v>4393</v>
      </c>
      <c r="F167" s="8"/>
      <c r="H167" s="8"/>
      <c r="I167" s="8" t="s">
        <v>7203</v>
      </c>
      <c r="J167" s="8" t="s">
        <v>13186</v>
      </c>
      <c r="K167" t="s">
        <v>13352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8" t="s">
        <v>4</v>
      </c>
      <c r="E168" s="8" t="s">
        <v>9</v>
      </c>
      <c r="F168" s="8"/>
      <c r="H168" s="8"/>
      <c r="I168" s="8" t="s">
        <v>7205</v>
      </c>
      <c r="J168" s="8" t="s">
        <v>13186</v>
      </c>
      <c r="K168" t="s">
        <v>13353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8" t="s">
        <v>684</v>
      </c>
      <c r="E169" s="8" t="s">
        <v>1274</v>
      </c>
      <c r="F169" s="8"/>
      <c r="H169" s="8"/>
      <c r="I169" s="8" t="s">
        <v>7207</v>
      </c>
      <c r="J169" s="8" t="s">
        <v>13186</v>
      </c>
      <c r="K169" t="s">
        <v>13354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8" t="s">
        <v>1627</v>
      </c>
      <c r="E170" s="8" t="s">
        <v>687</v>
      </c>
      <c r="F170" s="8"/>
      <c r="H170" s="8"/>
      <c r="I170" s="8" t="s">
        <v>7209</v>
      </c>
      <c r="J170" s="8" t="s">
        <v>13186</v>
      </c>
      <c r="K170" t="s">
        <v>13355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8" t="s">
        <v>7352</v>
      </c>
      <c r="E171" s="8" t="s">
        <v>7353</v>
      </c>
      <c r="F171" s="8"/>
      <c r="H171" s="8"/>
      <c r="I171" s="8" t="s">
        <v>7211</v>
      </c>
      <c r="J171" s="8" t="s">
        <v>13186</v>
      </c>
      <c r="K171" t="s">
        <v>13356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8" t="s">
        <v>1627</v>
      </c>
      <c r="E172" s="8" t="s">
        <v>687</v>
      </c>
      <c r="F172" s="8"/>
      <c r="H172" s="8"/>
      <c r="I172" s="8" t="s">
        <v>7213</v>
      </c>
      <c r="J172" s="8" t="s">
        <v>13186</v>
      </c>
      <c r="K172" t="s">
        <v>13357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8" t="s">
        <v>1627</v>
      </c>
      <c r="E173" s="8" t="s">
        <v>687</v>
      </c>
      <c r="F173" s="8"/>
      <c r="H173" s="8" t="s">
        <v>2352</v>
      </c>
      <c r="I173" s="8" t="s">
        <v>7215</v>
      </c>
      <c r="J173" s="8" t="s">
        <v>13186</v>
      </c>
      <c r="K173" t="s">
        <v>13358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8" t="s">
        <v>4</v>
      </c>
      <c r="E174" s="8" t="s">
        <v>9</v>
      </c>
      <c r="F174" s="8"/>
      <c r="H174" s="8"/>
      <c r="I174" s="8" t="s">
        <v>7217</v>
      </c>
      <c r="J174" s="8" t="s">
        <v>13186</v>
      </c>
      <c r="K174" t="s">
        <v>13359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8" t="s">
        <v>4</v>
      </c>
      <c r="E175" s="8" t="s">
        <v>9</v>
      </c>
      <c r="F175" s="8"/>
      <c r="H175" s="8"/>
      <c r="I175" s="8" t="s">
        <v>7219</v>
      </c>
      <c r="J175" s="8" t="s">
        <v>13186</v>
      </c>
      <c r="K175" t="s">
        <v>13360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8" t="s">
        <v>4</v>
      </c>
      <c r="E176" s="8" t="s">
        <v>9</v>
      </c>
      <c r="F176" s="8"/>
      <c r="H176" s="8"/>
      <c r="I176" s="8" t="s">
        <v>7410</v>
      </c>
      <c r="J176" s="8" t="s">
        <v>13186</v>
      </c>
      <c r="K176" t="s">
        <v>13361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8" t="s">
        <v>4</v>
      </c>
      <c r="E177" s="8" t="s">
        <v>9</v>
      </c>
      <c r="F177" s="8"/>
      <c r="H177" s="8" t="s">
        <v>2352</v>
      </c>
      <c r="I177" s="8" t="s">
        <v>7412</v>
      </c>
      <c r="J177" s="8" t="s">
        <v>13186</v>
      </c>
      <c r="K177" t="s">
        <v>13362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8" t="s">
        <v>7531</v>
      </c>
      <c r="E178" s="8" t="s">
        <v>1274</v>
      </c>
      <c r="F178" s="8"/>
      <c r="H178" s="8"/>
      <c r="I178" s="8" t="s">
        <v>7414</v>
      </c>
      <c r="J178" s="8" t="s">
        <v>13186</v>
      </c>
      <c r="K178" t="s">
        <v>13363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8" t="s">
        <v>7531</v>
      </c>
      <c r="E179" s="8" t="s">
        <v>1274</v>
      </c>
      <c r="F179" s="8"/>
      <c r="H179" s="8" t="s">
        <v>2352</v>
      </c>
      <c r="I179" s="8" t="s">
        <v>7416</v>
      </c>
      <c r="J179" s="8" t="s">
        <v>13186</v>
      </c>
      <c r="K179" t="s">
        <v>13364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8" t="s">
        <v>7531</v>
      </c>
      <c r="E180" s="8" t="s">
        <v>1274</v>
      </c>
      <c r="F180" s="8"/>
      <c r="H180" s="8" t="s">
        <v>2352</v>
      </c>
      <c r="I180" s="8" t="s">
        <v>7418</v>
      </c>
      <c r="J180" s="8" t="s">
        <v>13186</v>
      </c>
      <c r="K180" t="s">
        <v>13365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8" t="s">
        <v>1627</v>
      </c>
      <c r="E181" s="8" t="s">
        <v>687</v>
      </c>
      <c r="F181" s="8"/>
      <c r="H181" s="8"/>
      <c r="I181" s="8" t="s">
        <v>7420</v>
      </c>
      <c r="J181" s="8" t="s">
        <v>13186</v>
      </c>
      <c r="K181" t="s">
        <v>13366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8" t="s">
        <v>4</v>
      </c>
      <c r="E182" s="8" t="s">
        <v>9</v>
      </c>
      <c r="F182" s="8"/>
      <c r="H182" s="8"/>
      <c r="I182" s="8" t="s">
        <v>7532</v>
      </c>
      <c r="J182" s="8" t="s">
        <v>13186</v>
      </c>
      <c r="K182" t="s">
        <v>13367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8" t="s">
        <v>1627</v>
      </c>
      <c r="E183" s="8" t="s">
        <v>687</v>
      </c>
      <c r="F183" s="8"/>
      <c r="H183" s="8"/>
      <c r="I183" s="8" t="s">
        <v>7534</v>
      </c>
      <c r="J183" s="8" t="s">
        <v>13186</v>
      </c>
      <c r="K183" t="s">
        <v>13368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8" t="s">
        <v>1627</v>
      </c>
      <c r="E184" s="8" t="s">
        <v>687</v>
      </c>
      <c r="F184" s="8"/>
      <c r="H184" s="8"/>
      <c r="I184" s="8" t="s">
        <v>7536</v>
      </c>
      <c r="J184" s="8" t="s">
        <v>13186</v>
      </c>
      <c r="K184" t="s">
        <v>13369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8" t="s">
        <v>7531</v>
      </c>
      <c r="E185" s="8" t="s">
        <v>1274</v>
      </c>
      <c r="F185" s="8"/>
      <c r="H185" s="8"/>
      <c r="I185" s="8" t="s">
        <v>7538</v>
      </c>
      <c r="J185" s="8" t="s">
        <v>13186</v>
      </c>
      <c r="K185" t="s">
        <v>13370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8" t="s">
        <v>1627</v>
      </c>
      <c r="E186" s="8" t="s">
        <v>687</v>
      </c>
      <c r="F186" s="8"/>
      <c r="H186" s="8"/>
      <c r="I186" s="8" t="s">
        <v>7540</v>
      </c>
      <c r="J186" s="8" t="s">
        <v>13186</v>
      </c>
      <c r="K186" t="s">
        <v>13371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8" t="s">
        <v>1627</v>
      </c>
      <c r="E187" s="8" t="s">
        <v>687</v>
      </c>
      <c r="F187" s="8"/>
      <c r="H187" s="8"/>
      <c r="I187" s="8" t="s">
        <v>7542</v>
      </c>
      <c r="J187" s="8" t="s">
        <v>13186</v>
      </c>
      <c r="K187" t="s">
        <v>13372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8" t="s">
        <v>7531</v>
      </c>
      <c r="E188" s="8" t="s">
        <v>1274</v>
      </c>
      <c r="F188" s="8"/>
      <c r="H188" s="8"/>
      <c r="I188" s="8" t="s">
        <v>7544</v>
      </c>
      <c r="J188" s="8" t="s">
        <v>13186</v>
      </c>
      <c r="K188" t="s">
        <v>13373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8" t="s">
        <v>1627</v>
      </c>
      <c r="E189" s="8" t="s">
        <v>687</v>
      </c>
      <c r="F189" s="8"/>
      <c r="H189" s="8"/>
      <c r="I189" s="8" t="s">
        <v>7546</v>
      </c>
      <c r="J189" s="8" t="s">
        <v>13186</v>
      </c>
      <c r="K189" t="s">
        <v>13374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8" t="s">
        <v>1627</v>
      </c>
      <c r="E190" s="8" t="s">
        <v>687</v>
      </c>
      <c r="F190" s="8"/>
      <c r="H190" s="8"/>
      <c r="I190" s="8" t="s">
        <v>7548</v>
      </c>
      <c r="J190" s="8" t="s">
        <v>13186</v>
      </c>
      <c r="K190" t="s">
        <v>13375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8" t="s">
        <v>7562</v>
      </c>
      <c r="E191" s="8" t="s">
        <v>468</v>
      </c>
      <c r="F191" s="8"/>
      <c r="H191" s="8"/>
      <c r="I191" s="8" t="s">
        <v>7550</v>
      </c>
      <c r="J191" s="8" t="s">
        <v>13186</v>
      </c>
      <c r="K191" t="s">
        <v>13376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8" t="s">
        <v>7531</v>
      </c>
      <c r="E192" s="8" t="s">
        <v>1274</v>
      </c>
      <c r="F192" s="8"/>
      <c r="H192" s="8"/>
      <c r="I192" s="8" t="s">
        <v>7552</v>
      </c>
      <c r="J192" s="8" t="s">
        <v>13186</v>
      </c>
      <c r="K192" t="s">
        <v>13377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8" t="s">
        <v>7531</v>
      </c>
      <c r="E193" s="8" t="s">
        <v>1274</v>
      </c>
      <c r="F193" s="8"/>
      <c r="H193" s="8"/>
      <c r="I193" s="8" t="s">
        <v>7554</v>
      </c>
      <c r="J193" s="8" t="s">
        <v>13186</v>
      </c>
      <c r="K193" t="s">
        <v>13378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8" t="s">
        <v>7531</v>
      </c>
      <c r="E194" s="8" t="s">
        <v>1274</v>
      </c>
      <c r="F194" s="8"/>
      <c r="H194" s="8"/>
      <c r="I194" s="8" t="s">
        <v>7556</v>
      </c>
      <c r="J194" s="8" t="s">
        <v>13186</v>
      </c>
      <c r="K194" t="s">
        <v>13379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8" t="s">
        <v>1627</v>
      </c>
      <c r="E195" s="8" t="s">
        <v>687</v>
      </c>
      <c r="F195" s="8"/>
      <c r="H195" s="8"/>
      <c r="I195" s="8" t="s">
        <v>7558</v>
      </c>
      <c r="J195" s="8" t="s">
        <v>13186</v>
      </c>
      <c r="K195" t="s">
        <v>13380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8" t="s">
        <v>7531</v>
      </c>
      <c r="E196" s="8" t="s">
        <v>1274</v>
      </c>
      <c r="F196" s="8"/>
      <c r="H196" s="8"/>
      <c r="I196" s="8" t="s">
        <v>7560</v>
      </c>
      <c r="J196" s="8" t="s">
        <v>13186</v>
      </c>
      <c r="K196" t="s">
        <v>13381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8" t="s">
        <v>7531</v>
      </c>
      <c r="E197" s="8" t="s">
        <v>1274</v>
      </c>
      <c r="F197" s="8"/>
      <c r="H197" s="8"/>
      <c r="I197" s="8" t="s">
        <v>7685</v>
      </c>
      <c r="J197" s="8" t="s">
        <v>13186</v>
      </c>
      <c r="K197" t="s">
        <v>13382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8" t="s">
        <v>4</v>
      </c>
      <c r="E198" s="8" t="s">
        <v>9</v>
      </c>
      <c r="F198" s="8"/>
      <c r="H198" s="8"/>
      <c r="I198" s="8" t="s">
        <v>7687</v>
      </c>
      <c r="J198" s="8" t="s">
        <v>13186</v>
      </c>
      <c r="K198" t="s">
        <v>13383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8" t="s">
        <v>7531</v>
      </c>
      <c r="E199" s="8" t="s">
        <v>1274</v>
      </c>
      <c r="F199" s="8"/>
      <c r="H199" s="8"/>
      <c r="I199" s="8" t="s">
        <v>7689</v>
      </c>
      <c r="J199" s="8" t="s">
        <v>13186</v>
      </c>
      <c r="K199" t="s">
        <v>13384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8" t="s">
        <v>1627</v>
      </c>
      <c r="E200" s="8" t="s">
        <v>687</v>
      </c>
      <c r="F200" s="8"/>
      <c r="H200" s="8"/>
      <c r="I200" s="8" t="s">
        <v>7691</v>
      </c>
      <c r="J200" s="8" t="s">
        <v>13186</v>
      </c>
      <c r="K200" t="s">
        <v>13385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8" t="s">
        <v>4</v>
      </c>
      <c r="E201" s="8" t="s">
        <v>9</v>
      </c>
      <c r="F201" s="8"/>
      <c r="H201" s="8"/>
      <c r="I201" s="8" t="s">
        <v>7693</v>
      </c>
      <c r="J201" s="8" t="s">
        <v>13186</v>
      </c>
      <c r="K201" t="s">
        <v>13386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8" t="s">
        <v>7531</v>
      </c>
      <c r="E202" s="8" t="s">
        <v>1274</v>
      </c>
      <c r="F202" s="8"/>
      <c r="H202" s="8"/>
      <c r="I202" s="8" t="s">
        <v>7789</v>
      </c>
      <c r="J202" s="8" t="s">
        <v>13186</v>
      </c>
      <c r="K202" t="s">
        <v>13387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8" t="s">
        <v>7531</v>
      </c>
      <c r="E203" s="8" t="s">
        <v>1274</v>
      </c>
      <c r="F203" s="8"/>
      <c r="H203" s="8"/>
      <c r="I203" s="8" t="s">
        <v>7791</v>
      </c>
      <c r="J203" s="8" t="s">
        <v>13186</v>
      </c>
      <c r="K203" t="s">
        <v>13388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8" t="s">
        <v>7531</v>
      </c>
      <c r="E204" s="8" t="s">
        <v>1274</v>
      </c>
      <c r="F204" s="8"/>
      <c r="H204" s="8"/>
      <c r="I204" s="8" t="s">
        <v>7793</v>
      </c>
      <c r="J204" s="8" t="s">
        <v>13186</v>
      </c>
      <c r="K204" t="s">
        <v>13389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8" t="s">
        <v>1627</v>
      </c>
      <c r="E205" s="8" t="s">
        <v>687</v>
      </c>
      <c r="F205" s="8"/>
      <c r="H205" s="8"/>
      <c r="I205" s="8" t="s">
        <v>7795</v>
      </c>
      <c r="J205" s="8" t="s">
        <v>13186</v>
      </c>
      <c r="K205" t="s">
        <v>13390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8" t="s">
        <v>1627</v>
      </c>
      <c r="E206" s="8" t="s">
        <v>687</v>
      </c>
      <c r="F206" s="8"/>
      <c r="H206" s="8"/>
      <c r="I206" s="8" t="s">
        <v>7797</v>
      </c>
      <c r="J206" s="8" t="s">
        <v>13186</v>
      </c>
      <c r="K206" t="s">
        <v>13391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8" t="s">
        <v>1627</v>
      </c>
      <c r="E207" s="8" t="s">
        <v>687</v>
      </c>
      <c r="F207" s="8"/>
      <c r="H207" s="8"/>
      <c r="I207" s="8" t="s">
        <v>7799</v>
      </c>
      <c r="J207" s="8" t="s">
        <v>13186</v>
      </c>
      <c r="K207" t="s">
        <v>13392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8" t="s">
        <v>7531</v>
      </c>
      <c r="E208" s="8" t="s">
        <v>1274</v>
      </c>
      <c r="F208" s="8"/>
      <c r="H208" s="8"/>
      <c r="I208" s="8" t="s">
        <v>7801</v>
      </c>
      <c r="J208" s="8" t="s">
        <v>13186</v>
      </c>
      <c r="K208" t="s">
        <v>13393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8" t="s">
        <v>4</v>
      </c>
      <c r="E209" s="8" t="s">
        <v>9</v>
      </c>
      <c r="F209" s="8"/>
      <c r="H209" s="8"/>
      <c r="I209" s="8" t="s">
        <v>7803</v>
      </c>
      <c r="J209" s="8" t="s">
        <v>13186</v>
      </c>
      <c r="K209" t="s">
        <v>13394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8" t="s">
        <v>7531</v>
      </c>
      <c r="E210" s="8" t="s">
        <v>1274</v>
      </c>
      <c r="F210" s="8"/>
      <c r="H210" s="8"/>
      <c r="I210" s="8" t="s">
        <v>7805</v>
      </c>
      <c r="J210" s="8" t="s">
        <v>13186</v>
      </c>
      <c r="K210" t="s">
        <v>13395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8" t="s">
        <v>1627</v>
      </c>
      <c r="E211" s="8" t="s">
        <v>687</v>
      </c>
      <c r="F211" s="8"/>
      <c r="H211" s="8"/>
      <c r="I211" s="8" t="s">
        <v>7807</v>
      </c>
      <c r="J211" s="8" t="s">
        <v>13186</v>
      </c>
      <c r="K211" t="s">
        <v>13396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8" t="s">
        <v>7531</v>
      </c>
      <c r="E212" s="8" t="s">
        <v>1274</v>
      </c>
      <c r="F212" s="8"/>
      <c r="H212" s="8"/>
      <c r="I212" s="8" t="s">
        <v>7809</v>
      </c>
      <c r="J212" s="8" t="s">
        <v>13186</v>
      </c>
      <c r="K212" t="s">
        <v>13397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8" t="s">
        <v>7531</v>
      </c>
      <c r="E213" s="8" t="s">
        <v>1274</v>
      </c>
      <c r="F213" s="8"/>
      <c r="H213" s="8"/>
      <c r="I213" s="8" t="s">
        <v>7811</v>
      </c>
      <c r="J213" s="8" t="s">
        <v>13186</v>
      </c>
      <c r="K213" t="s">
        <v>13398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8" t="s">
        <v>7531</v>
      </c>
      <c r="E214" s="8" t="s">
        <v>1274</v>
      </c>
      <c r="F214" s="8"/>
      <c r="H214" s="8"/>
      <c r="I214" s="8" t="s">
        <v>7813</v>
      </c>
      <c r="J214" s="8" t="s">
        <v>13186</v>
      </c>
      <c r="K214" t="s">
        <v>13399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8" t="s">
        <v>7562</v>
      </c>
      <c r="E215" s="8" t="s">
        <v>468</v>
      </c>
      <c r="F215" s="8"/>
      <c r="H215" s="8"/>
      <c r="I215" s="8" t="s">
        <v>7815</v>
      </c>
      <c r="J215" s="8" t="s">
        <v>13186</v>
      </c>
      <c r="K215" t="s">
        <v>13400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8" t="s">
        <v>7531</v>
      </c>
      <c r="E216" s="8" t="s">
        <v>1274</v>
      </c>
      <c r="F216" s="8"/>
      <c r="H216" s="8"/>
      <c r="I216" s="8" t="s">
        <v>7817</v>
      </c>
      <c r="J216" s="8" t="s">
        <v>13186</v>
      </c>
      <c r="K216" t="s">
        <v>13401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8" t="s">
        <v>7531</v>
      </c>
      <c r="E217" s="8" t="s">
        <v>1274</v>
      </c>
      <c r="F217" s="8"/>
      <c r="H217" s="8"/>
      <c r="I217" s="8" t="s">
        <v>7819</v>
      </c>
      <c r="J217" s="8" t="s">
        <v>13186</v>
      </c>
      <c r="K217" t="s">
        <v>13402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8" t="s">
        <v>1627</v>
      </c>
      <c r="E218" s="8" t="s">
        <v>687</v>
      </c>
      <c r="F218" s="8"/>
      <c r="H218" s="8"/>
      <c r="I218" s="8" t="s">
        <v>7821</v>
      </c>
      <c r="J218" s="8" t="s">
        <v>13186</v>
      </c>
      <c r="K218" t="s">
        <v>13403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8" t="s">
        <v>1627</v>
      </c>
      <c r="E219" s="8" t="s">
        <v>687</v>
      </c>
      <c r="F219" s="8"/>
      <c r="H219" s="8"/>
      <c r="I219" s="8" t="s">
        <v>7823</v>
      </c>
      <c r="J219" s="8" t="s">
        <v>13186</v>
      </c>
      <c r="K219" t="s">
        <v>13404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8" t="s">
        <v>1627</v>
      </c>
      <c r="E220" s="8" t="s">
        <v>687</v>
      </c>
      <c r="F220" s="8"/>
      <c r="H220" s="8"/>
      <c r="I220" s="8" t="s">
        <v>7979</v>
      </c>
      <c r="J220" s="8" t="s">
        <v>13186</v>
      </c>
      <c r="K220" t="s">
        <v>13405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8" t="s">
        <v>1627</v>
      </c>
      <c r="E221" s="8" t="s">
        <v>687</v>
      </c>
      <c r="F221" s="8"/>
      <c r="H221" s="8"/>
      <c r="I221" s="8" t="s">
        <v>7981</v>
      </c>
      <c r="J221" s="8" t="s">
        <v>13186</v>
      </c>
      <c r="K221" t="s">
        <v>13406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8" t="s">
        <v>1627</v>
      </c>
      <c r="E222" s="8" t="s">
        <v>687</v>
      </c>
      <c r="F222" s="8"/>
      <c r="H222" s="8"/>
      <c r="I222" s="8" t="s">
        <v>7983</v>
      </c>
      <c r="J222" s="8" t="s">
        <v>13186</v>
      </c>
      <c r="K222" t="s">
        <v>13407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8" t="s">
        <v>7531</v>
      </c>
      <c r="E223" s="8" t="s">
        <v>1274</v>
      </c>
      <c r="F223" s="8"/>
      <c r="H223" s="8"/>
      <c r="I223" s="8" t="s">
        <v>7985</v>
      </c>
      <c r="J223" s="8" t="s">
        <v>13186</v>
      </c>
      <c r="K223" t="s">
        <v>13408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8" t="s">
        <v>7531</v>
      </c>
      <c r="E224" s="8" t="s">
        <v>1274</v>
      </c>
      <c r="F224" s="8"/>
      <c r="H224" s="8"/>
      <c r="I224" s="8" t="s">
        <v>7987</v>
      </c>
      <c r="J224" s="8" t="s">
        <v>13186</v>
      </c>
      <c r="K224" t="s">
        <v>13409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8" t="s">
        <v>7531</v>
      </c>
      <c r="E225" s="8" t="s">
        <v>1274</v>
      </c>
      <c r="F225" s="8"/>
      <c r="H225" s="8"/>
      <c r="I225" s="8" t="s">
        <v>7989</v>
      </c>
      <c r="J225" s="8" t="s">
        <v>13186</v>
      </c>
      <c r="K225" t="s">
        <v>13410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8" t="s">
        <v>7531</v>
      </c>
      <c r="E226" s="8" t="s">
        <v>1274</v>
      </c>
      <c r="F226" s="8"/>
      <c r="H226" s="8"/>
      <c r="I226" s="8" t="s">
        <v>7991</v>
      </c>
      <c r="J226" s="8" t="s">
        <v>13186</v>
      </c>
      <c r="K226" t="s">
        <v>13411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8" t="s">
        <v>7531</v>
      </c>
      <c r="E227" s="8" t="s">
        <v>1274</v>
      </c>
      <c r="F227" s="8"/>
      <c r="H227" s="8"/>
      <c r="I227" s="8" t="s">
        <v>7993</v>
      </c>
      <c r="J227" s="8" t="s">
        <v>13186</v>
      </c>
      <c r="K227" t="s">
        <v>13412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8" t="s">
        <v>7531</v>
      </c>
      <c r="E228" s="8" t="s">
        <v>1274</v>
      </c>
      <c r="F228" s="8"/>
      <c r="H228" s="8"/>
      <c r="I228" s="8" t="s">
        <v>7995</v>
      </c>
      <c r="J228" s="8" t="s">
        <v>13186</v>
      </c>
      <c r="K228" t="s">
        <v>13413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8" t="s">
        <v>1627</v>
      </c>
      <c r="E229" s="8" t="s">
        <v>687</v>
      </c>
      <c r="F229" s="8"/>
      <c r="H229" s="8"/>
      <c r="I229" s="8" t="s">
        <v>7997</v>
      </c>
      <c r="J229" s="8" t="s">
        <v>13186</v>
      </c>
      <c r="K229" t="s">
        <v>13414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8" t="s">
        <v>7562</v>
      </c>
      <c r="E230" s="8" t="s">
        <v>468</v>
      </c>
      <c r="F230" s="8"/>
      <c r="H230" s="8"/>
      <c r="I230" s="8" t="s">
        <v>7999</v>
      </c>
      <c r="J230" s="8" t="s">
        <v>13186</v>
      </c>
      <c r="K230" t="s">
        <v>13415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8" t="s">
        <v>4</v>
      </c>
      <c r="E231" s="8" t="s">
        <v>9</v>
      </c>
      <c r="F231" s="8"/>
      <c r="H231" s="8"/>
      <c r="I231" s="8" t="s">
        <v>8001</v>
      </c>
      <c r="J231" s="8" t="s">
        <v>13186</v>
      </c>
      <c r="K231" t="s">
        <v>13416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8" t="s">
        <v>1627</v>
      </c>
      <c r="E232" s="8" t="s">
        <v>687</v>
      </c>
      <c r="F232" s="8"/>
      <c r="H232" s="8"/>
      <c r="I232" s="8" t="s">
        <v>8003</v>
      </c>
      <c r="J232" s="8" t="s">
        <v>13186</v>
      </c>
      <c r="K232" t="s">
        <v>13417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8" t="s">
        <v>7531</v>
      </c>
      <c r="E233" s="8" t="s">
        <v>1274</v>
      </c>
      <c r="F233" s="8"/>
      <c r="H233" s="8"/>
      <c r="I233" s="8" t="s">
        <v>8301</v>
      </c>
      <c r="J233" s="8" t="s">
        <v>13186</v>
      </c>
      <c r="K233" t="s">
        <v>13418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8" t="s">
        <v>7531</v>
      </c>
      <c r="E234" s="8" t="s">
        <v>1274</v>
      </c>
      <c r="F234" s="8"/>
      <c r="H234" s="8"/>
      <c r="I234" s="8" t="s">
        <v>8303</v>
      </c>
      <c r="J234" s="8" t="s">
        <v>13186</v>
      </c>
      <c r="K234" t="s">
        <v>13419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8" t="s">
        <v>4</v>
      </c>
      <c r="E235" s="8" t="s">
        <v>9</v>
      </c>
      <c r="F235" s="8"/>
      <c r="H235" s="8"/>
      <c r="I235" s="8" t="s">
        <v>8305</v>
      </c>
      <c r="J235" s="8" t="s">
        <v>13186</v>
      </c>
      <c r="K235" t="s">
        <v>13420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8" t="s">
        <v>7531</v>
      </c>
      <c r="E236" s="8" t="s">
        <v>1274</v>
      </c>
      <c r="F236" s="8"/>
      <c r="H236" s="8"/>
      <c r="I236" s="8" t="s">
        <v>8307</v>
      </c>
      <c r="J236" s="8" t="s">
        <v>13186</v>
      </c>
      <c r="K236" t="s">
        <v>13421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8" t="s">
        <v>7531</v>
      </c>
      <c r="E237" s="8" t="s">
        <v>1274</v>
      </c>
      <c r="F237" s="8"/>
      <c r="H237" s="8"/>
      <c r="I237" s="8" t="s">
        <v>8309</v>
      </c>
      <c r="J237" s="8" t="s">
        <v>13186</v>
      </c>
      <c r="K237" t="s">
        <v>13422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8" t="s">
        <v>4</v>
      </c>
      <c r="E238" s="8" t="s">
        <v>9</v>
      </c>
      <c r="F238" s="8"/>
      <c r="H238" s="8"/>
      <c r="I238" s="8" t="s">
        <v>8311</v>
      </c>
      <c r="J238" s="8" t="s">
        <v>13186</v>
      </c>
      <c r="K238" t="s">
        <v>13423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8" t="s">
        <v>7531</v>
      </c>
      <c r="E239" s="8" t="s">
        <v>1274</v>
      </c>
      <c r="F239" s="8"/>
      <c r="H239" s="8"/>
      <c r="I239" s="8" t="s">
        <v>8383</v>
      </c>
      <c r="J239" s="8" t="s">
        <v>13186</v>
      </c>
      <c r="K239" t="s">
        <v>13424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8" t="s">
        <v>7531</v>
      </c>
      <c r="E240" s="8" t="s">
        <v>1274</v>
      </c>
      <c r="F240" s="8"/>
      <c r="H240" s="8"/>
      <c r="I240" s="8" t="s">
        <v>8385</v>
      </c>
      <c r="J240" s="8" t="s">
        <v>13186</v>
      </c>
      <c r="K240" t="s">
        <v>13425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8" t="s">
        <v>4</v>
      </c>
      <c r="E241" s="8" t="s">
        <v>9</v>
      </c>
      <c r="F241" s="8"/>
      <c r="H241" s="8"/>
      <c r="I241" s="8" t="s">
        <v>8387</v>
      </c>
      <c r="J241" s="8" t="s">
        <v>13186</v>
      </c>
      <c r="K241" t="s">
        <v>13426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8" t="s">
        <v>7531</v>
      </c>
      <c r="E242" s="8" t="s">
        <v>1274</v>
      </c>
      <c r="F242" s="8"/>
      <c r="H242" s="8"/>
      <c r="I242" s="8" t="s">
        <v>8472</v>
      </c>
      <c r="J242" s="8" t="s">
        <v>13186</v>
      </c>
      <c r="K242" t="s">
        <v>13427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8" t="s">
        <v>7531</v>
      </c>
      <c r="E243" s="8" t="s">
        <v>1274</v>
      </c>
      <c r="F243" s="8"/>
      <c r="H243" s="8" t="s">
        <v>2352</v>
      </c>
      <c r="I243" s="8" t="s">
        <v>8474</v>
      </c>
      <c r="J243" s="8" t="s">
        <v>13186</v>
      </c>
      <c r="K243" t="s">
        <v>13428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8" t="s">
        <v>7531</v>
      </c>
      <c r="E244" s="8" t="s">
        <v>1274</v>
      </c>
      <c r="F244" s="8"/>
      <c r="H244" s="8" t="s">
        <v>2352</v>
      </c>
      <c r="I244" s="8" t="s">
        <v>8476</v>
      </c>
      <c r="J244" s="8" t="s">
        <v>13186</v>
      </c>
      <c r="K244" t="s">
        <v>13429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8" t="s">
        <v>7531</v>
      </c>
      <c r="E245" s="8" t="s">
        <v>1274</v>
      </c>
      <c r="F245" s="8"/>
      <c r="H245" s="8" t="s">
        <v>2352</v>
      </c>
      <c r="I245" s="8" t="s">
        <v>8478</v>
      </c>
      <c r="J245" s="8" t="s">
        <v>13186</v>
      </c>
      <c r="K245" t="s">
        <v>13430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8" t="s">
        <v>7531</v>
      </c>
      <c r="E246" s="8" t="s">
        <v>1274</v>
      </c>
      <c r="F246" s="8"/>
      <c r="H246" s="8" t="s">
        <v>2352</v>
      </c>
      <c r="I246" s="8" t="s">
        <v>8480</v>
      </c>
      <c r="J246" s="8" t="s">
        <v>13186</v>
      </c>
      <c r="K246" t="s">
        <v>13431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8" t="s">
        <v>7531</v>
      </c>
      <c r="E247" s="8" t="s">
        <v>1274</v>
      </c>
      <c r="F247" s="8"/>
      <c r="H247" s="8" t="s">
        <v>2352</v>
      </c>
      <c r="I247" s="8" t="s">
        <v>8482</v>
      </c>
      <c r="J247" s="8" t="s">
        <v>13186</v>
      </c>
      <c r="K247" t="s">
        <v>13432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8" t="s">
        <v>7531</v>
      </c>
      <c r="E248" s="8" t="s">
        <v>1274</v>
      </c>
      <c r="F248" s="8"/>
      <c r="H248" s="8" t="s">
        <v>2352</v>
      </c>
      <c r="I248" s="8" t="s">
        <v>8484</v>
      </c>
      <c r="J248" s="8" t="s">
        <v>13186</v>
      </c>
      <c r="K248" t="s">
        <v>13433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8" t="s">
        <v>8718</v>
      </c>
      <c r="E249" s="8" t="s">
        <v>687</v>
      </c>
      <c r="F249" s="8"/>
      <c r="H249" s="8"/>
      <c r="I249" s="8" t="s">
        <v>8610</v>
      </c>
      <c r="J249" s="8" t="s">
        <v>13186</v>
      </c>
      <c r="K249" t="s">
        <v>13434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8" t="s">
        <v>8718</v>
      </c>
      <c r="E250" s="8" t="s">
        <v>687</v>
      </c>
      <c r="F250" s="8"/>
      <c r="H250" s="8"/>
      <c r="I250" s="8" t="s">
        <v>8612</v>
      </c>
      <c r="J250" s="8" t="s">
        <v>13186</v>
      </c>
      <c r="K250" t="s">
        <v>13435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8" t="s">
        <v>1627</v>
      </c>
      <c r="E251" s="8" t="s">
        <v>687</v>
      </c>
      <c r="F251" s="8"/>
      <c r="H251" s="8"/>
      <c r="I251" s="8" t="s">
        <v>8614</v>
      </c>
      <c r="J251" s="8" t="s">
        <v>13186</v>
      </c>
      <c r="K251" t="s">
        <v>13436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8" t="s">
        <v>8718</v>
      </c>
      <c r="E252" s="8" t="s">
        <v>687</v>
      </c>
      <c r="F252" s="8"/>
      <c r="H252" s="8"/>
      <c r="I252" s="8" t="s">
        <v>8616</v>
      </c>
      <c r="J252" s="8" t="s">
        <v>13186</v>
      </c>
      <c r="K252" t="s">
        <v>13437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8" t="s">
        <v>1627</v>
      </c>
      <c r="E253" s="8" t="s">
        <v>687</v>
      </c>
      <c r="F253" s="8"/>
      <c r="H253" s="8"/>
      <c r="I253" s="8" t="s">
        <v>8618</v>
      </c>
      <c r="J253" s="8" t="s">
        <v>13186</v>
      </c>
      <c r="K253" t="s">
        <v>13438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8" t="s">
        <v>1627</v>
      </c>
      <c r="E254" s="8" t="s">
        <v>687</v>
      </c>
      <c r="F254" s="8"/>
      <c r="H254" s="8"/>
      <c r="I254" s="8" t="s">
        <v>8620</v>
      </c>
      <c r="J254" s="8" t="s">
        <v>13186</v>
      </c>
      <c r="K254" t="s">
        <v>13439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8" t="s">
        <v>1627</v>
      </c>
      <c r="E255" s="8" t="s">
        <v>687</v>
      </c>
      <c r="F255" s="8"/>
      <c r="H255" s="8"/>
      <c r="I255" s="8" t="s">
        <v>8622</v>
      </c>
      <c r="J255" s="8" t="s">
        <v>13186</v>
      </c>
      <c r="K255" t="s">
        <v>13440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8" t="s">
        <v>7531</v>
      </c>
      <c r="E256" s="8" t="s">
        <v>1274</v>
      </c>
      <c r="F256" s="8"/>
      <c r="H256" s="8"/>
      <c r="I256" s="8" t="s">
        <v>8624</v>
      </c>
      <c r="J256" s="8" t="s">
        <v>13186</v>
      </c>
      <c r="K256" t="s">
        <v>13441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8" t="s">
        <v>1627</v>
      </c>
      <c r="E257" s="8" t="s">
        <v>687</v>
      </c>
      <c r="F257" s="8"/>
      <c r="H257" s="8"/>
      <c r="I257" s="8" t="s">
        <v>8626</v>
      </c>
      <c r="J257" s="8" t="s">
        <v>13186</v>
      </c>
      <c r="K257" t="s">
        <v>13442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8" t="s">
        <v>7531</v>
      </c>
      <c r="E258" s="8" t="s">
        <v>1274</v>
      </c>
      <c r="F258" s="8"/>
      <c r="H258" s="8"/>
      <c r="I258" s="8" t="s">
        <v>8628</v>
      </c>
      <c r="J258" s="8" t="s">
        <v>13186</v>
      </c>
      <c r="K258" t="s">
        <v>13443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8" t="s">
        <v>7531</v>
      </c>
      <c r="E259" s="8" t="s">
        <v>1274</v>
      </c>
      <c r="F259" s="8"/>
      <c r="H259" s="8"/>
      <c r="I259" s="8" t="s">
        <v>8630</v>
      </c>
      <c r="J259" s="8" t="s">
        <v>13186</v>
      </c>
      <c r="K259" t="s">
        <v>13444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8" t="s">
        <v>1627</v>
      </c>
      <c r="E260" s="8" t="s">
        <v>687</v>
      </c>
      <c r="F260" s="8"/>
      <c r="H260" s="8"/>
      <c r="I260" s="8" t="s">
        <v>8632</v>
      </c>
      <c r="J260" s="8" t="s">
        <v>13186</v>
      </c>
      <c r="K260" t="s">
        <v>13445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8" t="s">
        <v>1627</v>
      </c>
      <c r="E261" s="8" t="s">
        <v>687</v>
      </c>
      <c r="F261" s="8"/>
      <c r="H261" s="8"/>
      <c r="I261" s="8" t="s">
        <v>8634</v>
      </c>
      <c r="J261" s="8" t="s">
        <v>13186</v>
      </c>
      <c r="K261" t="s">
        <v>13446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8" t="s">
        <v>4</v>
      </c>
      <c r="E262" s="8" t="s">
        <v>9</v>
      </c>
      <c r="F262" s="8"/>
      <c r="H262" s="8"/>
      <c r="I262" s="8" t="s">
        <v>8747</v>
      </c>
      <c r="J262" s="8" t="s">
        <v>13186</v>
      </c>
      <c r="K262" t="s">
        <v>13447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8" t="s">
        <v>7531</v>
      </c>
      <c r="E263" s="8" t="s">
        <v>1274</v>
      </c>
      <c r="F263" s="8"/>
      <c r="H263" s="8"/>
      <c r="I263" s="8" t="s">
        <v>8749</v>
      </c>
      <c r="J263" s="8" t="s">
        <v>13186</v>
      </c>
      <c r="K263" t="s">
        <v>13448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8" t="s">
        <v>8718</v>
      </c>
      <c r="E264" s="8" t="s">
        <v>687</v>
      </c>
      <c r="F264" s="8"/>
      <c r="H264" s="8"/>
      <c r="I264" s="8" t="s">
        <v>8751</v>
      </c>
      <c r="J264" s="8" t="s">
        <v>13186</v>
      </c>
      <c r="K264" t="s">
        <v>13449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8" t="s">
        <v>1627</v>
      </c>
      <c r="E265" s="8" t="s">
        <v>687</v>
      </c>
      <c r="F265" s="8"/>
      <c r="H265" s="8"/>
      <c r="I265" s="8" t="s">
        <v>8753</v>
      </c>
      <c r="J265" s="8" t="s">
        <v>13186</v>
      </c>
      <c r="K265" t="s">
        <v>13450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8" t="s">
        <v>8718</v>
      </c>
      <c r="E266" s="8" t="s">
        <v>687</v>
      </c>
      <c r="F266" s="8"/>
      <c r="H266" s="8"/>
      <c r="I266" s="8" t="s">
        <v>8755</v>
      </c>
      <c r="J266" s="8" t="s">
        <v>13186</v>
      </c>
      <c r="K266" t="s">
        <v>13451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8" t="s">
        <v>1627</v>
      </c>
      <c r="E267" s="8" t="s">
        <v>687</v>
      </c>
      <c r="F267" s="8"/>
      <c r="H267" s="8"/>
      <c r="I267" s="8" t="s">
        <v>8757</v>
      </c>
      <c r="J267" s="8" t="s">
        <v>13186</v>
      </c>
      <c r="K267" t="s">
        <v>13452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8" t="s">
        <v>8718</v>
      </c>
      <c r="E268" s="8" t="s">
        <v>687</v>
      </c>
      <c r="F268" s="8"/>
      <c r="H268" s="8"/>
      <c r="I268" s="8" t="s">
        <v>8759</v>
      </c>
      <c r="J268" s="8" t="s">
        <v>13186</v>
      </c>
      <c r="K268" t="s">
        <v>13453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8" t="s">
        <v>1627</v>
      </c>
      <c r="E269" s="8" t="s">
        <v>687</v>
      </c>
      <c r="F269" s="8"/>
      <c r="H269" s="8"/>
      <c r="I269" s="8" t="s">
        <v>8761</v>
      </c>
      <c r="J269" s="8" t="s">
        <v>13186</v>
      </c>
      <c r="K269" t="s">
        <v>13454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8" t="s">
        <v>7562</v>
      </c>
      <c r="E270" s="8" t="s">
        <v>1274</v>
      </c>
      <c r="F270" s="8"/>
      <c r="H270" s="8"/>
      <c r="I270" s="8" t="s">
        <v>8838</v>
      </c>
      <c r="J270" s="8" t="s">
        <v>13186</v>
      </c>
      <c r="K270" t="s">
        <v>13455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8" t="s">
        <v>1627</v>
      </c>
      <c r="E271" s="8" t="s">
        <v>687</v>
      </c>
      <c r="F271" s="8"/>
      <c r="H271" s="8"/>
      <c r="I271" s="8" t="s">
        <v>8840</v>
      </c>
      <c r="J271" s="8" t="s">
        <v>13186</v>
      </c>
      <c r="K271" t="s">
        <v>13456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8" t="s">
        <v>1627</v>
      </c>
      <c r="E272" s="8" t="s">
        <v>687</v>
      </c>
      <c r="F272" s="8"/>
      <c r="H272" s="8"/>
      <c r="I272" s="8" t="s">
        <v>8976</v>
      </c>
      <c r="J272" s="8" t="s">
        <v>13186</v>
      </c>
      <c r="K272" t="s">
        <v>13457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8" t="s">
        <v>7531</v>
      </c>
      <c r="E273" s="8" t="s">
        <v>1274</v>
      </c>
      <c r="F273" s="8"/>
      <c r="H273" s="8"/>
      <c r="I273" s="8" t="s">
        <v>8978</v>
      </c>
      <c r="J273" s="8" t="s">
        <v>13186</v>
      </c>
      <c r="K273" t="s">
        <v>13458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8" t="s">
        <v>7531</v>
      </c>
      <c r="E274" s="8" t="s">
        <v>1274</v>
      </c>
      <c r="F274" s="8"/>
      <c r="H274" s="8"/>
      <c r="I274" s="8" t="s">
        <v>8980</v>
      </c>
      <c r="J274" s="8" t="s">
        <v>13186</v>
      </c>
      <c r="K274" t="s">
        <v>13459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8" t="s">
        <v>7531</v>
      </c>
      <c r="E275" s="8" t="s">
        <v>1274</v>
      </c>
      <c r="F275" s="8"/>
      <c r="H275" s="8"/>
      <c r="I275" s="8" t="s">
        <v>8982</v>
      </c>
      <c r="J275" s="8" t="s">
        <v>13186</v>
      </c>
      <c r="K275" t="s">
        <v>13460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8" t="s">
        <v>4</v>
      </c>
      <c r="E276" s="8" t="s">
        <v>9</v>
      </c>
      <c r="F276" s="8"/>
      <c r="H276" s="8"/>
      <c r="I276" s="8" t="s">
        <v>8984</v>
      </c>
      <c r="J276" s="8" t="s">
        <v>13186</v>
      </c>
      <c r="K276" t="s">
        <v>13461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8" t="s">
        <v>7531</v>
      </c>
      <c r="E277" s="8" t="s">
        <v>1274</v>
      </c>
      <c r="F277" s="8"/>
      <c r="H277" s="8"/>
      <c r="I277" s="8" t="s">
        <v>8986</v>
      </c>
      <c r="J277" s="8" t="s">
        <v>13186</v>
      </c>
      <c r="K277" t="s">
        <v>13462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8" t="s">
        <v>1627</v>
      </c>
      <c r="E278" s="8" t="s">
        <v>687</v>
      </c>
      <c r="F278" s="8"/>
      <c r="H278" s="8"/>
      <c r="I278" s="8" t="s">
        <v>8988</v>
      </c>
      <c r="J278" s="8" t="s">
        <v>13186</v>
      </c>
      <c r="K278" t="s">
        <v>13463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8" t="s">
        <v>7531</v>
      </c>
      <c r="E279" s="8" t="s">
        <v>1274</v>
      </c>
      <c r="F279" s="8"/>
      <c r="H279" s="8"/>
      <c r="I279" s="8" t="s">
        <v>8990</v>
      </c>
      <c r="J279" s="8" t="s">
        <v>13186</v>
      </c>
      <c r="K279" t="s">
        <v>13464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8" t="s">
        <v>1627</v>
      </c>
      <c r="E280" s="8" t="s">
        <v>687</v>
      </c>
      <c r="F280" s="8"/>
      <c r="H280" s="8"/>
      <c r="I280" s="8" t="s">
        <v>8992</v>
      </c>
      <c r="J280" s="8" t="s">
        <v>13186</v>
      </c>
      <c r="K280" t="s">
        <v>13465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8" t="s">
        <v>7531</v>
      </c>
      <c r="E281" s="8" t="s">
        <v>1274</v>
      </c>
      <c r="F281" s="8"/>
      <c r="H281" s="8"/>
      <c r="I281" s="8" t="s">
        <v>9290</v>
      </c>
      <c r="J281" s="8" t="s">
        <v>13186</v>
      </c>
      <c r="K281" t="s">
        <v>13466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8" t="s">
        <v>1627</v>
      </c>
      <c r="E282" s="8" t="s">
        <v>687</v>
      </c>
      <c r="F282" s="8"/>
      <c r="H282" s="8"/>
      <c r="I282" s="8" t="s">
        <v>9292</v>
      </c>
      <c r="J282" s="8" t="s">
        <v>13186</v>
      </c>
      <c r="K282" t="s">
        <v>13467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8" t="s">
        <v>7531</v>
      </c>
      <c r="E283" s="8" t="s">
        <v>1274</v>
      </c>
      <c r="F283" s="8"/>
      <c r="H283" s="8"/>
      <c r="I283" s="8" t="s">
        <v>9294</v>
      </c>
      <c r="J283" s="8" t="s">
        <v>13186</v>
      </c>
      <c r="K283" t="s">
        <v>13468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8" t="s">
        <v>1627</v>
      </c>
      <c r="E284" s="8" t="s">
        <v>687</v>
      </c>
      <c r="F284" s="8"/>
      <c r="H284" s="8"/>
      <c r="I284" s="8" t="s">
        <v>9296</v>
      </c>
      <c r="J284" s="8" t="s">
        <v>13186</v>
      </c>
      <c r="K284" t="s">
        <v>13469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8" t="s">
        <v>1627</v>
      </c>
      <c r="E285" s="8" t="s">
        <v>687</v>
      </c>
      <c r="F285" s="8"/>
      <c r="H285" s="8"/>
      <c r="I285" s="8" t="s">
        <v>9298</v>
      </c>
      <c r="J285" s="8" t="s">
        <v>13186</v>
      </c>
      <c r="K285" t="s">
        <v>13470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8" t="s">
        <v>4</v>
      </c>
      <c r="E286" s="8" t="s">
        <v>9</v>
      </c>
      <c r="F286" s="8"/>
      <c r="H286" s="8"/>
      <c r="I286" s="8" t="s">
        <v>9300</v>
      </c>
      <c r="J286" s="8" t="s">
        <v>13186</v>
      </c>
      <c r="K286" t="s">
        <v>13471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8" t="s">
        <v>4</v>
      </c>
      <c r="E287" s="8" t="s">
        <v>9</v>
      </c>
      <c r="F287" s="8"/>
      <c r="H287" s="8"/>
      <c r="I287" s="8" t="s">
        <v>9356</v>
      </c>
      <c r="J287" s="8" t="s">
        <v>13186</v>
      </c>
      <c r="K287" t="s">
        <v>13472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8" t="s">
        <v>1627</v>
      </c>
      <c r="E288" s="8" t="s">
        <v>687</v>
      </c>
      <c r="F288" s="8"/>
      <c r="H288" s="8"/>
      <c r="I288" s="8" t="s">
        <v>9358</v>
      </c>
      <c r="J288" s="8" t="s">
        <v>13186</v>
      </c>
      <c r="K288" t="s">
        <v>13473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8" t="s">
        <v>1627</v>
      </c>
      <c r="E289" s="8" t="s">
        <v>687</v>
      </c>
      <c r="F289" s="8"/>
      <c r="H289" s="8"/>
      <c r="I289" s="8" t="s">
        <v>9360</v>
      </c>
      <c r="J289" s="8" t="s">
        <v>13186</v>
      </c>
      <c r="K289" t="s">
        <v>13474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8" t="s">
        <v>1627</v>
      </c>
      <c r="E290" s="8" t="s">
        <v>687</v>
      </c>
      <c r="F290" s="8"/>
      <c r="H290" s="8"/>
      <c r="I290" s="8" t="s">
        <v>9362</v>
      </c>
      <c r="J290" s="8" t="s">
        <v>13186</v>
      </c>
      <c r="K290" t="s">
        <v>13475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8" t="s">
        <v>1627</v>
      </c>
      <c r="E291" s="8" t="s">
        <v>687</v>
      </c>
      <c r="F291" s="8"/>
      <c r="H291" s="8"/>
      <c r="I291" s="8" t="s">
        <v>10725</v>
      </c>
      <c r="J291" s="8" t="s">
        <v>13186</v>
      </c>
      <c r="K291" t="s">
        <v>13476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8" t="s">
        <v>3386</v>
      </c>
      <c r="E292" s="8" t="s">
        <v>86</v>
      </c>
      <c r="F292" s="8" t="s">
        <v>11075</v>
      </c>
      <c r="H292" s="8"/>
      <c r="I292" s="8" t="s">
        <v>10727</v>
      </c>
      <c r="J292" s="8" t="s">
        <v>13186</v>
      </c>
      <c r="K292" t="s">
        <v>13477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8" t="s">
        <v>4</v>
      </c>
      <c r="E293" s="8" t="s">
        <v>9</v>
      </c>
      <c r="F293" s="8"/>
      <c r="H293" s="8"/>
      <c r="I293" s="8" t="s">
        <v>10729</v>
      </c>
      <c r="J293" s="8" t="s">
        <v>13186</v>
      </c>
      <c r="K293" t="s">
        <v>13478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8" t="s">
        <v>4</v>
      </c>
      <c r="E294" s="8" t="s">
        <v>11076</v>
      </c>
      <c r="F294" s="8"/>
      <c r="H294" s="8"/>
      <c r="I294" s="8" t="s">
        <v>10731</v>
      </c>
      <c r="J294" s="8" t="s">
        <v>13186</v>
      </c>
      <c r="K294" t="s">
        <v>13479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8" t="s">
        <v>4</v>
      </c>
      <c r="E295" s="8" t="s">
        <v>6157</v>
      </c>
      <c r="F295" s="8"/>
      <c r="H295" s="8"/>
      <c r="I295" s="8" t="s">
        <v>10733</v>
      </c>
      <c r="J295" s="8" t="s">
        <v>13186</v>
      </c>
      <c r="K295" t="s">
        <v>13480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8" t="s">
        <v>4</v>
      </c>
      <c r="E296" s="8" t="s">
        <v>6157</v>
      </c>
      <c r="F296" s="8"/>
      <c r="H296" s="8"/>
      <c r="I296" s="8" t="s">
        <v>10735</v>
      </c>
      <c r="J296" s="8" t="s">
        <v>13186</v>
      </c>
      <c r="K296" t="s">
        <v>13481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8" t="s">
        <v>4</v>
      </c>
      <c r="E297" s="8" t="s">
        <v>6157</v>
      </c>
      <c r="F297" s="8"/>
      <c r="H297" s="8"/>
      <c r="I297" s="8" t="s">
        <v>10737</v>
      </c>
      <c r="J297" s="8" t="s">
        <v>13186</v>
      </c>
      <c r="K297" t="s">
        <v>13482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8" t="s">
        <v>4</v>
      </c>
      <c r="E298" s="8" t="s">
        <v>6157</v>
      </c>
      <c r="F298" s="8"/>
      <c r="H298" s="8"/>
      <c r="I298" s="8" t="s">
        <v>10739</v>
      </c>
      <c r="J298" s="8" t="s">
        <v>13186</v>
      </c>
      <c r="K298" t="s">
        <v>13483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8" t="s">
        <v>4</v>
      </c>
      <c r="E299" s="8" t="s">
        <v>468</v>
      </c>
      <c r="F299" s="8"/>
      <c r="H299" s="8"/>
      <c r="I299" s="8" t="s">
        <v>10741</v>
      </c>
      <c r="J299" s="8" t="s">
        <v>13186</v>
      </c>
      <c r="K299" t="s">
        <v>13484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8" t="s">
        <v>4</v>
      </c>
      <c r="E300" s="8" t="s">
        <v>13896</v>
      </c>
      <c r="F300" s="8"/>
      <c r="H300" s="8"/>
      <c r="I300" s="8" t="s">
        <v>13851</v>
      </c>
      <c r="J300" s="8" t="s">
        <v>13186</v>
      </c>
      <c r="K300" t="s">
        <v>13852</v>
      </c>
      <c r="L300" t="s">
        <v>13853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8" t="s">
        <v>1607</v>
      </c>
      <c r="E301" s="8" t="s">
        <v>6157</v>
      </c>
      <c r="F301" s="8"/>
      <c r="H301" s="8"/>
      <c r="I301" s="8" t="s">
        <v>13854</v>
      </c>
      <c r="J301" s="8" t="s">
        <v>13186</v>
      </c>
      <c r="K301" t="s">
        <v>13855</v>
      </c>
      <c r="L301" t="s">
        <v>13856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8" t="s">
        <v>587</v>
      </c>
      <c r="E302" s="8" t="s">
        <v>86</v>
      </c>
      <c r="F302" s="8"/>
      <c r="H302" s="8"/>
      <c r="I302" s="8" t="s">
        <v>13857</v>
      </c>
      <c r="J302" s="8" t="s">
        <v>13186</v>
      </c>
      <c r="K302" t="s">
        <v>13858</v>
      </c>
      <c r="L302" t="s">
        <v>13859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8" t="s">
        <v>1607</v>
      </c>
      <c r="E303" s="8" t="s">
        <v>6157</v>
      </c>
      <c r="F303" s="8"/>
      <c r="H303" s="8"/>
      <c r="I303" s="8" t="s">
        <v>13860</v>
      </c>
      <c r="J303" s="8" t="s">
        <v>13186</v>
      </c>
      <c r="K303" t="s">
        <v>13861</v>
      </c>
      <c r="L303" t="s">
        <v>13862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8" t="s">
        <v>7354</v>
      </c>
      <c r="E304" s="8" t="s">
        <v>1274</v>
      </c>
      <c r="F304" s="8"/>
      <c r="H304" s="8"/>
      <c r="I304" s="8" t="s">
        <v>13863</v>
      </c>
      <c r="J304" s="8" t="s">
        <v>13186</v>
      </c>
      <c r="K304" t="s">
        <v>13864</v>
      </c>
      <c r="L304" t="s">
        <v>13865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8" t="s">
        <v>1273</v>
      </c>
      <c r="E305" s="8" t="s">
        <v>86</v>
      </c>
      <c r="F305" s="8"/>
      <c r="H305" s="8"/>
      <c r="I305" s="8" t="s">
        <v>13866</v>
      </c>
      <c r="J305" s="8" t="s">
        <v>13186</v>
      </c>
      <c r="K305" t="s">
        <v>13867</v>
      </c>
      <c r="L305" t="s">
        <v>13868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8" t="s">
        <v>1607</v>
      </c>
      <c r="E306" s="8" t="s">
        <v>6157</v>
      </c>
      <c r="F306" s="8"/>
      <c r="H306" s="8"/>
      <c r="I306" s="8" t="s">
        <v>13869</v>
      </c>
      <c r="J306" s="8" t="s">
        <v>13186</v>
      </c>
      <c r="K306" t="s">
        <v>13870</v>
      </c>
      <c r="L306" t="s">
        <v>13871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8" t="s">
        <v>1607</v>
      </c>
      <c r="E307" s="8" t="s">
        <v>6157</v>
      </c>
      <c r="F307" s="8"/>
      <c r="H307" s="8"/>
      <c r="I307" s="8" t="s">
        <v>13872</v>
      </c>
      <c r="J307" s="8" t="s">
        <v>13186</v>
      </c>
      <c r="K307" t="s">
        <v>13873</v>
      </c>
      <c r="L307" t="s">
        <v>13874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8" t="s">
        <v>587</v>
      </c>
      <c r="E308" s="8" t="s">
        <v>86</v>
      </c>
      <c r="F308" s="8"/>
      <c r="H308" s="8"/>
      <c r="I308" s="8" t="s">
        <v>13875</v>
      </c>
      <c r="J308" s="8" t="s">
        <v>13186</v>
      </c>
      <c r="K308" t="s">
        <v>13876</v>
      </c>
      <c r="L308" t="s">
        <v>13877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8" t="s">
        <v>7354</v>
      </c>
      <c r="E309" s="8" t="s">
        <v>1274</v>
      </c>
      <c r="F309" s="8"/>
      <c r="H309" s="8"/>
      <c r="I309" s="8" t="s">
        <v>13878</v>
      </c>
      <c r="J309" s="8" t="s">
        <v>13186</v>
      </c>
      <c r="K309" t="s">
        <v>13879</v>
      </c>
      <c r="L309" t="s">
        <v>13880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8" t="s">
        <v>7354</v>
      </c>
      <c r="E310" s="8" t="s">
        <v>1274</v>
      </c>
      <c r="F310" s="8"/>
      <c r="H310" s="8"/>
      <c r="I310" s="8" t="s">
        <v>13881</v>
      </c>
      <c r="J310" s="8" t="s">
        <v>13186</v>
      </c>
      <c r="K310" t="s">
        <v>13882</v>
      </c>
      <c r="L310" t="s">
        <v>13883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8" t="s">
        <v>1273</v>
      </c>
      <c r="E311" s="8" t="s">
        <v>86</v>
      </c>
      <c r="F311" s="8"/>
      <c r="H311" s="8"/>
      <c r="I311" s="8" t="s">
        <v>13884</v>
      </c>
      <c r="J311" s="8" t="s">
        <v>13186</v>
      </c>
      <c r="K311" t="s">
        <v>13885</v>
      </c>
      <c r="L311" t="s">
        <v>13886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8" t="s">
        <v>4</v>
      </c>
      <c r="E312" s="8" t="s">
        <v>13896</v>
      </c>
      <c r="F312" s="8"/>
      <c r="H312" s="8"/>
      <c r="I312" s="8" t="s">
        <v>13887</v>
      </c>
      <c r="J312" s="8" t="s">
        <v>13186</v>
      </c>
      <c r="K312" t="s">
        <v>13888</v>
      </c>
      <c r="L312" t="s">
        <v>13889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8" t="s">
        <v>7354</v>
      </c>
      <c r="E313" s="8" t="s">
        <v>1274</v>
      </c>
      <c r="F313" s="8"/>
      <c r="H313" s="8"/>
      <c r="I313" s="8" t="s">
        <v>13890</v>
      </c>
      <c r="J313" s="8" t="s">
        <v>13186</v>
      </c>
      <c r="K313" t="s">
        <v>13891</v>
      </c>
      <c r="L313" t="s">
        <v>13892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8" t="s">
        <v>13897</v>
      </c>
      <c r="E314" s="8" t="s">
        <v>1274</v>
      </c>
      <c r="F314" s="8"/>
      <c r="H314" s="8"/>
      <c r="I314" s="8" t="s">
        <v>13893</v>
      </c>
      <c r="J314" s="8" t="s">
        <v>13186</v>
      </c>
      <c r="K314" t="s">
        <v>13894</v>
      </c>
      <c r="L314" t="s">
        <v>13895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8" t="s">
        <v>1607</v>
      </c>
      <c r="E315" s="8" t="s">
        <v>6157</v>
      </c>
      <c r="F315" s="8"/>
      <c r="H315" s="8"/>
      <c r="I315" s="8" t="s">
        <v>13928</v>
      </c>
      <c r="J315" s="8" t="s">
        <v>13186</v>
      </c>
      <c r="K315" t="s">
        <v>13929</v>
      </c>
      <c r="L315" t="s">
        <v>13930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8" t="s">
        <v>1607</v>
      </c>
      <c r="E316" s="8" t="s">
        <v>6157</v>
      </c>
      <c r="F316" s="8"/>
      <c r="H316" s="8"/>
      <c r="I316" s="8" t="s">
        <v>13931</v>
      </c>
      <c r="J316" s="8" t="s">
        <v>13186</v>
      </c>
      <c r="K316" t="s">
        <v>13932</v>
      </c>
      <c r="L316" t="s">
        <v>13933</v>
      </c>
      <c r="M316" s="2" t="str">
        <f>HYPERLINK(склад2въезд1319202122[[#This Row],[RelativePath]])</f>
        <v>8 Ангар вход\GA3948333_1_20260301T170547Z.jpg</v>
      </c>
    </row>
  </sheetData>
  <conditionalFormatting sqref="D317:D327 E317:E330 G2:H316 D2:E316">
    <cfRule type="containsText" dxfId="819" priority="14" operator="containsText" text="Выезд с территории">
      <formula>NOT(ISERROR(SEARCH("Выезд с территории",D2)))</formula>
    </cfRule>
  </conditionalFormatting>
  <conditionalFormatting sqref="F2:F316">
    <cfRule type="notContainsText" dxfId="818" priority="13" operator="notContains" text="порожний">
      <formula>ISERROR(SEARCH("порожний",F2))</formula>
    </cfRule>
  </conditionalFormatting>
  <conditionalFormatting sqref="E2:E330">
    <cfRule type="containsText" dxfId="817" priority="11" operator="containsText" text="Газель базы">
      <formula>NOT(ISERROR(SEARCH("Газель базы",E2)))</formula>
    </cfRule>
    <cfRule type="containsText" dxfId="816" priority="12" operator="containsText" text="Погрузчик базы">
      <formula>NOT(ISERROR(SEARCH("Погрузчик базы",E2)))</formula>
    </cfRule>
  </conditionalFormatting>
  <conditionalFormatting sqref="E2:E330">
    <cfRule type="containsText" dxfId="815" priority="10" operator="containsText" text="Трактор базы">
      <formula>NOT(ISERROR(SEARCH("Трактор базы",E2)))</formula>
    </cfRule>
  </conditionalFormatting>
  <conditionalFormatting sqref="A2:C316">
    <cfRule type="expression" dxfId="814" priority="9">
      <formula>$A2="пн"</formula>
    </cfRule>
  </conditionalFormatting>
  <conditionalFormatting sqref="A2:C318">
    <cfRule type="expression" dxfId="813" priority="3">
      <formula>$A2="вс"</formula>
    </cfRule>
    <cfRule type="expression" dxfId="812" priority="4">
      <formula>$A2="сб"</formula>
    </cfRule>
    <cfRule type="expression" dxfId="811" priority="5">
      <formula>$A2="пт"</formula>
    </cfRule>
    <cfRule type="expression" dxfId="810" priority="6">
      <formula>$A2="чт"</formula>
    </cfRule>
    <cfRule type="expression" dxfId="809" priority="7">
      <formula>$A2="ср"</formula>
    </cfRule>
    <cfRule type="expression" dxfId="808" priority="8">
      <formula>$A2="вт"</formula>
    </cfRule>
  </conditionalFormatting>
  <conditionalFormatting sqref="D2:D327">
    <cfRule type="containsText" dxfId="8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7">
    <cfRule type="containsText" dxfId="8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626"/>
  <sheetViews>
    <sheetView zoomScale="90" zoomScaleNormal="90" workbookViewId="0">
      <pane ySplit="1" topLeftCell="A613" activePane="bottomLeft" state="frozen"/>
      <selection pane="bottomLeft" activeCell="I624" sqref="I624:I62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8" t="s">
        <v>4</v>
      </c>
      <c r="E2" s="8" t="s">
        <v>9</v>
      </c>
      <c r="F2" s="8"/>
      <c r="H2" s="8"/>
      <c r="I2" s="8" t="s">
        <v>688</v>
      </c>
      <c r="J2" s="8" t="s">
        <v>11087</v>
      </c>
      <c r="K2" t="s">
        <v>11088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8" t="s">
        <v>884</v>
      </c>
      <c r="E3" s="8" t="s">
        <v>890</v>
      </c>
      <c r="F3" s="8"/>
      <c r="H3" s="8"/>
      <c r="I3" s="8" t="s">
        <v>690</v>
      </c>
      <c r="J3" s="8" t="s">
        <v>11087</v>
      </c>
      <c r="K3" t="s">
        <v>11089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8" t="s">
        <v>684</v>
      </c>
      <c r="E4" s="8" t="s">
        <v>468</v>
      </c>
      <c r="F4" s="8"/>
      <c r="H4" s="8"/>
      <c r="I4" s="8" t="s">
        <v>692</v>
      </c>
      <c r="J4" s="8" t="s">
        <v>11087</v>
      </c>
      <c r="K4" t="s">
        <v>11090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8" t="s">
        <v>684</v>
      </c>
      <c r="E5" s="8" t="s">
        <v>468</v>
      </c>
      <c r="F5" s="8"/>
      <c r="H5" s="8"/>
      <c r="I5" s="8" t="s">
        <v>694</v>
      </c>
      <c r="J5" s="8" t="s">
        <v>11087</v>
      </c>
      <c r="K5" t="s">
        <v>11091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8" t="s">
        <v>4</v>
      </c>
      <c r="E6" s="8" t="s">
        <v>9</v>
      </c>
      <c r="F6" s="8"/>
      <c r="H6" s="8"/>
      <c r="I6" s="8" t="s">
        <v>696</v>
      </c>
      <c r="J6" s="8" t="s">
        <v>11087</v>
      </c>
      <c r="K6" t="s">
        <v>11092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8" t="s">
        <v>891</v>
      </c>
      <c r="E7" s="8" t="s">
        <v>468</v>
      </c>
      <c r="F7" s="8"/>
      <c r="H7" s="8"/>
      <c r="I7" s="8" t="s">
        <v>698</v>
      </c>
      <c r="J7" s="8" t="s">
        <v>11087</v>
      </c>
      <c r="K7" t="s">
        <v>11093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8" t="s">
        <v>226</v>
      </c>
      <c r="E8" s="8" t="s">
        <v>892</v>
      </c>
      <c r="F8" s="8"/>
      <c r="H8" s="8"/>
      <c r="I8" s="8" t="s">
        <v>700</v>
      </c>
      <c r="J8" s="8" t="s">
        <v>11087</v>
      </c>
      <c r="K8" t="s">
        <v>11094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8" t="s">
        <v>4</v>
      </c>
      <c r="E9" s="8" t="s">
        <v>9</v>
      </c>
      <c r="F9" s="8"/>
      <c r="H9" s="8"/>
      <c r="I9" s="8" t="s">
        <v>702</v>
      </c>
      <c r="J9" s="8" t="s">
        <v>11087</v>
      </c>
      <c r="K9" t="s">
        <v>11095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8" t="s">
        <v>4</v>
      </c>
      <c r="E10" s="8" t="s">
        <v>9</v>
      </c>
      <c r="F10" s="8"/>
      <c r="H10" s="8"/>
      <c r="I10" s="8" t="s">
        <v>704</v>
      </c>
      <c r="J10" s="8" t="s">
        <v>11087</v>
      </c>
      <c r="K10" t="s">
        <v>11096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8" t="s">
        <v>4</v>
      </c>
      <c r="E11" s="8" t="s">
        <v>9</v>
      </c>
      <c r="F11" s="8"/>
      <c r="H11" s="8"/>
      <c r="I11" s="8" t="s">
        <v>706</v>
      </c>
      <c r="J11" s="8" t="s">
        <v>11087</v>
      </c>
      <c r="K11" t="s">
        <v>11097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8" t="s">
        <v>1627</v>
      </c>
      <c r="E12" s="8" t="s">
        <v>1058</v>
      </c>
      <c r="F12" s="8"/>
      <c r="H12" s="8"/>
      <c r="I12" s="8" t="s">
        <v>708</v>
      </c>
      <c r="J12" s="8" t="s">
        <v>11087</v>
      </c>
      <c r="K12" t="s">
        <v>11098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8" t="s">
        <v>4</v>
      </c>
      <c r="E13" s="8" t="s">
        <v>9</v>
      </c>
      <c r="F13" s="8"/>
      <c r="H13" s="8"/>
      <c r="I13" s="8" t="s">
        <v>710</v>
      </c>
      <c r="J13" s="8" t="s">
        <v>11087</v>
      </c>
      <c r="K13" t="s">
        <v>11099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8" t="s">
        <v>4</v>
      </c>
      <c r="E14" s="8" t="s">
        <v>9</v>
      </c>
      <c r="F14" s="8"/>
      <c r="H14" s="8"/>
      <c r="I14" s="8" t="s">
        <v>712</v>
      </c>
      <c r="J14" s="8" t="s">
        <v>11087</v>
      </c>
      <c r="K14" t="s">
        <v>11100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8" t="s">
        <v>4</v>
      </c>
      <c r="E15" s="8" t="s">
        <v>9</v>
      </c>
      <c r="F15" s="8"/>
      <c r="H15" s="8"/>
      <c r="I15" s="8" t="s">
        <v>714</v>
      </c>
      <c r="J15" s="8" t="s">
        <v>11087</v>
      </c>
      <c r="K15" t="s">
        <v>11101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8" t="s">
        <v>4</v>
      </c>
      <c r="E16" s="8" t="s">
        <v>9</v>
      </c>
      <c r="F16" s="8"/>
      <c r="H16" s="8"/>
      <c r="I16" s="8" t="s">
        <v>716</v>
      </c>
      <c r="J16" s="8" t="s">
        <v>11087</v>
      </c>
      <c r="K16" t="s">
        <v>11102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8" t="s">
        <v>4</v>
      </c>
      <c r="E17" s="8" t="s">
        <v>9</v>
      </c>
      <c r="F17" s="8"/>
      <c r="H17" s="8"/>
      <c r="I17" s="8" t="s">
        <v>718</v>
      </c>
      <c r="J17" s="8" t="s">
        <v>11087</v>
      </c>
      <c r="K17" t="s">
        <v>11103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8" t="s">
        <v>4</v>
      </c>
      <c r="E18" s="8" t="s">
        <v>9</v>
      </c>
      <c r="F18" s="8"/>
      <c r="H18" s="8"/>
      <c r="I18" s="8" t="s">
        <v>720</v>
      </c>
      <c r="J18" s="8" t="s">
        <v>11087</v>
      </c>
      <c r="K18" t="s">
        <v>11104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8" t="s">
        <v>4</v>
      </c>
      <c r="E19" s="8" t="s">
        <v>9</v>
      </c>
      <c r="F19" s="8"/>
      <c r="H19" s="8"/>
      <c r="I19" s="8" t="s">
        <v>722</v>
      </c>
      <c r="J19" s="8" t="s">
        <v>11087</v>
      </c>
      <c r="K19" t="s">
        <v>11105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8" t="s">
        <v>4</v>
      </c>
      <c r="E20" s="8" t="s">
        <v>9</v>
      </c>
      <c r="F20" s="8"/>
      <c r="H20" s="8"/>
      <c r="I20" s="8" t="s">
        <v>724</v>
      </c>
      <c r="J20" s="8" t="s">
        <v>11087</v>
      </c>
      <c r="K20" t="s">
        <v>11106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8" t="s">
        <v>4</v>
      </c>
      <c r="E21" s="8" t="s">
        <v>9</v>
      </c>
      <c r="F21" s="8"/>
      <c r="H21" s="8"/>
      <c r="I21" s="8" t="s">
        <v>726</v>
      </c>
      <c r="J21" s="8" t="s">
        <v>11087</v>
      </c>
      <c r="K21" t="s">
        <v>11107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8" t="s">
        <v>4</v>
      </c>
      <c r="E22" s="8" t="s">
        <v>9</v>
      </c>
      <c r="F22" s="8"/>
      <c r="H22" s="8"/>
      <c r="I22" s="8" t="s">
        <v>728</v>
      </c>
      <c r="J22" s="8" t="s">
        <v>11087</v>
      </c>
      <c r="K22" t="s">
        <v>11108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8" t="s">
        <v>4</v>
      </c>
      <c r="E23" s="8" t="s">
        <v>9</v>
      </c>
      <c r="F23" s="8"/>
      <c r="H23" s="8"/>
      <c r="I23" s="8" t="s">
        <v>730</v>
      </c>
      <c r="J23" s="8" t="s">
        <v>11087</v>
      </c>
      <c r="K23" t="s">
        <v>11109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8" t="s">
        <v>4</v>
      </c>
      <c r="E24" s="8" t="s">
        <v>9</v>
      </c>
      <c r="F24" s="8"/>
      <c r="H24" s="8"/>
      <c r="I24" s="8" t="s">
        <v>732</v>
      </c>
      <c r="J24" s="8" t="s">
        <v>11087</v>
      </c>
      <c r="K24" t="s">
        <v>11110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8" t="s">
        <v>4</v>
      </c>
      <c r="E25" s="8" t="s">
        <v>9</v>
      </c>
      <c r="F25" s="8"/>
      <c r="H25" s="8"/>
      <c r="I25" s="8" t="s">
        <v>734</v>
      </c>
      <c r="J25" s="8" t="s">
        <v>11087</v>
      </c>
      <c r="K25" t="s">
        <v>11111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8" t="s">
        <v>4</v>
      </c>
      <c r="E26" s="8" t="s">
        <v>9</v>
      </c>
      <c r="F26" s="8"/>
      <c r="H26" s="8"/>
      <c r="I26" s="8" t="s">
        <v>736</v>
      </c>
      <c r="J26" s="8" t="s">
        <v>11087</v>
      </c>
      <c r="K26" t="s">
        <v>11112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8" t="s">
        <v>4</v>
      </c>
      <c r="E27" s="8" t="s">
        <v>9</v>
      </c>
      <c r="F27" s="8"/>
      <c r="H27" s="8"/>
      <c r="I27" s="8" t="s">
        <v>738</v>
      </c>
      <c r="J27" s="8" t="s">
        <v>11087</v>
      </c>
      <c r="K27" t="s">
        <v>11113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8" t="s">
        <v>4</v>
      </c>
      <c r="E28" s="8" t="s">
        <v>9</v>
      </c>
      <c r="F28" s="8"/>
      <c r="H28" s="8"/>
      <c r="I28" s="8" t="s">
        <v>740</v>
      </c>
      <c r="J28" s="8" t="s">
        <v>11087</v>
      </c>
      <c r="K28" t="s">
        <v>11114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8" t="s">
        <v>1627</v>
      </c>
      <c r="E29" s="8" t="s">
        <v>1058</v>
      </c>
      <c r="F29" s="8"/>
      <c r="H29" s="8"/>
      <c r="I29" s="8" t="s">
        <v>742</v>
      </c>
      <c r="J29" s="8" t="s">
        <v>11087</v>
      </c>
      <c r="K29" t="s">
        <v>11115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8" t="s">
        <v>1627</v>
      </c>
      <c r="E30" s="8" t="s">
        <v>1058</v>
      </c>
      <c r="F30" s="8"/>
      <c r="H30" s="8"/>
      <c r="I30" s="8" t="s">
        <v>744</v>
      </c>
      <c r="J30" s="8" t="s">
        <v>11087</v>
      </c>
      <c r="K30" t="s">
        <v>11116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8" t="s">
        <v>1627</v>
      </c>
      <c r="E31" s="8" t="s">
        <v>1058</v>
      </c>
      <c r="F31" s="8"/>
      <c r="H31" s="8"/>
      <c r="I31" s="8" t="s">
        <v>746</v>
      </c>
      <c r="J31" s="8" t="s">
        <v>11087</v>
      </c>
      <c r="K31" t="s">
        <v>11117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8" t="s">
        <v>4</v>
      </c>
      <c r="E32" s="8" t="s">
        <v>9</v>
      </c>
      <c r="F32" s="8"/>
      <c r="H32" s="8"/>
      <c r="I32" s="8" t="s">
        <v>748</v>
      </c>
      <c r="J32" s="8" t="s">
        <v>11087</v>
      </c>
      <c r="K32" t="s">
        <v>11118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8" t="s">
        <v>4</v>
      </c>
      <c r="E33" s="8" t="s">
        <v>9</v>
      </c>
      <c r="F33" s="8"/>
      <c r="H33" s="8"/>
      <c r="I33" s="8" t="s">
        <v>750</v>
      </c>
      <c r="J33" s="8" t="s">
        <v>11087</v>
      </c>
      <c r="K33" t="s">
        <v>11119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8" t="s">
        <v>4</v>
      </c>
      <c r="E34" s="8" t="s">
        <v>9</v>
      </c>
      <c r="F34" s="8"/>
      <c r="H34" s="8"/>
      <c r="I34" s="8" t="s">
        <v>752</v>
      </c>
      <c r="J34" s="8" t="s">
        <v>11087</v>
      </c>
      <c r="K34" t="s">
        <v>11120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8" t="s">
        <v>4</v>
      </c>
      <c r="E35" s="8" t="s">
        <v>9</v>
      </c>
      <c r="F35" s="8"/>
      <c r="H35" s="8"/>
      <c r="I35" s="8" t="s">
        <v>754</v>
      </c>
      <c r="J35" s="8" t="s">
        <v>11087</v>
      </c>
      <c r="K35" t="s">
        <v>11121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8" t="s">
        <v>1627</v>
      </c>
      <c r="E36" s="8" t="s">
        <v>1058</v>
      </c>
      <c r="F36" s="8"/>
      <c r="H36" s="8"/>
      <c r="I36" s="8" t="s">
        <v>756</v>
      </c>
      <c r="J36" s="8" t="s">
        <v>11087</v>
      </c>
      <c r="K36" t="s">
        <v>11122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8" t="s">
        <v>4</v>
      </c>
      <c r="E37" s="8" t="s">
        <v>9</v>
      </c>
      <c r="F37" s="8"/>
      <c r="H37" s="8"/>
      <c r="I37" s="8" t="s">
        <v>758</v>
      </c>
      <c r="J37" s="8" t="s">
        <v>11087</v>
      </c>
      <c r="K37" t="s">
        <v>11123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8" t="s">
        <v>686</v>
      </c>
      <c r="E38" s="8" t="s">
        <v>1058</v>
      </c>
      <c r="F38" s="8"/>
      <c r="H38" s="8"/>
      <c r="I38" s="8" t="s">
        <v>760</v>
      </c>
      <c r="J38" s="8" t="s">
        <v>11087</v>
      </c>
      <c r="K38" t="s">
        <v>11124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8" t="s">
        <v>4</v>
      </c>
      <c r="E39" s="8" t="s">
        <v>9</v>
      </c>
      <c r="F39" s="8"/>
      <c r="H39" s="8"/>
      <c r="I39" s="8" t="s">
        <v>762</v>
      </c>
      <c r="J39" s="8" t="s">
        <v>11087</v>
      </c>
      <c r="K39" t="s">
        <v>11125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8" t="s">
        <v>4</v>
      </c>
      <c r="E40" s="8" t="s">
        <v>9</v>
      </c>
      <c r="F40" s="8"/>
      <c r="H40" s="8"/>
      <c r="I40" s="8" t="s">
        <v>764</v>
      </c>
      <c r="J40" s="8" t="s">
        <v>11087</v>
      </c>
      <c r="K40" t="s">
        <v>11126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8" t="s">
        <v>4</v>
      </c>
      <c r="E41" s="8" t="s">
        <v>9</v>
      </c>
      <c r="F41" s="8"/>
      <c r="H41" s="8"/>
      <c r="I41" s="8" t="s">
        <v>766</v>
      </c>
      <c r="J41" s="8" t="s">
        <v>11087</v>
      </c>
      <c r="K41" t="s">
        <v>11127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8" t="s">
        <v>4</v>
      </c>
      <c r="E42" s="8" t="s">
        <v>9</v>
      </c>
      <c r="F42" s="8"/>
      <c r="H42" s="8"/>
      <c r="I42" s="8" t="s">
        <v>768</v>
      </c>
      <c r="J42" s="8" t="s">
        <v>11087</v>
      </c>
      <c r="K42" t="s">
        <v>11128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8" t="s">
        <v>4</v>
      </c>
      <c r="E43" s="8" t="s">
        <v>9</v>
      </c>
      <c r="F43" s="8"/>
      <c r="H43" s="8"/>
      <c r="I43" s="8" t="s">
        <v>770</v>
      </c>
      <c r="J43" s="8" t="s">
        <v>11087</v>
      </c>
      <c r="K43" t="s">
        <v>11129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8" t="s">
        <v>884</v>
      </c>
      <c r="E44" s="8" t="s">
        <v>886</v>
      </c>
      <c r="F44" s="8"/>
      <c r="H44" s="8"/>
      <c r="I44" s="8" t="s">
        <v>772</v>
      </c>
      <c r="J44" s="8" t="s">
        <v>11087</v>
      </c>
      <c r="K44" t="s">
        <v>11130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8" t="s">
        <v>4</v>
      </c>
      <c r="E45" s="8" t="s">
        <v>9</v>
      </c>
      <c r="F45" s="8"/>
      <c r="H45" s="8"/>
      <c r="I45" s="8" t="s">
        <v>774</v>
      </c>
      <c r="J45" s="8" t="s">
        <v>11087</v>
      </c>
      <c r="K45" t="s">
        <v>11131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8" t="s">
        <v>686</v>
      </c>
      <c r="E46" s="8" t="s">
        <v>1058</v>
      </c>
      <c r="F46" s="8"/>
      <c r="H46" s="8"/>
      <c r="I46" s="8" t="s">
        <v>776</v>
      </c>
      <c r="J46" s="8" t="s">
        <v>11087</v>
      </c>
      <c r="K46" t="s">
        <v>11132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8" t="s">
        <v>1059</v>
      </c>
      <c r="E47" s="8" t="s">
        <v>890</v>
      </c>
      <c r="F47" s="8"/>
      <c r="H47" s="8"/>
      <c r="I47" s="8" t="s">
        <v>778</v>
      </c>
      <c r="J47" s="8" t="s">
        <v>11087</v>
      </c>
      <c r="K47" t="s">
        <v>11133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8" t="s">
        <v>4</v>
      </c>
      <c r="E48" s="8" t="s">
        <v>9</v>
      </c>
      <c r="F48" s="8"/>
      <c r="H48" s="8"/>
      <c r="I48" s="8" t="s">
        <v>780</v>
      </c>
      <c r="J48" s="8" t="s">
        <v>11087</v>
      </c>
      <c r="K48" t="s">
        <v>11134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8" t="s">
        <v>4</v>
      </c>
      <c r="E49" s="8" t="s">
        <v>9</v>
      </c>
      <c r="F49" s="8"/>
      <c r="H49" s="8"/>
      <c r="I49" s="8" t="s">
        <v>782</v>
      </c>
      <c r="J49" s="8" t="s">
        <v>11087</v>
      </c>
      <c r="K49" t="s">
        <v>11135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8" t="s">
        <v>884</v>
      </c>
      <c r="E50" s="8" t="s">
        <v>888</v>
      </c>
      <c r="F50" s="8"/>
      <c r="H50" s="8"/>
      <c r="I50" s="8" t="s">
        <v>784</v>
      </c>
      <c r="J50" s="8" t="s">
        <v>11087</v>
      </c>
      <c r="K50" t="s">
        <v>11136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8" t="s">
        <v>4</v>
      </c>
      <c r="E51" s="8" t="s">
        <v>9</v>
      </c>
      <c r="F51" s="8"/>
      <c r="H51" s="8"/>
      <c r="I51" s="8" t="s">
        <v>786</v>
      </c>
      <c r="J51" s="8" t="s">
        <v>11087</v>
      </c>
      <c r="K51" t="s">
        <v>11137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8" t="s">
        <v>4</v>
      </c>
      <c r="E52" s="8" t="s">
        <v>1060</v>
      </c>
      <c r="F52" s="8"/>
      <c r="H52" s="8"/>
      <c r="I52" s="8" t="s">
        <v>788</v>
      </c>
      <c r="J52" s="8" t="s">
        <v>11087</v>
      </c>
      <c r="K52" t="s">
        <v>11138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8" t="s">
        <v>884</v>
      </c>
      <c r="E53" s="8" t="s">
        <v>1060</v>
      </c>
      <c r="F53" s="8"/>
      <c r="H53" s="8"/>
      <c r="I53" s="8" t="s">
        <v>790</v>
      </c>
      <c r="J53" s="8" t="s">
        <v>11087</v>
      </c>
      <c r="K53" t="s">
        <v>11139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8" t="s">
        <v>4</v>
      </c>
      <c r="E54" s="8" t="s">
        <v>9</v>
      </c>
      <c r="F54" s="8"/>
      <c r="H54" s="8"/>
      <c r="I54" s="8" t="s">
        <v>792</v>
      </c>
      <c r="J54" s="8" t="s">
        <v>11087</v>
      </c>
      <c r="K54" t="s">
        <v>11140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8" t="s">
        <v>4</v>
      </c>
      <c r="E55" s="8" t="s">
        <v>9</v>
      </c>
      <c r="F55" s="8"/>
      <c r="H55" s="8"/>
      <c r="I55" s="8" t="s">
        <v>794</v>
      </c>
      <c r="J55" s="8" t="s">
        <v>11087</v>
      </c>
      <c r="K55" t="s">
        <v>11141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8" t="s">
        <v>4</v>
      </c>
      <c r="E56" s="8" t="s">
        <v>9</v>
      </c>
      <c r="F56" s="8"/>
      <c r="H56" s="8"/>
      <c r="I56" s="8" t="s">
        <v>796</v>
      </c>
      <c r="J56" s="8" t="s">
        <v>11087</v>
      </c>
      <c r="K56" t="s">
        <v>11142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8" t="s">
        <v>4</v>
      </c>
      <c r="E57" s="8" t="s">
        <v>9</v>
      </c>
      <c r="F57" s="8"/>
      <c r="H57" s="8"/>
      <c r="I57" s="8" t="s">
        <v>798</v>
      </c>
      <c r="J57" s="8" t="s">
        <v>11087</v>
      </c>
      <c r="K57" t="s">
        <v>11143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8" t="s">
        <v>4</v>
      </c>
      <c r="E58" s="8" t="s">
        <v>9</v>
      </c>
      <c r="F58" s="8"/>
      <c r="H58" s="8"/>
      <c r="I58" s="8" t="s">
        <v>800</v>
      </c>
      <c r="J58" s="8" t="s">
        <v>11087</v>
      </c>
      <c r="K58" t="s">
        <v>11144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8" t="s">
        <v>4</v>
      </c>
      <c r="E59" s="8" t="s">
        <v>9</v>
      </c>
      <c r="F59" s="8"/>
      <c r="H59" s="8"/>
      <c r="I59" s="8" t="s">
        <v>802</v>
      </c>
      <c r="J59" s="8" t="s">
        <v>11087</v>
      </c>
      <c r="K59" t="s">
        <v>11145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8" t="s">
        <v>4</v>
      </c>
      <c r="E60" s="8" t="s">
        <v>9</v>
      </c>
      <c r="F60" s="8"/>
      <c r="H60" s="8"/>
      <c r="I60" s="8" t="s">
        <v>804</v>
      </c>
      <c r="J60" s="8" t="s">
        <v>11087</v>
      </c>
      <c r="K60" t="s">
        <v>11146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8" t="s">
        <v>4</v>
      </c>
      <c r="E61" s="8" t="s">
        <v>9</v>
      </c>
      <c r="F61" s="8"/>
      <c r="H61" s="8"/>
      <c r="I61" s="8" t="s">
        <v>806</v>
      </c>
      <c r="J61" s="8" t="s">
        <v>11087</v>
      </c>
      <c r="K61" t="s">
        <v>11147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8" t="s">
        <v>4</v>
      </c>
      <c r="E62" s="8" t="s">
        <v>9</v>
      </c>
      <c r="F62" s="8"/>
      <c r="H62" s="8"/>
      <c r="I62" s="8" t="s">
        <v>808</v>
      </c>
      <c r="J62" s="8" t="s">
        <v>11087</v>
      </c>
      <c r="K62" t="s">
        <v>11148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8" t="s">
        <v>4</v>
      </c>
      <c r="E63" s="8" t="s">
        <v>9</v>
      </c>
      <c r="F63" s="8"/>
      <c r="H63" s="8"/>
      <c r="I63" s="8" t="s">
        <v>810</v>
      </c>
      <c r="J63" s="8" t="s">
        <v>11087</v>
      </c>
      <c r="K63" t="s">
        <v>11149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8" t="s">
        <v>4</v>
      </c>
      <c r="E64" s="8" t="s">
        <v>9</v>
      </c>
      <c r="F64" s="8"/>
      <c r="H64" s="8"/>
      <c r="I64" s="8" t="s">
        <v>812</v>
      </c>
      <c r="J64" s="8" t="s">
        <v>11087</v>
      </c>
      <c r="K64" t="s">
        <v>11150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8" t="s">
        <v>4</v>
      </c>
      <c r="E65" s="8" t="s">
        <v>9</v>
      </c>
      <c r="F65" s="8"/>
      <c r="H65" s="8"/>
      <c r="I65" s="8" t="s">
        <v>814</v>
      </c>
      <c r="J65" s="8" t="s">
        <v>11087</v>
      </c>
      <c r="K65" t="s">
        <v>11151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8" t="s">
        <v>4</v>
      </c>
      <c r="E66" s="8" t="s">
        <v>9</v>
      </c>
      <c r="F66" s="8"/>
      <c r="H66" s="8"/>
      <c r="I66" s="8" t="s">
        <v>816</v>
      </c>
      <c r="J66" s="8" t="s">
        <v>11087</v>
      </c>
      <c r="K66" t="s">
        <v>11152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8" t="s">
        <v>4</v>
      </c>
      <c r="E67" s="8" t="s">
        <v>9</v>
      </c>
      <c r="F67" s="8"/>
      <c r="H67" s="8"/>
      <c r="I67" s="8" t="s">
        <v>818</v>
      </c>
      <c r="J67" s="8" t="s">
        <v>11087</v>
      </c>
      <c r="K67" t="s">
        <v>11153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8" t="s">
        <v>4</v>
      </c>
      <c r="E68" s="8" t="s">
        <v>9</v>
      </c>
      <c r="F68" s="8"/>
      <c r="H68" s="8"/>
      <c r="I68" s="8" t="s">
        <v>820</v>
      </c>
      <c r="J68" s="8" t="s">
        <v>11087</v>
      </c>
      <c r="K68" t="s">
        <v>11154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8" t="s">
        <v>4</v>
      </c>
      <c r="E69" s="8" t="s">
        <v>9</v>
      </c>
      <c r="F69" s="8"/>
      <c r="H69" s="8"/>
      <c r="I69" s="8" t="s">
        <v>822</v>
      </c>
      <c r="J69" s="8" t="s">
        <v>11087</v>
      </c>
      <c r="K69" t="s">
        <v>11155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8" t="s">
        <v>4</v>
      </c>
      <c r="E70" s="8" t="s">
        <v>9</v>
      </c>
      <c r="F70" s="8"/>
      <c r="H70" s="8"/>
      <c r="I70" s="8" t="s">
        <v>824</v>
      </c>
      <c r="J70" s="8" t="s">
        <v>11087</v>
      </c>
      <c r="K70" t="s">
        <v>11156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8" t="s">
        <v>4</v>
      </c>
      <c r="E71" s="8" t="s">
        <v>9</v>
      </c>
      <c r="F71" s="8"/>
      <c r="H71" s="8"/>
      <c r="I71" s="8" t="s">
        <v>826</v>
      </c>
      <c r="J71" s="8" t="s">
        <v>11087</v>
      </c>
      <c r="K71" t="s">
        <v>11157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8" t="s">
        <v>4</v>
      </c>
      <c r="E72" s="8" t="s">
        <v>9</v>
      </c>
      <c r="F72" s="8"/>
      <c r="H72" s="8"/>
      <c r="I72" s="8" t="s">
        <v>828</v>
      </c>
      <c r="J72" s="8" t="s">
        <v>11087</v>
      </c>
      <c r="K72" t="s">
        <v>11158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8" t="s">
        <v>1627</v>
      </c>
      <c r="E73" s="8" t="s">
        <v>1058</v>
      </c>
      <c r="F73" s="8"/>
      <c r="H73" s="8"/>
      <c r="I73" s="8" t="s">
        <v>830</v>
      </c>
      <c r="J73" s="8" t="s">
        <v>11087</v>
      </c>
      <c r="K73" t="s">
        <v>11159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8" t="s">
        <v>4</v>
      </c>
      <c r="E74" s="8" t="s">
        <v>9</v>
      </c>
      <c r="F74" s="8"/>
      <c r="H74" s="8"/>
      <c r="I74" s="8" t="s">
        <v>832</v>
      </c>
      <c r="J74" s="8" t="s">
        <v>11087</v>
      </c>
      <c r="K74" t="s">
        <v>11160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8" t="s">
        <v>4</v>
      </c>
      <c r="E75" s="8" t="s">
        <v>9</v>
      </c>
      <c r="F75" s="8"/>
      <c r="H75" s="8"/>
      <c r="I75" s="8" t="s">
        <v>834</v>
      </c>
      <c r="J75" s="8" t="s">
        <v>11087</v>
      </c>
      <c r="K75" t="s">
        <v>11161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8" t="s">
        <v>4</v>
      </c>
      <c r="E76" s="8" t="s">
        <v>9</v>
      </c>
      <c r="F76" s="8"/>
      <c r="H76" s="8"/>
      <c r="I76" s="8" t="s">
        <v>836</v>
      </c>
      <c r="J76" s="8" t="s">
        <v>11087</v>
      </c>
      <c r="K76" t="s">
        <v>11162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8" t="s">
        <v>884</v>
      </c>
      <c r="E77" s="8" t="s">
        <v>888</v>
      </c>
      <c r="F77" s="8"/>
      <c r="H77" s="8"/>
      <c r="I77" s="8" t="s">
        <v>838</v>
      </c>
      <c r="J77" s="8" t="s">
        <v>11087</v>
      </c>
      <c r="K77" t="s">
        <v>11163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8" t="s">
        <v>884</v>
      </c>
      <c r="E78" s="8" t="s">
        <v>888</v>
      </c>
      <c r="F78" s="8"/>
      <c r="H78" s="8"/>
      <c r="I78" s="8" t="s">
        <v>840</v>
      </c>
      <c r="J78" s="8" t="s">
        <v>11087</v>
      </c>
      <c r="K78" t="s">
        <v>11164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8" t="s">
        <v>4</v>
      </c>
      <c r="E79" s="8" t="s">
        <v>9</v>
      </c>
      <c r="F79" s="8"/>
      <c r="H79" s="8"/>
      <c r="I79" s="8" t="s">
        <v>842</v>
      </c>
      <c r="J79" s="8" t="s">
        <v>11087</v>
      </c>
      <c r="K79" t="s">
        <v>11165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8" t="s">
        <v>4</v>
      </c>
      <c r="E80" s="8" t="s">
        <v>9</v>
      </c>
      <c r="F80" s="8"/>
      <c r="H80" s="8"/>
      <c r="I80" s="8" t="s">
        <v>844</v>
      </c>
      <c r="J80" s="8" t="s">
        <v>11087</v>
      </c>
      <c r="K80" t="s">
        <v>11166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8" t="s">
        <v>4</v>
      </c>
      <c r="E81" s="8" t="s">
        <v>9</v>
      </c>
      <c r="F81" s="8"/>
      <c r="H81" s="8"/>
      <c r="I81" s="8" t="s">
        <v>846</v>
      </c>
      <c r="J81" s="8" t="s">
        <v>11087</v>
      </c>
      <c r="K81" t="s">
        <v>11167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8" t="s">
        <v>4</v>
      </c>
      <c r="E82" s="8" t="s">
        <v>9</v>
      </c>
      <c r="F82" s="8"/>
      <c r="H82" s="8"/>
      <c r="I82" s="8" t="s">
        <v>848</v>
      </c>
      <c r="J82" s="8" t="s">
        <v>11087</v>
      </c>
      <c r="K82" t="s">
        <v>11168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8" t="s">
        <v>4</v>
      </c>
      <c r="E83" s="8" t="s">
        <v>9</v>
      </c>
      <c r="F83" s="8"/>
      <c r="H83" s="8"/>
      <c r="I83" s="8" t="s">
        <v>850</v>
      </c>
      <c r="J83" s="8" t="s">
        <v>11087</v>
      </c>
      <c r="K83" t="s">
        <v>11169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8" t="s">
        <v>4</v>
      </c>
      <c r="E84" s="8" t="s">
        <v>9</v>
      </c>
      <c r="F84" s="8"/>
      <c r="H84" s="8"/>
      <c r="I84" s="8" t="s">
        <v>852</v>
      </c>
      <c r="J84" s="8" t="s">
        <v>11087</v>
      </c>
      <c r="K84" t="s">
        <v>11170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8" t="s">
        <v>4</v>
      </c>
      <c r="E85" s="8" t="s">
        <v>9</v>
      </c>
      <c r="F85" s="8"/>
      <c r="H85" s="8"/>
      <c r="I85" s="8" t="s">
        <v>854</v>
      </c>
      <c r="J85" s="8" t="s">
        <v>11087</v>
      </c>
      <c r="K85" t="s">
        <v>11171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8" t="s">
        <v>1627</v>
      </c>
      <c r="E86" s="8" t="s">
        <v>1058</v>
      </c>
      <c r="F86" s="8"/>
      <c r="H86" s="8"/>
      <c r="I86" s="8" t="s">
        <v>856</v>
      </c>
      <c r="J86" s="8" t="s">
        <v>11087</v>
      </c>
      <c r="K86" t="s">
        <v>11172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8" t="s">
        <v>4</v>
      </c>
      <c r="E87" s="8" t="s">
        <v>9</v>
      </c>
      <c r="F87" s="8"/>
      <c r="H87" s="8"/>
      <c r="I87" s="8" t="s">
        <v>858</v>
      </c>
      <c r="J87" s="8" t="s">
        <v>11087</v>
      </c>
      <c r="K87" t="s">
        <v>11173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8" t="s">
        <v>686</v>
      </c>
      <c r="E88" s="8" t="s">
        <v>1058</v>
      </c>
      <c r="F88" s="8"/>
      <c r="H88" s="8"/>
      <c r="I88" s="8" t="s">
        <v>860</v>
      </c>
      <c r="J88" s="8" t="s">
        <v>11087</v>
      </c>
      <c r="K88" t="s">
        <v>11174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8" t="s">
        <v>4</v>
      </c>
      <c r="E89" s="8" t="s">
        <v>9</v>
      </c>
      <c r="F89" s="8"/>
      <c r="H89" s="8"/>
      <c r="I89" s="8" t="s">
        <v>862</v>
      </c>
      <c r="J89" s="8" t="s">
        <v>11087</v>
      </c>
      <c r="K89" t="s">
        <v>11175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8" t="s">
        <v>4</v>
      </c>
      <c r="E90" s="8" t="s">
        <v>9</v>
      </c>
      <c r="F90" s="8"/>
      <c r="H90" s="8"/>
      <c r="I90" s="8" t="s">
        <v>864</v>
      </c>
      <c r="J90" s="8" t="s">
        <v>11087</v>
      </c>
      <c r="K90" t="s">
        <v>11176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8" t="s">
        <v>4</v>
      </c>
      <c r="E91" s="8" t="s">
        <v>9</v>
      </c>
      <c r="F91" s="8"/>
      <c r="H91" s="8"/>
      <c r="I91" s="8" t="s">
        <v>866</v>
      </c>
      <c r="J91" s="8" t="s">
        <v>11087</v>
      </c>
      <c r="K91" t="s">
        <v>11177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8" t="s">
        <v>4</v>
      </c>
      <c r="E92" s="8" t="s">
        <v>9</v>
      </c>
      <c r="F92" s="8"/>
      <c r="H92" s="8"/>
      <c r="I92" s="8" t="s">
        <v>868</v>
      </c>
      <c r="J92" s="8" t="s">
        <v>11087</v>
      </c>
      <c r="K92" t="s">
        <v>11178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8" t="s">
        <v>4</v>
      </c>
      <c r="E93" s="8" t="s">
        <v>9</v>
      </c>
      <c r="F93" s="8"/>
      <c r="H93" s="8"/>
      <c r="I93" s="8" t="s">
        <v>870</v>
      </c>
      <c r="J93" s="8" t="s">
        <v>11087</v>
      </c>
      <c r="K93" t="s">
        <v>11179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8" t="s">
        <v>4</v>
      </c>
      <c r="E94" s="8" t="s">
        <v>9</v>
      </c>
      <c r="F94" s="8"/>
      <c r="H94" s="8"/>
      <c r="I94" s="8" t="s">
        <v>872</v>
      </c>
      <c r="J94" s="8" t="s">
        <v>11087</v>
      </c>
      <c r="K94" t="s">
        <v>11180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8" t="s">
        <v>4</v>
      </c>
      <c r="E95" s="8" t="s">
        <v>9</v>
      </c>
      <c r="F95" s="8"/>
      <c r="H95" s="8"/>
      <c r="I95" s="8" t="s">
        <v>874</v>
      </c>
      <c r="J95" s="8" t="s">
        <v>11087</v>
      </c>
      <c r="K95" t="s">
        <v>11181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8" t="s">
        <v>4</v>
      </c>
      <c r="E96" s="8" t="s">
        <v>9</v>
      </c>
      <c r="F96" s="8"/>
      <c r="H96" s="8"/>
      <c r="I96" s="8" t="s">
        <v>876</v>
      </c>
      <c r="J96" s="8" t="s">
        <v>11087</v>
      </c>
      <c r="K96" t="s">
        <v>11182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8" t="s">
        <v>4</v>
      </c>
      <c r="E97" s="8" t="s">
        <v>9</v>
      </c>
      <c r="F97" s="8"/>
      <c r="H97" s="8"/>
      <c r="I97" s="8" t="s">
        <v>878</v>
      </c>
      <c r="J97" s="8" t="s">
        <v>11087</v>
      </c>
      <c r="K97" t="s">
        <v>11183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8" t="s">
        <v>4</v>
      </c>
      <c r="E98" s="8" t="s">
        <v>9</v>
      </c>
      <c r="F98" s="8"/>
      <c r="H98" s="8"/>
      <c r="I98" s="8" t="s">
        <v>880</v>
      </c>
      <c r="J98" s="8" t="s">
        <v>11087</v>
      </c>
      <c r="K98" t="s">
        <v>11184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8" t="s">
        <v>4</v>
      </c>
      <c r="E99" s="8" t="s">
        <v>9</v>
      </c>
      <c r="F99" s="8"/>
      <c r="H99" s="8"/>
      <c r="I99" s="8" t="s">
        <v>882</v>
      </c>
      <c r="J99" s="8" t="s">
        <v>11087</v>
      </c>
      <c r="K99" t="s">
        <v>11185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8" t="s">
        <v>1627</v>
      </c>
      <c r="E100" s="8" t="s">
        <v>1058</v>
      </c>
      <c r="F100" s="8"/>
      <c r="H100" s="8"/>
      <c r="I100" s="8" t="s">
        <v>960</v>
      </c>
      <c r="J100" s="8" t="s">
        <v>11087</v>
      </c>
      <c r="K100" t="s">
        <v>11186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8" t="s">
        <v>4</v>
      </c>
      <c r="E101" s="8" t="s">
        <v>9</v>
      </c>
      <c r="F101" s="8"/>
      <c r="H101" s="8"/>
      <c r="I101" s="8" t="s">
        <v>962</v>
      </c>
      <c r="J101" s="8" t="s">
        <v>11087</v>
      </c>
      <c r="K101" t="s">
        <v>11187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8" t="s">
        <v>4</v>
      </c>
      <c r="E102" s="8" t="s">
        <v>9</v>
      </c>
      <c r="F102" s="8"/>
      <c r="H102" s="8"/>
      <c r="I102" s="8" t="s">
        <v>964</v>
      </c>
      <c r="J102" s="8" t="s">
        <v>11087</v>
      </c>
      <c r="K102" t="s">
        <v>11188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8" t="s">
        <v>4</v>
      </c>
      <c r="E103" s="8" t="s">
        <v>9</v>
      </c>
      <c r="F103" s="8"/>
      <c r="H103" s="8"/>
      <c r="I103" s="8" t="s">
        <v>966</v>
      </c>
      <c r="J103" s="8" t="s">
        <v>11087</v>
      </c>
      <c r="K103" t="s">
        <v>11189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8" t="s">
        <v>4</v>
      </c>
      <c r="E104" s="8" t="s">
        <v>9</v>
      </c>
      <c r="F104" s="8"/>
      <c r="H104" s="8"/>
      <c r="I104" s="8" t="s">
        <v>968</v>
      </c>
      <c r="J104" s="8" t="s">
        <v>11087</v>
      </c>
      <c r="K104" t="s">
        <v>11190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8" t="s">
        <v>4</v>
      </c>
      <c r="E105" s="8" t="s">
        <v>9</v>
      </c>
      <c r="F105" s="8"/>
      <c r="H105" s="8"/>
      <c r="I105" s="8" t="s">
        <v>970</v>
      </c>
      <c r="J105" s="8" t="s">
        <v>11087</v>
      </c>
      <c r="K105" t="s">
        <v>11191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972</v>
      </c>
      <c r="J106" s="8" t="s">
        <v>11087</v>
      </c>
      <c r="K106" t="s">
        <v>11192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8" t="s">
        <v>4</v>
      </c>
      <c r="E107" s="8" t="s">
        <v>9</v>
      </c>
      <c r="F107" s="8"/>
      <c r="H107" s="8"/>
      <c r="I107" s="8" t="s">
        <v>1891</v>
      </c>
      <c r="J107" s="8" t="s">
        <v>11087</v>
      </c>
      <c r="K107" t="s">
        <v>11193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8" t="s">
        <v>4</v>
      </c>
      <c r="E108" s="8" t="s">
        <v>9</v>
      </c>
      <c r="F108" s="8"/>
      <c r="H108" s="8" t="s">
        <v>2352</v>
      </c>
      <c r="I108" s="8" t="s">
        <v>1893</v>
      </c>
      <c r="J108" s="8" t="s">
        <v>11087</v>
      </c>
      <c r="K108" t="s">
        <v>11194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8" t="s">
        <v>4</v>
      </c>
      <c r="E109" s="8" t="s">
        <v>9</v>
      </c>
      <c r="F109" s="8"/>
      <c r="H109" s="8" t="s">
        <v>2352</v>
      </c>
      <c r="I109" s="8" t="s">
        <v>1895</v>
      </c>
      <c r="J109" s="8" t="s">
        <v>11087</v>
      </c>
      <c r="K109" t="s">
        <v>11195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8" t="s">
        <v>4</v>
      </c>
      <c r="E110" s="8" t="s">
        <v>9</v>
      </c>
      <c r="F110" s="8"/>
      <c r="H110" s="8" t="s">
        <v>2352</v>
      </c>
      <c r="I110" s="8" t="s">
        <v>1897</v>
      </c>
      <c r="J110" s="8" t="s">
        <v>11087</v>
      </c>
      <c r="K110" t="s">
        <v>11196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8" t="s">
        <v>4</v>
      </c>
      <c r="E111" s="8" t="s">
        <v>9</v>
      </c>
      <c r="F111" s="8"/>
      <c r="H111" s="8" t="s">
        <v>2352</v>
      </c>
      <c r="I111" s="8" t="s">
        <v>1899</v>
      </c>
      <c r="J111" s="8" t="s">
        <v>11087</v>
      </c>
      <c r="K111" t="s">
        <v>11197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8" t="s">
        <v>2355</v>
      </c>
      <c r="E112" s="8" t="s">
        <v>2356</v>
      </c>
      <c r="F112" s="8" t="s">
        <v>2345</v>
      </c>
      <c r="G112">
        <v>1</v>
      </c>
      <c r="H112" s="8" t="s">
        <v>2357</v>
      </c>
      <c r="I112" s="8" t="s">
        <v>1901</v>
      </c>
      <c r="J112" s="8" t="s">
        <v>11087</v>
      </c>
      <c r="K112" t="s">
        <v>11198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8" t="s">
        <v>2355</v>
      </c>
      <c r="E113" s="8" t="s">
        <v>2356</v>
      </c>
      <c r="F113" s="8" t="s">
        <v>2345</v>
      </c>
      <c r="G113">
        <v>1</v>
      </c>
      <c r="H113" s="8" t="s">
        <v>2357</v>
      </c>
      <c r="I113" s="8" t="s">
        <v>1903</v>
      </c>
      <c r="J113" s="8" t="s">
        <v>11087</v>
      </c>
      <c r="K113" t="s">
        <v>11199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8" t="s">
        <v>2355</v>
      </c>
      <c r="E114" s="8" t="s">
        <v>2356</v>
      </c>
      <c r="F114" s="8" t="s">
        <v>2345</v>
      </c>
      <c r="G114">
        <v>1</v>
      </c>
      <c r="H114" s="8" t="s">
        <v>2357</v>
      </c>
      <c r="I114" s="8" t="s">
        <v>1905</v>
      </c>
      <c r="J114" s="8" t="s">
        <v>11087</v>
      </c>
      <c r="K114" t="s">
        <v>11200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8" t="s">
        <v>2355</v>
      </c>
      <c r="E115" s="8" t="s">
        <v>2356</v>
      </c>
      <c r="F115" s="8" t="s">
        <v>2345</v>
      </c>
      <c r="G115">
        <v>1</v>
      </c>
      <c r="H115" s="8" t="s">
        <v>2357</v>
      </c>
      <c r="I115" s="8" t="s">
        <v>1907</v>
      </c>
      <c r="J115" s="8" t="s">
        <v>11087</v>
      </c>
      <c r="K115" t="s">
        <v>11201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8" t="s">
        <v>2355</v>
      </c>
      <c r="E116" s="8" t="s">
        <v>2356</v>
      </c>
      <c r="F116" s="8" t="s">
        <v>2345</v>
      </c>
      <c r="G116">
        <v>1</v>
      </c>
      <c r="H116" s="8" t="s">
        <v>2357</v>
      </c>
      <c r="I116" s="8" t="s">
        <v>1909</v>
      </c>
      <c r="J116" s="8" t="s">
        <v>11087</v>
      </c>
      <c r="K116" t="s">
        <v>11202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8" t="s">
        <v>2355</v>
      </c>
      <c r="E117" s="8" t="s">
        <v>2356</v>
      </c>
      <c r="F117" s="8" t="s">
        <v>2345</v>
      </c>
      <c r="G117">
        <v>1</v>
      </c>
      <c r="H117" s="8" t="s">
        <v>2357</v>
      </c>
      <c r="I117" s="8" t="s">
        <v>1911</v>
      </c>
      <c r="J117" s="8" t="s">
        <v>11087</v>
      </c>
      <c r="K117" t="s">
        <v>11203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8" t="s">
        <v>2355</v>
      </c>
      <c r="E118" s="8" t="s">
        <v>2356</v>
      </c>
      <c r="F118" s="8" t="s">
        <v>2345</v>
      </c>
      <c r="G118">
        <v>1</v>
      </c>
      <c r="H118" s="8" t="s">
        <v>2357</v>
      </c>
      <c r="I118" s="8" t="s">
        <v>1913</v>
      </c>
      <c r="J118" s="8" t="s">
        <v>11087</v>
      </c>
      <c r="K118" t="s">
        <v>11204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8" t="s">
        <v>2355</v>
      </c>
      <c r="E119" s="8" t="s">
        <v>2356</v>
      </c>
      <c r="F119" s="8" t="s">
        <v>2345</v>
      </c>
      <c r="G119">
        <v>1</v>
      </c>
      <c r="H119" s="8" t="s">
        <v>2357</v>
      </c>
      <c r="I119" s="8" t="s">
        <v>1915</v>
      </c>
      <c r="J119" s="8" t="s">
        <v>11087</v>
      </c>
      <c r="K119" t="s">
        <v>11205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8" t="s">
        <v>4</v>
      </c>
      <c r="E120" s="8" t="s">
        <v>9</v>
      </c>
      <c r="F120" s="8"/>
      <c r="H120" s="8"/>
      <c r="I120" s="8" t="s">
        <v>1917</v>
      </c>
      <c r="J120" s="8" t="s">
        <v>11087</v>
      </c>
      <c r="K120" t="s">
        <v>11206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8" t="s">
        <v>4</v>
      </c>
      <c r="E121" s="8" t="s">
        <v>9</v>
      </c>
      <c r="F121" s="8"/>
      <c r="H121" s="8" t="s">
        <v>2352</v>
      </c>
      <c r="I121" s="8" t="s">
        <v>1919</v>
      </c>
      <c r="J121" s="8" t="s">
        <v>11087</v>
      </c>
      <c r="K121" t="s">
        <v>11207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8" t="s">
        <v>1627</v>
      </c>
      <c r="E122" s="8" t="s">
        <v>1058</v>
      </c>
      <c r="F122" s="8"/>
      <c r="H122" s="8"/>
      <c r="I122" s="8" t="s">
        <v>1921</v>
      </c>
      <c r="J122" s="8" t="s">
        <v>11087</v>
      </c>
      <c r="K122" t="s">
        <v>11208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8" t="s">
        <v>4</v>
      </c>
      <c r="E123" s="8" t="s">
        <v>9</v>
      </c>
      <c r="F123" s="8"/>
      <c r="H123" s="8" t="s">
        <v>2352</v>
      </c>
      <c r="I123" s="8" t="s">
        <v>1923</v>
      </c>
      <c r="J123" s="8" t="s">
        <v>11087</v>
      </c>
      <c r="K123" t="s">
        <v>11209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8" t="s">
        <v>4</v>
      </c>
      <c r="E124" s="8" t="s">
        <v>9</v>
      </c>
      <c r="F124" s="8"/>
      <c r="H124" s="8" t="s">
        <v>2352</v>
      </c>
      <c r="I124" s="8" t="s">
        <v>1925</v>
      </c>
      <c r="J124" s="8" t="s">
        <v>11087</v>
      </c>
      <c r="K124" t="s">
        <v>11210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8" t="s">
        <v>4</v>
      </c>
      <c r="E125" s="8" t="s">
        <v>9</v>
      </c>
      <c r="F125" s="8"/>
      <c r="H125" s="8" t="s">
        <v>2352</v>
      </c>
      <c r="I125" s="8" t="s">
        <v>1927</v>
      </c>
      <c r="J125" s="8" t="s">
        <v>11087</v>
      </c>
      <c r="K125" t="s">
        <v>11211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8" t="s">
        <v>4</v>
      </c>
      <c r="E126" s="8" t="s">
        <v>9</v>
      </c>
      <c r="F126" s="8"/>
      <c r="H126" s="8" t="s">
        <v>2352</v>
      </c>
      <c r="I126" s="8" t="s">
        <v>1929</v>
      </c>
      <c r="J126" s="8" t="s">
        <v>11087</v>
      </c>
      <c r="K126" t="s">
        <v>11212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8" t="s">
        <v>4</v>
      </c>
      <c r="E127" s="8" t="s">
        <v>9</v>
      </c>
      <c r="F127" s="8"/>
      <c r="H127" s="8"/>
      <c r="I127" s="8" t="s">
        <v>1931</v>
      </c>
      <c r="J127" s="8" t="s">
        <v>11087</v>
      </c>
      <c r="K127" t="s">
        <v>11213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8" t="s">
        <v>884</v>
      </c>
      <c r="E128" s="8" t="s">
        <v>1274</v>
      </c>
      <c r="F128" s="8" t="s">
        <v>58</v>
      </c>
      <c r="H128" s="8"/>
      <c r="I128" s="8" t="s">
        <v>1933</v>
      </c>
      <c r="J128" s="8" t="s">
        <v>11087</v>
      </c>
      <c r="K128" t="s">
        <v>11214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8" t="s">
        <v>884</v>
      </c>
      <c r="E129" s="8" t="s">
        <v>1274</v>
      </c>
      <c r="F129" s="8" t="s">
        <v>58</v>
      </c>
      <c r="H129" s="8"/>
      <c r="I129" s="8" t="s">
        <v>1935</v>
      </c>
      <c r="J129" s="8" t="s">
        <v>11087</v>
      </c>
      <c r="K129" t="s">
        <v>11215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8" t="s">
        <v>884</v>
      </c>
      <c r="E130" s="8" t="s">
        <v>1274</v>
      </c>
      <c r="F130" s="8" t="s">
        <v>58</v>
      </c>
      <c r="H130" s="8"/>
      <c r="I130" s="8" t="s">
        <v>1937</v>
      </c>
      <c r="J130" s="8" t="s">
        <v>11087</v>
      </c>
      <c r="K130" t="s">
        <v>11216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8" t="s">
        <v>884</v>
      </c>
      <c r="E131" s="8" t="s">
        <v>1274</v>
      </c>
      <c r="F131" s="8" t="s">
        <v>58</v>
      </c>
      <c r="H131" s="8"/>
      <c r="I131" s="8" t="s">
        <v>1939</v>
      </c>
      <c r="J131" s="8" t="s">
        <v>11087</v>
      </c>
      <c r="K131" t="s">
        <v>11217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8" t="s">
        <v>2359</v>
      </c>
      <c r="E132" s="8"/>
      <c r="F132" s="8"/>
      <c r="H132" s="8" t="s">
        <v>2358</v>
      </c>
      <c r="I132" s="8" t="s">
        <v>1941</v>
      </c>
      <c r="J132" s="8" t="s">
        <v>11087</v>
      </c>
      <c r="K132" t="s">
        <v>11218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8" t="s">
        <v>884</v>
      </c>
      <c r="E133" s="8" t="s">
        <v>1274</v>
      </c>
      <c r="F133" s="8" t="s">
        <v>2367</v>
      </c>
      <c r="H133" s="8"/>
      <c r="I133" s="8" t="s">
        <v>1943</v>
      </c>
      <c r="J133" s="8" t="s">
        <v>11087</v>
      </c>
      <c r="K133" t="s">
        <v>11219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8" t="s">
        <v>4</v>
      </c>
      <c r="E134" s="8" t="s">
        <v>9</v>
      </c>
      <c r="F134" s="8"/>
      <c r="H134" s="8"/>
      <c r="I134" s="8" t="s">
        <v>1945</v>
      </c>
      <c r="J134" s="8" t="s">
        <v>11087</v>
      </c>
      <c r="K134" t="s">
        <v>11220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8" t="s">
        <v>884</v>
      </c>
      <c r="E135" s="8" t="s">
        <v>1274</v>
      </c>
      <c r="F135" s="8" t="s">
        <v>58</v>
      </c>
      <c r="H135" s="8"/>
      <c r="I135" s="8" t="s">
        <v>1947</v>
      </c>
      <c r="J135" s="8" t="s">
        <v>11087</v>
      </c>
      <c r="K135" t="s">
        <v>11221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8" t="s">
        <v>884</v>
      </c>
      <c r="E136" s="8" t="s">
        <v>1274</v>
      </c>
      <c r="F136" s="8" t="s">
        <v>58</v>
      </c>
      <c r="H136" s="8"/>
      <c r="I136" s="8" t="s">
        <v>1949</v>
      </c>
      <c r="J136" s="8" t="s">
        <v>11087</v>
      </c>
      <c r="K136" t="s">
        <v>11222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8" t="s">
        <v>884</v>
      </c>
      <c r="E137" s="8" t="s">
        <v>1274</v>
      </c>
      <c r="F137" s="8" t="s">
        <v>58</v>
      </c>
      <c r="H137" s="8" t="s">
        <v>2352</v>
      </c>
      <c r="I137" s="8" t="s">
        <v>1951</v>
      </c>
      <c r="J137" s="8" t="s">
        <v>11087</v>
      </c>
      <c r="K137" t="s">
        <v>11223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8" t="s">
        <v>4</v>
      </c>
      <c r="E138" s="8" t="s">
        <v>9</v>
      </c>
      <c r="F138" s="8"/>
      <c r="H138" s="8" t="s">
        <v>2352</v>
      </c>
      <c r="I138" s="8" t="s">
        <v>1953</v>
      </c>
      <c r="J138" s="8" t="s">
        <v>11087</v>
      </c>
      <c r="K138" t="s">
        <v>11224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8" t="s">
        <v>4</v>
      </c>
      <c r="E139" s="8" t="s">
        <v>9</v>
      </c>
      <c r="F139" s="8"/>
      <c r="H139" s="8" t="s">
        <v>2352</v>
      </c>
      <c r="I139" s="8" t="s">
        <v>1955</v>
      </c>
      <c r="J139" s="8" t="s">
        <v>11087</v>
      </c>
      <c r="K139" t="s">
        <v>11225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8" t="s">
        <v>4</v>
      </c>
      <c r="E140" s="8" t="s">
        <v>9</v>
      </c>
      <c r="F140" s="8"/>
      <c r="H140" s="8" t="s">
        <v>2352</v>
      </c>
      <c r="I140" s="8" t="s">
        <v>1957</v>
      </c>
      <c r="J140" s="8" t="s">
        <v>11087</v>
      </c>
      <c r="K140" t="s">
        <v>11226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8" t="s">
        <v>4</v>
      </c>
      <c r="E141" s="8" t="s">
        <v>9</v>
      </c>
      <c r="F141" s="8"/>
      <c r="H141" s="8" t="s">
        <v>2352</v>
      </c>
      <c r="I141" s="8" t="s">
        <v>1959</v>
      </c>
      <c r="J141" s="8" t="s">
        <v>11087</v>
      </c>
      <c r="K141" t="s">
        <v>11227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8" t="s">
        <v>4</v>
      </c>
      <c r="E142" s="8" t="s">
        <v>9</v>
      </c>
      <c r="F142" s="8"/>
      <c r="H142" s="8" t="s">
        <v>2352</v>
      </c>
      <c r="I142" s="8" t="s">
        <v>1961</v>
      </c>
      <c r="J142" s="8" t="s">
        <v>11087</v>
      </c>
      <c r="K142" t="s">
        <v>11228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8" t="s">
        <v>4</v>
      </c>
      <c r="E143" s="8" t="s">
        <v>9</v>
      </c>
      <c r="F143" s="8"/>
      <c r="H143" s="8" t="s">
        <v>2352</v>
      </c>
      <c r="I143" s="8" t="s">
        <v>1963</v>
      </c>
      <c r="J143" s="8" t="s">
        <v>11087</v>
      </c>
      <c r="K143" t="s">
        <v>11229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8" t="s">
        <v>4</v>
      </c>
      <c r="E144" s="8" t="s">
        <v>9</v>
      </c>
      <c r="F144" s="8"/>
      <c r="H144" s="8" t="s">
        <v>2352</v>
      </c>
      <c r="I144" s="8" t="s">
        <v>1965</v>
      </c>
      <c r="J144" s="8" t="s">
        <v>11087</v>
      </c>
      <c r="K144" t="s">
        <v>11230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8" t="s">
        <v>4</v>
      </c>
      <c r="E145" s="8" t="s">
        <v>9</v>
      </c>
      <c r="F145" s="8"/>
      <c r="H145" s="8" t="s">
        <v>2352</v>
      </c>
      <c r="I145" s="8" t="s">
        <v>1967</v>
      </c>
      <c r="J145" s="8" t="s">
        <v>11087</v>
      </c>
      <c r="K145" t="s">
        <v>11231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8" t="s">
        <v>884</v>
      </c>
      <c r="E146" s="8" t="s">
        <v>1274</v>
      </c>
      <c r="F146" s="8" t="s">
        <v>2360</v>
      </c>
      <c r="H146" s="8"/>
      <c r="I146" s="8" t="s">
        <v>1969</v>
      </c>
      <c r="J146" s="8" t="s">
        <v>11087</v>
      </c>
      <c r="K146" t="s">
        <v>11232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8" t="s">
        <v>884</v>
      </c>
      <c r="E147" s="8" t="s">
        <v>2356</v>
      </c>
      <c r="F147" s="8" t="s">
        <v>2360</v>
      </c>
      <c r="H147" s="8"/>
      <c r="I147" s="8" t="s">
        <v>1971</v>
      </c>
      <c r="J147" s="8" t="s">
        <v>11087</v>
      </c>
      <c r="K147" t="s">
        <v>11233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8" t="s">
        <v>884</v>
      </c>
      <c r="E148" s="8" t="s">
        <v>1274</v>
      </c>
      <c r="F148" s="8" t="s">
        <v>886</v>
      </c>
      <c r="H148" s="8"/>
      <c r="I148" s="8" t="s">
        <v>1973</v>
      </c>
      <c r="J148" s="8" t="s">
        <v>11087</v>
      </c>
      <c r="K148" t="s">
        <v>11234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8" t="s">
        <v>4</v>
      </c>
      <c r="E149" s="8" t="s">
        <v>9</v>
      </c>
      <c r="F149" s="8"/>
      <c r="H149" s="8"/>
      <c r="I149" s="8" t="s">
        <v>1975</v>
      </c>
      <c r="J149" s="8" t="s">
        <v>11087</v>
      </c>
      <c r="K149" t="s">
        <v>11235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8" t="s">
        <v>2361</v>
      </c>
      <c r="E150" s="8" t="s">
        <v>1274</v>
      </c>
      <c r="F150" s="8"/>
      <c r="H150" s="8"/>
      <c r="I150" s="8" t="s">
        <v>1977</v>
      </c>
      <c r="J150" s="8" t="s">
        <v>11087</v>
      </c>
      <c r="K150" t="s">
        <v>11236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8" t="s">
        <v>2362</v>
      </c>
      <c r="E151" s="8" t="s">
        <v>1274</v>
      </c>
      <c r="F151" s="8"/>
      <c r="H151" s="8"/>
      <c r="I151" s="8" t="s">
        <v>1979</v>
      </c>
      <c r="J151" s="8" t="s">
        <v>11087</v>
      </c>
      <c r="K151" t="s">
        <v>11237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8" t="s">
        <v>4</v>
      </c>
      <c r="E152" s="8" t="s">
        <v>9</v>
      </c>
      <c r="F152" s="8"/>
      <c r="H152" s="8"/>
      <c r="I152" s="8" t="s">
        <v>1981</v>
      </c>
      <c r="J152" s="8" t="s">
        <v>11087</v>
      </c>
      <c r="K152" t="s">
        <v>11238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8" t="s">
        <v>4</v>
      </c>
      <c r="E153" s="8" t="s">
        <v>9</v>
      </c>
      <c r="F153" s="8"/>
      <c r="H153" s="8" t="s">
        <v>2352</v>
      </c>
      <c r="I153" s="8" t="s">
        <v>1983</v>
      </c>
      <c r="J153" s="8" t="s">
        <v>11087</v>
      </c>
      <c r="K153" t="s">
        <v>11239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8" t="s">
        <v>4</v>
      </c>
      <c r="E154" s="8" t="s">
        <v>9</v>
      </c>
      <c r="F154" s="8"/>
      <c r="H154" s="8" t="s">
        <v>2352</v>
      </c>
      <c r="I154" s="8" t="s">
        <v>1985</v>
      </c>
      <c r="J154" s="8" t="s">
        <v>11087</v>
      </c>
      <c r="K154" t="s">
        <v>11240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8" t="s">
        <v>884</v>
      </c>
      <c r="E155" s="8" t="s">
        <v>1274</v>
      </c>
      <c r="F155" s="8" t="s">
        <v>58</v>
      </c>
      <c r="H155" s="8"/>
      <c r="I155" s="8" t="s">
        <v>1987</v>
      </c>
      <c r="J155" s="8" t="s">
        <v>11087</v>
      </c>
      <c r="K155" t="s">
        <v>11241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8" t="s">
        <v>4</v>
      </c>
      <c r="E156" s="8" t="s">
        <v>9</v>
      </c>
      <c r="F156" s="8"/>
      <c r="H156" s="8" t="s">
        <v>2352</v>
      </c>
      <c r="I156" s="8" t="s">
        <v>1989</v>
      </c>
      <c r="J156" s="8" t="s">
        <v>11087</v>
      </c>
      <c r="K156" t="s">
        <v>11242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8" t="s">
        <v>4</v>
      </c>
      <c r="E157" s="8" t="s">
        <v>9</v>
      </c>
      <c r="F157" s="8"/>
      <c r="H157" s="8" t="s">
        <v>2352</v>
      </c>
      <c r="I157" s="8" t="s">
        <v>1991</v>
      </c>
      <c r="J157" s="8" t="s">
        <v>11087</v>
      </c>
      <c r="K157" t="s">
        <v>11243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8" t="s">
        <v>4</v>
      </c>
      <c r="E158" s="8" t="s">
        <v>2363</v>
      </c>
      <c r="F158" s="8"/>
      <c r="H158" s="8"/>
      <c r="I158" s="8" t="s">
        <v>1993</v>
      </c>
      <c r="J158" s="8" t="s">
        <v>11087</v>
      </c>
      <c r="K158" t="s">
        <v>11244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8" t="s">
        <v>4</v>
      </c>
      <c r="E159" s="8" t="s">
        <v>9</v>
      </c>
      <c r="F159" s="8"/>
      <c r="H159" s="8"/>
      <c r="I159" s="8" t="s">
        <v>1995</v>
      </c>
      <c r="J159" s="8" t="s">
        <v>11087</v>
      </c>
      <c r="K159" t="s">
        <v>11245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8" t="s">
        <v>884</v>
      </c>
      <c r="E160" s="8" t="s">
        <v>2356</v>
      </c>
      <c r="F160" s="8" t="s">
        <v>58</v>
      </c>
      <c r="H160" s="8"/>
      <c r="I160" s="8" t="s">
        <v>1997</v>
      </c>
      <c r="J160" s="8" t="s">
        <v>11087</v>
      </c>
      <c r="K160" t="s">
        <v>11246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8" t="s">
        <v>4</v>
      </c>
      <c r="E161" s="8" t="s">
        <v>9</v>
      </c>
      <c r="F161" s="8"/>
      <c r="H161" s="8" t="s">
        <v>2352</v>
      </c>
      <c r="I161" s="8" t="s">
        <v>1999</v>
      </c>
      <c r="J161" s="8" t="s">
        <v>11087</v>
      </c>
      <c r="K161" t="s">
        <v>11247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8" t="s">
        <v>884</v>
      </c>
      <c r="E162" s="8" t="s">
        <v>1274</v>
      </c>
      <c r="F162" s="8" t="s">
        <v>58</v>
      </c>
      <c r="H162" s="8"/>
      <c r="I162" s="8" t="s">
        <v>2001</v>
      </c>
      <c r="J162" s="8" t="s">
        <v>11087</v>
      </c>
      <c r="K162" t="s">
        <v>11248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8" t="s">
        <v>4</v>
      </c>
      <c r="E163" s="8" t="s">
        <v>9</v>
      </c>
      <c r="F163" s="8"/>
      <c r="H163" s="8" t="s">
        <v>2352</v>
      </c>
      <c r="I163" s="8" t="s">
        <v>2003</v>
      </c>
      <c r="J163" s="8" t="s">
        <v>11087</v>
      </c>
      <c r="K163" t="s">
        <v>11249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8" t="s">
        <v>4</v>
      </c>
      <c r="E164" s="8" t="s">
        <v>9</v>
      </c>
      <c r="F164" s="8"/>
      <c r="H164" s="8" t="s">
        <v>2352</v>
      </c>
      <c r="I164" s="8" t="s">
        <v>2005</v>
      </c>
      <c r="J164" s="8" t="s">
        <v>11087</v>
      </c>
      <c r="K164" t="s">
        <v>11250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8" t="s">
        <v>884</v>
      </c>
      <c r="E165" s="8" t="s">
        <v>1274</v>
      </c>
      <c r="F165" s="8" t="s">
        <v>58</v>
      </c>
      <c r="H165" s="8"/>
      <c r="I165" s="8" t="s">
        <v>2007</v>
      </c>
      <c r="J165" s="8" t="s">
        <v>11087</v>
      </c>
      <c r="K165" t="s">
        <v>11251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8" t="s">
        <v>4</v>
      </c>
      <c r="E166" s="8" t="s">
        <v>9</v>
      </c>
      <c r="F166" s="8"/>
      <c r="H166" s="8"/>
      <c r="I166" s="8" t="s">
        <v>2009</v>
      </c>
      <c r="J166" s="8" t="s">
        <v>11087</v>
      </c>
      <c r="K166" t="s">
        <v>11252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8" t="s">
        <v>1607</v>
      </c>
      <c r="E167" s="8"/>
      <c r="F167" s="8"/>
      <c r="H167" s="8"/>
      <c r="I167" s="8" t="s">
        <v>2011</v>
      </c>
      <c r="J167" s="8" t="s">
        <v>11087</v>
      </c>
      <c r="K167" t="s">
        <v>11253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8" t="s">
        <v>1607</v>
      </c>
      <c r="E168" s="8"/>
      <c r="F168" s="8"/>
      <c r="H168" s="8"/>
      <c r="I168" s="8" t="s">
        <v>2013</v>
      </c>
      <c r="J168" s="8" t="s">
        <v>11087</v>
      </c>
      <c r="K168" t="s">
        <v>11254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8" t="s">
        <v>4</v>
      </c>
      <c r="E169" s="8" t="s">
        <v>9</v>
      </c>
      <c r="F169" s="8"/>
      <c r="H169" s="8"/>
      <c r="I169" s="8" t="s">
        <v>3004</v>
      </c>
      <c r="J169" s="8" t="s">
        <v>11087</v>
      </c>
      <c r="K169" t="s">
        <v>11255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8" t="s">
        <v>4</v>
      </c>
      <c r="E170" s="8" t="s">
        <v>9</v>
      </c>
      <c r="F170" s="8"/>
      <c r="H170" s="8" t="s">
        <v>2352</v>
      </c>
      <c r="I170" s="8" t="s">
        <v>3006</v>
      </c>
      <c r="J170" s="8" t="s">
        <v>11087</v>
      </c>
      <c r="K170" t="s">
        <v>11256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8" t="s">
        <v>4</v>
      </c>
      <c r="E171" s="8" t="s">
        <v>9</v>
      </c>
      <c r="F171" s="8"/>
      <c r="H171" s="8" t="s">
        <v>2352</v>
      </c>
      <c r="I171" s="8" t="s">
        <v>3008</v>
      </c>
      <c r="J171" s="8" t="s">
        <v>11087</v>
      </c>
      <c r="K171" t="s">
        <v>11257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8" t="s">
        <v>4</v>
      </c>
      <c r="E172" s="8" t="s">
        <v>9</v>
      </c>
      <c r="F172" s="8"/>
      <c r="H172" s="8" t="s">
        <v>2352</v>
      </c>
      <c r="I172" s="8" t="s">
        <v>3010</v>
      </c>
      <c r="J172" s="8" t="s">
        <v>11087</v>
      </c>
      <c r="K172" t="s">
        <v>11258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8" t="s">
        <v>4</v>
      </c>
      <c r="E173" s="8" t="s">
        <v>9</v>
      </c>
      <c r="F173" s="8"/>
      <c r="H173" s="8" t="s">
        <v>2352</v>
      </c>
      <c r="I173" s="8" t="s">
        <v>3012</v>
      </c>
      <c r="J173" s="8" t="s">
        <v>11087</v>
      </c>
      <c r="K173" t="s">
        <v>11259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8" t="s">
        <v>4</v>
      </c>
      <c r="E174" s="8" t="s">
        <v>9</v>
      </c>
      <c r="F174" s="8"/>
      <c r="H174" s="8"/>
      <c r="I174" s="8" t="s">
        <v>3014</v>
      </c>
      <c r="J174" s="8" t="s">
        <v>11087</v>
      </c>
      <c r="K174" t="s">
        <v>11260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8" t="s">
        <v>1627</v>
      </c>
      <c r="E175" s="8" t="s">
        <v>1058</v>
      </c>
      <c r="F175" s="8"/>
      <c r="H175" s="8"/>
      <c r="I175" s="8" t="s">
        <v>3016</v>
      </c>
      <c r="J175" s="8" t="s">
        <v>11087</v>
      </c>
      <c r="K175" t="s">
        <v>11261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8" t="s">
        <v>1627</v>
      </c>
      <c r="E176" s="8" t="s">
        <v>1058</v>
      </c>
      <c r="F176" s="8"/>
      <c r="H176" s="8" t="s">
        <v>2352</v>
      </c>
      <c r="I176" s="8" t="s">
        <v>3018</v>
      </c>
      <c r="J176" s="8" t="s">
        <v>11087</v>
      </c>
      <c r="K176" t="s">
        <v>11262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8" t="s">
        <v>1627</v>
      </c>
      <c r="E177" s="8" t="s">
        <v>1058</v>
      </c>
      <c r="F177" s="8"/>
      <c r="H177" s="8" t="s">
        <v>2352</v>
      </c>
      <c r="I177" s="8" t="s">
        <v>3020</v>
      </c>
      <c r="J177" s="8" t="s">
        <v>11087</v>
      </c>
      <c r="K177" t="s">
        <v>11263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8" t="s">
        <v>1627</v>
      </c>
      <c r="E178" s="8" t="s">
        <v>1058</v>
      </c>
      <c r="F178" s="8"/>
      <c r="H178" s="8" t="s">
        <v>2352</v>
      </c>
      <c r="I178" s="8" t="s">
        <v>3022</v>
      </c>
      <c r="J178" s="8" t="s">
        <v>11087</v>
      </c>
      <c r="K178" t="s">
        <v>11264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8" t="s">
        <v>1627</v>
      </c>
      <c r="E179" s="8" t="s">
        <v>1058</v>
      </c>
      <c r="F179" s="8"/>
      <c r="H179" s="8" t="s">
        <v>2352</v>
      </c>
      <c r="I179" s="8" t="s">
        <v>3024</v>
      </c>
      <c r="J179" s="8" t="s">
        <v>11087</v>
      </c>
      <c r="K179" t="s">
        <v>11265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8" t="s">
        <v>4</v>
      </c>
      <c r="E180" s="8" t="s">
        <v>9</v>
      </c>
      <c r="F180" s="8"/>
      <c r="H180" s="8"/>
      <c r="I180" s="8" t="s">
        <v>3026</v>
      </c>
      <c r="J180" s="8" t="s">
        <v>11087</v>
      </c>
      <c r="K180" t="s">
        <v>11266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8" t="s">
        <v>1627</v>
      </c>
      <c r="E181" s="8" t="s">
        <v>1058</v>
      </c>
      <c r="F181" s="8"/>
      <c r="H181" s="8" t="s">
        <v>2352</v>
      </c>
      <c r="I181" s="8" t="s">
        <v>3028</v>
      </c>
      <c r="J181" s="8" t="s">
        <v>11087</v>
      </c>
      <c r="K181" t="s">
        <v>11267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8" t="s">
        <v>1627</v>
      </c>
      <c r="E182" s="8" t="s">
        <v>1058</v>
      </c>
      <c r="F182" s="8"/>
      <c r="H182" s="8" t="s">
        <v>2352</v>
      </c>
      <c r="I182" s="8" t="s">
        <v>3030</v>
      </c>
      <c r="J182" s="8" t="s">
        <v>11087</v>
      </c>
      <c r="K182" t="s">
        <v>11268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8" t="s">
        <v>1627</v>
      </c>
      <c r="E183" s="8" t="s">
        <v>1058</v>
      </c>
      <c r="F183" s="8"/>
      <c r="H183" s="8" t="s">
        <v>2352</v>
      </c>
      <c r="I183" s="8" t="s">
        <v>3032</v>
      </c>
      <c r="J183" s="8" t="s">
        <v>11087</v>
      </c>
      <c r="K183" t="s">
        <v>11269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8" t="s">
        <v>1627</v>
      </c>
      <c r="E184" s="8" t="s">
        <v>1058</v>
      </c>
      <c r="F184" s="8"/>
      <c r="H184" s="8" t="s">
        <v>2352</v>
      </c>
      <c r="I184" s="8" t="s">
        <v>3034</v>
      </c>
      <c r="J184" s="8" t="s">
        <v>11087</v>
      </c>
      <c r="K184" t="s">
        <v>11270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8" t="s">
        <v>1627</v>
      </c>
      <c r="E185" s="8" t="s">
        <v>1058</v>
      </c>
      <c r="F185" s="8"/>
      <c r="H185" s="8" t="s">
        <v>2352</v>
      </c>
      <c r="I185" s="8" t="s">
        <v>3036</v>
      </c>
      <c r="J185" s="8" t="s">
        <v>11087</v>
      </c>
      <c r="K185" t="s">
        <v>11271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8" t="s">
        <v>1627</v>
      </c>
      <c r="E186" s="8" t="s">
        <v>1058</v>
      </c>
      <c r="F186" s="8"/>
      <c r="H186" s="8" t="s">
        <v>2352</v>
      </c>
      <c r="I186" s="8" t="s">
        <v>3038</v>
      </c>
      <c r="J186" s="8" t="s">
        <v>11087</v>
      </c>
      <c r="K186" t="s">
        <v>11272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8" t="s">
        <v>1627</v>
      </c>
      <c r="E187" s="8" t="s">
        <v>1058</v>
      </c>
      <c r="F187" s="8"/>
      <c r="H187" s="8" t="s">
        <v>2352</v>
      </c>
      <c r="I187" s="8" t="s">
        <v>3040</v>
      </c>
      <c r="J187" s="8" t="s">
        <v>11087</v>
      </c>
      <c r="K187" t="s">
        <v>11273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8" t="s">
        <v>1627</v>
      </c>
      <c r="E188" s="8" t="s">
        <v>1058</v>
      </c>
      <c r="F188" s="8"/>
      <c r="H188" s="8" t="s">
        <v>2352</v>
      </c>
      <c r="I188" s="8" t="s">
        <v>3042</v>
      </c>
      <c r="J188" s="8" t="s">
        <v>11087</v>
      </c>
      <c r="K188" t="s">
        <v>11274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8" t="s">
        <v>1627</v>
      </c>
      <c r="E189" s="8" t="s">
        <v>1058</v>
      </c>
      <c r="F189" s="8"/>
      <c r="H189" s="8" t="s">
        <v>2352</v>
      </c>
      <c r="I189" s="8" t="s">
        <v>3044</v>
      </c>
      <c r="J189" s="8" t="s">
        <v>11087</v>
      </c>
      <c r="K189" t="s">
        <v>11275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8" t="s">
        <v>4</v>
      </c>
      <c r="E190" s="8" t="s">
        <v>9</v>
      </c>
      <c r="F190" s="8"/>
      <c r="H190" s="8"/>
      <c r="I190" s="8" t="s">
        <v>3046</v>
      </c>
      <c r="J190" s="8" t="s">
        <v>11087</v>
      </c>
      <c r="K190" t="s">
        <v>11276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8" t="s">
        <v>4</v>
      </c>
      <c r="E191" s="8" t="s">
        <v>9</v>
      </c>
      <c r="F191" s="8"/>
      <c r="H191" s="8" t="s">
        <v>2352</v>
      </c>
      <c r="I191" s="8" t="s">
        <v>3048</v>
      </c>
      <c r="J191" s="8" t="s">
        <v>11087</v>
      </c>
      <c r="K191" t="s">
        <v>11277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8" t="s">
        <v>4</v>
      </c>
      <c r="E192" s="8" t="s">
        <v>9</v>
      </c>
      <c r="F192" s="8"/>
      <c r="H192" s="8" t="s">
        <v>2352</v>
      </c>
      <c r="I192" s="8" t="s">
        <v>3050</v>
      </c>
      <c r="J192" s="8" t="s">
        <v>11087</v>
      </c>
      <c r="K192" t="s">
        <v>11278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8" t="s">
        <v>4</v>
      </c>
      <c r="E193" s="8" t="s">
        <v>9</v>
      </c>
      <c r="F193" s="8"/>
      <c r="H193" s="8" t="s">
        <v>2352</v>
      </c>
      <c r="I193" s="8" t="s">
        <v>3052</v>
      </c>
      <c r="J193" s="8" t="s">
        <v>11087</v>
      </c>
      <c r="K193" t="s">
        <v>11279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8" t="s">
        <v>4</v>
      </c>
      <c r="E194" s="8" t="s">
        <v>9</v>
      </c>
      <c r="F194" s="8"/>
      <c r="H194" s="8" t="s">
        <v>2352</v>
      </c>
      <c r="I194" s="8" t="s">
        <v>3054</v>
      </c>
      <c r="J194" s="8" t="s">
        <v>11087</v>
      </c>
      <c r="K194" t="s">
        <v>11280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8" t="s">
        <v>4</v>
      </c>
      <c r="E195" s="8" t="s">
        <v>9</v>
      </c>
      <c r="F195" s="8"/>
      <c r="H195" s="8" t="s">
        <v>2352</v>
      </c>
      <c r="I195" s="8" t="s">
        <v>3056</v>
      </c>
      <c r="J195" s="8" t="s">
        <v>11087</v>
      </c>
      <c r="K195" t="s">
        <v>11281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8" t="s">
        <v>4</v>
      </c>
      <c r="E196" s="8" t="s">
        <v>9</v>
      </c>
      <c r="F196" s="8"/>
      <c r="H196" s="8" t="s">
        <v>2352</v>
      </c>
      <c r="I196" s="8" t="s">
        <v>3058</v>
      </c>
      <c r="J196" s="8" t="s">
        <v>11087</v>
      </c>
      <c r="K196" t="s">
        <v>11282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8" t="s">
        <v>4</v>
      </c>
      <c r="E197" s="8" t="s">
        <v>9</v>
      </c>
      <c r="F197" s="8"/>
      <c r="H197" s="8" t="s">
        <v>2352</v>
      </c>
      <c r="I197" s="8" t="s">
        <v>3060</v>
      </c>
      <c r="J197" s="8" t="s">
        <v>11087</v>
      </c>
      <c r="K197" t="s">
        <v>11283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8" t="s">
        <v>4</v>
      </c>
      <c r="E198" s="8" t="s">
        <v>9</v>
      </c>
      <c r="F198" s="8"/>
      <c r="H198" s="8" t="s">
        <v>2352</v>
      </c>
      <c r="I198" s="8" t="s">
        <v>3062</v>
      </c>
      <c r="J198" s="8" t="s">
        <v>11087</v>
      </c>
      <c r="K198" t="s">
        <v>11284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8" t="s">
        <v>4</v>
      </c>
      <c r="E199" s="8" t="s">
        <v>9</v>
      </c>
      <c r="F199" s="8"/>
      <c r="H199" s="8" t="s">
        <v>2352</v>
      </c>
      <c r="I199" s="8" t="s">
        <v>3064</v>
      </c>
      <c r="J199" s="8" t="s">
        <v>11087</v>
      </c>
      <c r="K199" t="s">
        <v>11285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8" t="s">
        <v>4</v>
      </c>
      <c r="E200" s="8" t="s">
        <v>9</v>
      </c>
      <c r="F200" s="8"/>
      <c r="H200" s="8" t="s">
        <v>2352</v>
      </c>
      <c r="I200" s="8" t="s">
        <v>3066</v>
      </c>
      <c r="J200" s="8" t="s">
        <v>11087</v>
      </c>
      <c r="K200" t="s">
        <v>11286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8" t="s">
        <v>4</v>
      </c>
      <c r="E201" s="8" t="s">
        <v>9</v>
      </c>
      <c r="F201" s="8"/>
      <c r="H201" s="8" t="s">
        <v>2352</v>
      </c>
      <c r="I201" s="8" t="s">
        <v>3068</v>
      </c>
      <c r="J201" s="8" t="s">
        <v>11087</v>
      </c>
      <c r="K201" t="s">
        <v>11287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8" t="s">
        <v>4</v>
      </c>
      <c r="E202" s="8" t="s">
        <v>9</v>
      </c>
      <c r="F202" s="8"/>
      <c r="H202" s="8" t="s">
        <v>2352</v>
      </c>
      <c r="I202" s="8" t="s">
        <v>3070</v>
      </c>
      <c r="J202" s="8" t="s">
        <v>11087</v>
      </c>
      <c r="K202" t="s">
        <v>11288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8" t="s">
        <v>4</v>
      </c>
      <c r="E203" s="8" t="s">
        <v>9</v>
      </c>
      <c r="F203" s="8"/>
      <c r="H203" s="8" t="s">
        <v>2352</v>
      </c>
      <c r="I203" s="8" t="s">
        <v>3072</v>
      </c>
      <c r="J203" s="8" t="s">
        <v>11087</v>
      </c>
      <c r="K203" t="s">
        <v>11289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8" t="s">
        <v>4</v>
      </c>
      <c r="E204" s="8" t="s">
        <v>9</v>
      </c>
      <c r="F204" s="8"/>
      <c r="H204" s="8" t="s">
        <v>2352</v>
      </c>
      <c r="I204" s="8" t="s">
        <v>3074</v>
      </c>
      <c r="J204" s="8" t="s">
        <v>11087</v>
      </c>
      <c r="K204" t="s">
        <v>11290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8" t="s">
        <v>4</v>
      </c>
      <c r="E205" s="8" t="s">
        <v>9</v>
      </c>
      <c r="F205" s="8"/>
      <c r="H205" s="8" t="s">
        <v>2352</v>
      </c>
      <c r="I205" s="8" t="s">
        <v>3076</v>
      </c>
      <c r="J205" s="8" t="s">
        <v>11087</v>
      </c>
      <c r="K205" t="s">
        <v>11291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8" t="s">
        <v>4</v>
      </c>
      <c r="E206" s="8" t="s">
        <v>9</v>
      </c>
      <c r="F206" s="8"/>
      <c r="H206" s="8" t="s">
        <v>2352</v>
      </c>
      <c r="I206" s="8" t="s">
        <v>3078</v>
      </c>
      <c r="J206" s="8" t="s">
        <v>11087</v>
      </c>
      <c r="K206" t="s">
        <v>11292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8" t="s">
        <v>4</v>
      </c>
      <c r="E207" s="8" t="s">
        <v>9</v>
      </c>
      <c r="F207" s="8"/>
      <c r="H207" s="8" t="s">
        <v>2352</v>
      </c>
      <c r="I207" s="8" t="s">
        <v>3080</v>
      </c>
      <c r="J207" s="8" t="s">
        <v>11087</v>
      </c>
      <c r="K207" t="s">
        <v>11293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8" t="s">
        <v>4</v>
      </c>
      <c r="E208" s="8" t="s">
        <v>9</v>
      </c>
      <c r="F208" s="8"/>
      <c r="H208" s="8" t="s">
        <v>2352</v>
      </c>
      <c r="I208" s="8" t="s">
        <v>3082</v>
      </c>
      <c r="J208" s="8" t="s">
        <v>11087</v>
      </c>
      <c r="K208" t="s">
        <v>11294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8" t="s">
        <v>4</v>
      </c>
      <c r="E209" s="8" t="s">
        <v>9</v>
      </c>
      <c r="F209" s="8"/>
      <c r="H209" s="8" t="s">
        <v>2352</v>
      </c>
      <c r="I209" s="8" t="s">
        <v>3084</v>
      </c>
      <c r="J209" s="8" t="s">
        <v>11087</v>
      </c>
      <c r="K209" t="s">
        <v>11295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8" t="s">
        <v>3386</v>
      </c>
      <c r="E210" s="8" t="s">
        <v>86</v>
      </c>
      <c r="F210" s="8" t="s">
        <v>58</v>
      </c>
      <c r="H210" s="8"/>
      <c r="I210" s="8" t="s">
        <v>3086</v>
      </c>
      <c r="J210" s="8" t="s">
        <v>11087</v>
      </c>
      <c r="K210" t="s">
        <v>11296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8" t="s">
        <v>4</v>
      </c>
      <c r="E211" s="8" t="s">
        <v>9</v>
      </c>
      <c r="F211" s="8"/>
      <c r="H211" s="8"/>
      <c r="I211" s="8" t="s">
        <v>3088</v>
      </c>
      <c r="J211" s="8" t="s">
        <v>11087</v>
      </c>
      <c r="K211" t="s">
        <v>11297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8" t="s">
        <v>4</v>
      </c>
      <c r="E212" s="8" t="s">
        <v>3387</v>
      </c>
      <c r="F212" s="8" t="s">
        <v>892</v>
      </c>
      <c r="H212" s="8"/>
      <c r="I212" s="8" t="s">
        <v>3090</v>
      </c>
      <c r="J212" s="8" t="s">
        <v>11087</v>
      </c>
      <c r="K212" t="s">
        <v>11298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8" t="s">
        <v>1607</v>
      </c>
      <c r="E213" s="8"/>
      <c r="F213" s="8"/>
      <c r="H213" s="8"/>
      <c r="I213" s="8" t="s">
        <v>3442</v>
      </c>
      <c r="J213" s="8" t="s">
        <v>11087</v>
      </c>
      <c r="K213" t="s">
        <v>11299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8" t="s">
        <v>4</v>
      </c>
      <c r="E214" s="8" t="s">
        <v>9</v>
      </c>
      <c r="F214" s="8"/>
      <c r="H214" s="8"/>
      <c r="I214" s="8" t="s">
        <v>3719</v>
      </c>
      <c r="J214" s="8" t="s">
        <v>11087</v>
      </c>
      <c r="K214" t="s">
        <v>11300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8" t="s">
        <v>4130</v>
      </c>
      <c r="E215" s="8" t="s">
        <v>4129</v>
      </c>
      <c r="F215" s="8"/>
      <c r="H215" s="8"/>
      <c r="I215" s="8" t="s">
        <v>3721</v>
      </c>
      <c r="J215" s="8" t="s">
        <v>11087</v>
      </c>
      <c r="K215" t="s">
        <v>11301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8" t="s">
        <v>4130</v>
      </c>
      <c r="E216" s="8" t="s">
        <v>4129</v>
      </c>
      <c r="F216" s="8"/>
      <c r="H216" s="8" t="s">
        <v>2352</v>
      </c>
      <c r="I216" s="8" t="s">
        <v>3723</v>
      </c>
      <c r="J216" s="8" t="s">
        <v>11087</v>
      </c>
      <c r="K216" t="s">
        <v>11302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8" t="s">
        <v>884</v>
      </c>
      <c r="E217" s="8" t="s">
        <v>4131</v>
      </c>
      <c r="F217" s="8" t="s">
        <v>892</v>
      </c>
      <c r="H217" s="8"/>
      <c r="I217" s="8" t="s">
        <v>3725</v>
      </c>
      <c r="J217" s="8" t="s">
        <v>11087</v>
      </c>
      <c r="K217" t="s">
        <v>11303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8" t="s">
        <v>884</v>
      </c>
      <c r="E218" s="8" t="s">
        <v>4131</v>
      </c>
      <c r="F218" s="8" t="s">
        <v>892</v>
      </c>
      <c r="H218" s="8" t="s">
        <v>2352</v>
      </c>
      <c r="I218" s="8" t="s">
        <v>3727</v>
      </c>
      <c r="J218" s="8" t="s">
        <v>11087</v>
      </c>
      <c r="K218" t="s">
        <v>11304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8" t="s">
        <v>4</v>
      </c>
      <c r="E219" s="8" t="s">
        <v>9</v>
      </c>
      <c r="F219" s="8"/>
      <c r="H219" s="8"/>
      <c r="I219" s="8" t="s">
        <v>3729</v>
      </c>
      <c r="J219" s="8" t="s">
        <v>11087</v>
      </c>
      <c r="K219" t="s">
        <v>11305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8" t="s">
        <v>4</v>
      </c>
      <c r="E220" s="8" t="s">
        <v>9</v>
      </c>
      <c r="F220" s="8"/>
      <c r="H220" s="8" t="s">
        <v>2352</v>
      </c>
      <c r="I220" s="8" t="s">
        <v>3731</v>
      </c>
      <c r="J220" s="8" t="s">
        <v>11087</v>
      </c>
      <c r="K220" t="s">
        <v>11306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8" t="s">
        <v>4</v>
      </c>
      <c r="E221" s="8" t="s">
        <v>9</v>
      </c>
      <c r="F221" s="8"/>
      <c r="H221" s="8" t="s">
        <v>2352</v>
      </c>
      <c r="I221" s="8" t="s">
        <v>3733</v>
      </c>
      <c r="J221" s="8" t="s">
        <v>11087</v>
      </c>
      <c r="K221" t="s">
        <v>11307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8" t="s">
        <v>4</v>
      </c>
      <c r="E222" s="8" t="s">
        <v>9</v>
      </c>
      <c r="F222" s="8"/>
      <c r="H222" s="8" t="s">
        <v>2352</v>
      </c>
      <c r="I222" s="8" t="s">
        <v>3735</v>
      </c>
      <c r="J222" s="8" t="s">
        <v>11087</v>
      </c>
      <c r="K222" t="s">
        <v>11308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8" t="s">
        <v>4</v>
      </c>
      <c r="E223" s="8" t="s">
        <v>9</v>
      </c>
      <c r="F223" s="8"/>
      <c r="H223" s="8" t="s">
        <v>2352</v>
      </c>
      <c r="I223" s="8" t="s">
        <v>3737</v>
      </c>
      <c r="J223" s="8" t="s">
        <v>11087</v>
      </c>
      <c r="K223" t="s">
        <v>11309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8" t="s">
        <v>4</v>
      </c>
      <c r="E224" s="8" t="s">
        <v>9</v>
      </c>
      <c r="F224" s="8"/>
      <c r="H224" s="8" t="s">
        <v>2352</v>
      </c>
      <c r="I224" s="8" t="s">
        <v>3739</v>
      </c>
      <c r="J224" s="8" t="s">
        <v>11087</v>
      </c>
      <c r="K224" t="s">
        <v>11310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8" t="s">
        <v>4</v>
      </c>
      <c r="E225" s="8" t="s">
        <v>9</v>
      </c>
      <c r="F225" s="8"/>
      <c r="H225" s="8" t="s">
        <v>2352</v>
      </c>
      <c r="I225" s="8" t="s">
        <v>3741</v>
      </c>
      <c r="J225" s="8" t="s">
        <v>11087</v>
      </c>
      <c r="K225" t="s">
        <v>11311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8" t="s">
        <v>4</v>
      </c>
      <c r="E226" s="8" t="s">
        <v>9</v>
      </c>
      <c r="F226" s="8"/>
      <c r="H226" s="8" t="s">
        <v>2352</v>
      </c>
      <c r="I226" s="8" t="s">
        <v>3743</v>
      </c>
      <c r="J226" s="8" t="s">
        <v>11087</v>
      </c>
      <c r="K226" t="s">
        <v>11312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8" t="s">
        <v>4</v>
      </c>
      <c r="E227" s="8" t="s">
        <v>9</v>
      </c>
      <c r="F227" s="8"/>
      <c r="H227" s="8" t="s">
        <v>2352</v>
      </c>
      <c r="I227" s="8" t="s">
        <v>3745</v>
      </c>
      <c r="J227" s="8" t="s">
        <v>11087</v>
      </c>
      <c r="K227" t="s">
        <v>11313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8" t="s">
        <v>4</v>
      </c>
      <c r="E228" s="8" t="s">
        <v>9</v>
      </c>
      <c r="F228" s="8"/>
      <c r="H228" s="8" t="s">
        <v>2352</v>
      </c>
      <c r="I228" s="8" t="s">
        <v>3747</v>
      </c>
      <c r="J228" s="8" t="s">
        <v>11087</v>
      </c>
      <c r="K228" t="s">
        <v>11314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8" t="s">
        <v>4</v>
      </c>
      <c r="E229" s="8" t="s">
        <v>9</v>
      </c>
      <c r="F229" s="8"/>
      <c r="H229" s="8" t="s">
        <v>2352</v>
      </c>
      <c r="I229" s="8" t="s">
        <v>3749</v>
      </c>
      <c r="J229" s="8" t="s">
        <v>11087</v>
      </c>
      <c r="K229" t="s">
        <v>11315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8" t="s">
        <v>4</v>
      </c>
      <c r="E230" s="8" t="s">
        <v>9</v>
      </c>
      <c r="F230" s="8"/>
      <c r="H230" s="8" t="s">
        <v>2352</v>
      </c>
      <c r="I230" s="8" t="s">
        <v>3751</v>
      </c>
      <c r="J230" s="8" t="s">
        <v>11087</v>
      </c>
      <c r="K230" t="s">
        <v>11316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8" t="s">
        <v>884</v>
      </c>
      <c r="E231" s="8" t="s">
        <v>1274</v>
      </c>
      <c r="F231" s="8" t="s">
        <v>58</v>
      </c>
      <c r="H231" s="8"/>
      <c r="I231" s="8" t="s">
        <v>3753</v>
      </c>
      <c r="J231" s="8" t="s">
        <v>11087</v>
      </c>
      <c r="K231" t="s">
        <v>11317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8" t="s">
        <v>4</v>
      </c>
      <c r="E232" s="8" t="s">
        <v>9</v>
      </c>
      <c r="F232" s="8"/>
      <c r="H232" s="8" t="s">
        <v>2352</v>
      </c>
      <c r="I232" s="8" t="s">
        <v>3755</v>
      </c>
      <c r="J232" s="8" t="s">
        <v>11087</v>
      </c>
      <c r="K232" t="s">
        <v>11318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8" t="s">
        <v>884</v>
      </c>
      <c r="E233" s="8" t="s">
        <v>1274</v>
      </c>
      <c r="F233" s="8" t="s">
        <v>58</v>
      </c>
      <c r="H233" s="8"/>
      <c r="I233" s="8" t="s">
        <v>3757</v>
      </c>
      <c r="J233" s="8" t="s">
        <v>11087</v>
      </c>
      <c r="K233" t="s">
        <v>11319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8" t="s">
        <v>4</v>
      </c>
      <c r="E234" s="8" t="s">
        <v>9</v>
      </c>
      <c r="F234" s="8"/>
      <c r="H234" s="8" t="s">
        <v>2352</v>
      </c>
      <c r="I234" s="8" t="s">
        <v>3759</v>
      </c>
      <c r="J234" s="8" t="s">
        <v>11087</v>
      </c>
      <c r="K234" t="s">
        <v>11320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8" t="s">
        <v>884</v>
      </c>
      <c r="E235" s="8" t="s">
        <v>1274</v>
      </c>
      <c r="F235" s="8" t="s">
        <v>58</v>
      </c>
      <c r="H235" s="8"/>
      <c r="I235" s="8" t="s">
        <v>3761</v>
      </c>
      <c r="J235" s="8" t="s">
        <v>11087</v>
      </c>
      <c r="K235" t="s">
        <v>11321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8" t="s">
        <v>4</v>
      </c>
      <c r="E236" s="8" t="s">
        <v>9</v>
      </c>
      <c r="F236" s="8"/>
      <c r="H236" s="8" t="s">
        <v>2352</v>
      </c>
      <c r="I236" s="8" t="s">
        <v>3763</v>
      </c>
      <c r="J236" s="8" t="s">
        <v>11087</v>
      </c>
      <c r="K236" t="s">
        <v>11322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8" t="s">
        <v>884</v>
      </c>
      <c r="E237" s="8" t="s">
        <v>1274</v>
      </c>
      <c r="F237" s="8" t="s">
        <v>58</v>
      </c>
      <c r="H237" s="8"/>
      <c r="I237" s="8" t="s">
        <v>3765</v>
      </c>
      <c r="J237" s="8" t="s">
        <v>11087</v>
      </c>
      <c r="K237" t="s">
        <v>11323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8" t="s">
        <v>4</v>
      </c>
      <c r="E238" s="8" t="s">
        <v>9</v>
      </c>
      <c r="F238" s="8"/>
      <c r="H238" s="8"/>
      <c r="I238" s="8" t="s">
        <v>3767</v>
      </c>
      <c r="J238" s="8" t="s">
        <v>11087</v>
      </c>
      <c r="K238" t="s">
        <v>11324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8" t="s">
        <v>4</v>
      </c>
      <c r="E239" s="8" t="s">
        <v>9</v>
      </c>
      <c r="F239" s="8"/>
      <c r="H239" s="8" t="s">
        <v>2352</v>
      </c>
      <c r="I239" s="8" t="s">
        <v>3769</v>
      </c>
      <c r="J239" s="8" t="s">
        <v>11087</v>
      </c>
      <c r="K239" t="s">
        <v>11325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8" t="s">
        <v>4</v>
      </c>
      <c r="E240" s="8" t="s">
        <v>9</v>
      </c>
      <c r="F240" s="8"/>
      <c r="H240" s="8" t="s">
        <v>2352</v>
      </c>
      <c r="I240" s="8" t="s">
        <v>3771</v>
      </c>
      <c r="J240" s="8" t="s">
        <v>11087</v>
      </c>
      <c r="K240" t="s">
        <v>11326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8" t="s">
        <v>4</v>
      </c>
      <c r="E241" s="8" t="s">
        <v>9</v>
      </c>
      <c r="F241" s="8"/>
      <c r="H241" s="8" t="s">
        <v>2352</v>
      </c>
      <c r="I241" s="8" t="s">
        <v>3773</v>
      </c>
      <c r="J241" s="8" t="s">
        <v>11087</v>
      </c>
      <c r="K241" t="s">
        <v>11327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8" t="s">
        <v>4</v>
      </c>
      <c r="E242" s="8" t="s">
        <v>9</v>
      </c>
      <c r="F242" s="8"/>
      <c r="H242" s="8" t="s">
        <v>2352</v>
      </c>
      <c r="I242" s="8" t="s">
        <v>3775</v>
      </c>
      <c r="J242" s="8" t="s">
        <v>11087</v>
      </c>
      <c r="K242" t="s">
        <v>11328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8" t="s">
        <v>4</v>
      </c>
      <c r="E243" s="8" t="s">
        <v>9</v>
      </c>
      <c r="F243" s="8"/>
      <c r="H243" s="8" t="s">
        <v>2352</v>
      </c>
      <c r="I243" s="8" t="s">
        <v>3777</v>
      </c>
      <c r="J243" s="8" t="s">
        <v>11087</v>
      </c>
      <c r="K243" t="s">
        <v>11329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8" t="s">
        <v>884</v>
      </c>
      <c r="E244" s="8" t="s">
        <v>468</v>
      </c>
      <c r="F244" s="8" t="s">
        <v>2360</v>
      </c>
      <c r="H244" s="8"/>
      <c r="I244" s="8" t="s">
        <v>3779</v>
      </c>
      <c r="J244" s="8" t="s">
        <v>11087</v>
      </c>
      <c r="K244" t="s">
        <v>11330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8" t="s">
        <v>4</v>
      </c>
      <c r="E245" s="8" t="s">
        <v>9</v>
      </c>
      <c r="F245" s="8"/>
      <c r="H245" s="8" t="s">
        <v>2352</v>
      </c>
      <c r="I245" s="8" t="s">
        <v>3781</v>
      </c>
      <c r="J245" s="8" t="s">
        <v>11087</v>
      </c>
      <c r="K245" t="s">
        <v>11331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8" t="s">
        <v>884</v>
      </c>
      <c r="E246" s="8" t="s">
        <v>1274</v>
      </c>
      <c r="F246" s="8" t="s">
        <v>58</v>
      </c>
      <c r="H246" s="8"/>
      <c r="I246" s="8" t="s">
        <v>3783</v>
      </c>
      <c r="J246" s="8" t="s">
        <v>11087</v>
      </c>
      <c r="K246" t="s">
        <v>11332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8" t="s">
        <v>4</v>
      </c>
      <c r="E247" s="8" t="s">
        <v>9</v>
      </c>
      <c r="F247" s="8"/>
      <c r="H247" s="8" t="s">
        <v>2352</v>
      </c>
      <c r="I247" s="8" t="s">
        <v>3785</v>
      </c>
      <c r="J247" s="8" t="s">
        <v>11087</v>
      </c>
      <c r="K247" t="s">
        <v>11333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8" t="s">
        <v>884</v>
      </c>
      <c r="E248" s="8" t="s">
        <v>1274</v>
      </c>
      <c r="F248" s="8" t="s">
        <v>58</v>
      </c>
      <c r="H248" s="8"/>
      <c r="I248" s="8" t="s">
        <v>3787</v>
      </c>
      <c r="J248" s="8" t="s">
        <v>11087</v>
      </c>
      <c r="K248" t="s">
        <v>11334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8" t="s">
        <v>4</v>
      </c>
      <c r="E249" s="8" t="s">
        <v>9</v>
      </c>
      <c r="F249" s="8"/>
      <c r="H249" s="8" t="s">
        <v>2352</v>
      </c>
      <c r="I249" s="8" t="s">
        <v>3789</v>
      </c>
      <c r="J249" s="8" t="s">
        <v>11087</v>
      </c>
      <c r="K249" t="s">
        <v>11335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8" t="s">
        <v>4</v>
      </c>
      <c r="E250" s="8" t="s">
        <v>9</v>
      </c>
      <c r="F250" s="8"/>
      <c r="H250" s="8" t="s">
        <v>2352</v>
      </c>
      <c r="I250" s="8" t="s">
        <v>3791</v>
      </c>
      <c r="J250" s="8" t="s">
        <v>11087</v>
      </c>
      <c r="K250" t="s">
        <v>11336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8" t="s">
        <v>4</v>
      </c>
      <c r="E251" s="8" t="s">
        <v>9</v>
      </c>
      <c r="F251" s="8"/>
      <c r="H251" s="8" t="s">
        <v>2352</v>
      </c>
      <c r="I251" s="8" t="s">
        <v>3793</v>
      </c>
      <c r="J251" s="8" t="s">
        <v>11087</v>
      </c>
      <c r="K251" t="s">
        <v>11337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8" t="s">
        <v>4</v>
      </c>
      <c r="E252" s="8" t="s">
        <v>9</v>
      </c>
      <c r="F252" s="8"/>
      <c r="H252" s="8" t="s">
        <v>2352</v>
      </c>
      <c r="I252" s="8" t="s">
        <v>3795</v>
      </c>
      <c r="J252" s="8" t="s">
        <v>11087</v>
      </c>
      <c r="K252" t="s">
        <v>11338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8" t="s">
        <v>4</v>
      </c>
      <c r="E253" s="8" t="s">
        <v>9</v>
      </c>
      <c r="F253" s="8"/>
      <c r="H253" s="8" t="s">
        <v>2352</v>
      </c>
      <c r="I253" s="8" t="s">
        <v>3797</v>
      </c>
      <c r="J253" s="8" t="s">
        <v>11087</v>
      </c>
      <c r="K253" t="s">
        <v>11339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8" t="s">
        <v>4</v>
      </c>
      <c r="E254" s="8" t="s">
        <v>9</v>
      </c>
      <c r="F254" s="8"/>
      <c r="H254" s="8" t="s">
        <v>2352</v>
      </c>
      <c r="I254" s="8" t="s">
        <v>3799</v>
      </c>
      <c r="J254" s="8" t="s">
        <v>11087</v>
      </c>
      <c r="K254" t="s">
        <v>11340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8" t="s">
        <v>4</v>
      </c>
      <c r="E255" s="8" t="s">
        <v>9</v>
      </c>
      <c r="F255" s="8"/>
      <c r="H255" s="8" t="s">
        <v>2352</v>
      </c>
      <c r="I255" s="8" t="s">
        <v>3801</v>
      </c>
      <c r="J255" s="8" t="s">
        <v>11087</v>
      </c>
      <c r="K255" t="s">
        <v>11341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8" t="s">
        <v>4</v>
      </c>
      <c r="E256" s="8" t="s">
        <v>468</v>
      </c>
      <c r="F256" s="8" t="s">
        <v>892</v>
      </c>
      <c r="H256" s="8" t="s">
        <v>4132</v>
      </c>
      <c r="I256" s="8" t="s">
        <v>3803</v>
      </c>
      <c r="J256" s="8" t="s">
        <v>11087</v>
      </c>
      <c r="K256" t="s">
        <v>11342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8" t="s">
        <v>4</v>
      </c>
      <c r="E257" s="8" t="s">
        <v>9</v>
      </c>
      <c r="F257" s="8"/>
      <c r="H257" s="8" t="s">
        <v>2352</v>
      </c>
      <c r="I257" s="8" t="s">
        <v>3805</v>
      </c>
      <c r="J257" s="8" t="s">
        <v>11087</v>
      </c>
      <c r="K257" t="s">
        <v>11343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8" t="s">
        <v>884</v>
      </c>
      <c r="E258" s="8" t="s">
        <v>1274</v>
      </c>
      <c r="F258" s="8" t="s">
        <v>58</v>
      </c>
      <c r="H258" s="8"/>
      <c r="I258" s="8" t="s">
        <v>3807</v>
      </c>
      <c r="J258" s="8" t="s">
        <v>11087</v>
      </c>
      <c r="K258" t="s">
        <v>11344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8" t="s">
        <v>4</v>
      </c>
      <c r="E259" s="8" t="s">
        <v>9</v>
      </c>
      <c r="F259" s="8"/>
      <c r="H259" s="8" t="s">
        <v>2352</v>
      </c>
      <c r="I259" s="8" t="s">
        <v>3809</v>
      </c>
      <c r="J259" s="8" t="s">
        <v>11087</v>
      </c>
      <c r="K259" t="s">
        <v>11345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8" t="s">
        <v>884</v>
      </c>
      <c r="E260" s="8" t="s">
        <v>1274</v>
      </c>
      <c r="F260" s="8" t="s">
        <v>58</v>
      </c>
      <c r="H260" s="8"/>
      <c r="I260" s="8" t="s">
        <v>3811</v>
      </c>
      <c r="J260" s="8" t="s">
        <v>11087</v>
      </c>
      <c r="K260" t="s">
        <v>11346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8" t="s">
        <v>4</v>
      </c>
      <c r="E261" s="8" t="s">
        <v>9</v>
      </c>
      <c r="F261" s="8"/>
      <c r="H261" s="8" t="s">
        <v>2352</v>
      </c>
      <c r="I261" s="8" t="s">
        <v>3813</v>
      </c>
      <c r="J261" s="8" t="s">
        <v>11087</v>
      </c>
      <c r="K261" t="s">
        <v>11347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8" t="s">
        <v>4</v>
      </c>
      <c r="E262" s="8" t="s">
        <v>9</v>
      </c>
      <c r="F262" s="8"/>
      <c r="H262" s="8" t="s">
        <v>2352</v>
      </c>
      <c r="I262" s="8" t="s">
        <v>3815</v>
      </c>
      <c r="J262" s="8" t="s">
        <v>11087</v>
      </c>
      <c r="K262" t="s">
        <v>11348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8" t="s">
        <v>4</v>
      </c>
      <c r="E263" s="8" t="s">
        <v>9</v>
      </c>
      <c r="F263" s="8"/>
      <c r="H263" s="8" t="s">
        <v>2352</v>
      </c>
      <c r="I263" s="8" t="s">
        <v>3817</v>
      </c>
      <c r="J263" s="8" t="s">
        <v>11087</v>
      </c>
      <c r="K263" t="s">
        <v>11349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8" t="s">
        <v>4</v>
      </c>
      <c r="E264" s="8" t="s">
        <v>9</v>
      </c>
      <c r="F264" s="8"/>
      <c r="H264" s="8" t="s">
        <v>2352</v>
      </c>
      <c r="I264" s="8" t="s">
        <v>3819</v>
      </c>
      <c r="J264" s="8" t="s">
        <v>11087</v>
      </c>
      <c r="K264" t="s">
        <v>11350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8" t="s">
        <v>4</v>
      </c>
      <c r="E265" s="8" t="s">
        <v>9</v>
      </c>
      <c r="F265" s="8"/>
      <c r="H265" s="8" t="s">
        <v>2352</v>
      </c>
      <c r="I265" s="8" t="s">
        <v>3821</v>
      </c>
      <c r="J265" s="8" t="s">
        <v>11087</v>
      </c>
      <c r="K265" t="s">
        <v>11351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8" t="s">
        <v>884</v>
      </c>
      <c r="E266" s="8" t="s">
        <v>1274</v>
      </c>
      <c r="F266" s="8" t="s">
        <v>58</v>
      </c>
      <c r="H266" s="8"/>
      <c r="I266" s="8" t="s">
        <v>3823</v>
      </c>
      <c r="J266" s="8" t="s">
        <v>11087</v>
      </c>
      <c r="K266" t="s">
        <v>11352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8" t="s">
        <v>4</v>
      </c>
      <c r="E267" s="8" t="s">
        <v>9</v>
      </c>
      <c r="F267" s="8"/>
      <c r="H267" s="8" t="s">
        <v>2352</v>
      </c>
      <c r="I267" s="8" t="s">
        <v>3825</v>
      </c>
      <c r="J267" s="8" t="s">
        <v>11087</v>
      </c>
      <c r="K267" t="s">
        <v>11353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8" t="s">
        <v>884</v>
      </c>
      <c r="E268" s="8" t="s">
        <v>1274</v>
      </c>
      <c r="F268" s="8" t="s">
        <v>58</v>
      </c>
      <c r="H268" s="8"/>
      <c r="I268" s="8" t="s">
        <v>3827</v>
      </c>
      <c r="J268" s="8" t="s">
        <v>11087</v>
      </c>
      <c r="K268" t="s">
        <v>11354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8" t="s">
        <v>4</v>
      </c>
      <c r="E269" s="8" t="s">
        <v>9</v>
      </c>
      <c r="F269" s="8"/>
      <c r="H269" s="8" t="s">
        <v>2352</v>
      </c>
      <c r="I269" s="8" t="s">
        <v>3829</v>
      </c>
      <c r="J269" s="8" t="s">
        <v>11087</v>
      </c>
      <c r="K269" t="s">
        <v>11355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8" t="s">
        <v>4</v>
      </c>
      <c r="E270" s="8" t="s">
        <v>9</v>
      </c>
      <c r="F270" s="8"/>
      <c r="H270" s="8" t="s">
        <v>2352</v>
      </c>
      <c r="I270" s="8" t="s">
        <v>3831</v>
      </c>
      <c r="J270" s="8" t="s">
        <v>11087</v>
      </c>
      <c r="K270" t="s">
        <v>11356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8" t="s">
        <v>4</v>
      </c>
      <c r="E271" s="8" t="s">
        <v>9</v>
      </c>
      <c r="F271" s="8"/>
      <c r="H271" s="8" t="s">
        <v>2352</v>
      </c>
      <c r="I271" s="8" t="s">
        <v>3833</v>
      </c>
      <c r="J271" s="8" t="s">
        <v>11087</v>
      </c>
      <c r="K271" t="s">
        <v>11357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8" t="s">
        <v>4</v>
      </c>
      <c r="E272" s="8" t="s">
        <v>9</v>
      </c>
      <c r="F272" s="8"/>
      <c r="H272" s="8" t="s">
        <v>2352</v>
      </c>
      <c r="I272" s="8" t="s">
        <v>3835</v>
      </c>
      <c r="J272" s="8" t="s">
        <v>11087</v>
      </c>
      <c r="K272" t="s">
        <v>11358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8" t="s">
        <v>4</v>
      </c>
      <c r="E273" s="8" t="s">
        <v>9</v>
      </c>
      <c r="F273" s="8"/>
      <c r="H273" s="8" t="s">
        <v>2352</v>
      </c>
      <c r="I273" s="8" t="s">
        <v>3837</v>
      </c>
      <c r="J273" s="8" t="s">
        <v>11087</v>
      </c>
      <c r="K273" t="s">
        <v>11359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8" t="s">
        <v>4</v>
      </c>
      <c r="E274" s="8" t="s">
        <v>9</v>
      </c>
      <c r="F274" s="8"/>
      <c r="H274" s="8" t="s">
        <v>2352</v>
      </c>
      <c r="I274" s="8" t="s">
        <v>3839</v>
      </c>
      <c r="J274" s="8" t="s">
        <v>11087</v>
      </c>
      <c r="K274" t="s">
        <v>11360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8" t="s">
        <v>4</v>
      </c>
      <c r="E275" s="8" t="s">
        <v>9</v>
      </c>
      <c r="F275" s="8"/>
      <c r="H275" s="8" t="s">
        <v>2352</v>
      </c>
      <c r="I275" s="8" t="s">
        <v>3841</v>
      </c>
      <c r="J275" s="8" t="s">
        <v>11087</v>
      </c>
      <c r="K275" t="s">
        <v>11361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8" t="s">
        <v>4</v>
      </c>
      <c r="E276" s="8" t="s">
        <v>9</v>
      </c>
      <c r="F276" s="8"/>
      <c r="H276" s="8" t="s">
        <v>2352</v>
      </c>
      <c r="I276" s="8" t="s">
        <v>3843</v>
      </c>
      <c r="J276" s="8" t="s">
        <v>11087</v>
      </c>
      <c r="K276" t="s">
        <v>11362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8" t="s">
        <v>4</v>
      </c>
      <c r="E277" s="8" t="s">
        <v>9</v>
      </c>
      <c r="F277" s="8"/>
      <c r="H277" s="8" t="s">
        <v>2352</v>
      </c>
      <c r="I277" s="8" t="s">
        <v>3845</v>
      </c>
      <c r="J277" s="8" t="s">
        <v>11087</v>
      </c>
      <c r="K277" t="s">
        <v>11363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8" t="s">
        <v>4</v>
      </c>
      <c r="E278" s="8" t="s">
        <v>9</v>
      </c>
      <c r="F278" s="8"/>
      <c r="H278" s="8" t="s">
        <v>2352</v>
      </c>
      <c r="I278" s="8" t="s">
        <v>3847</v>
      </c>
      <c r="J278" s="8" t="s">
        <v>11087</v>
      </c>
      <c r="K278" t="s">
        <v>11364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8" t="s">
        <v>4</v>
      </c>
      <c r="E279" s="8" t="s">
        <v>9</v>
      </c>
      <c r="F279" s="8"/>
      <c r="H279" s="8" t="s">
        <v>2352</v>
      </c>
      <c r="I279" s="8" t="s">
        <v>3849</v>
      </c>
      <c r="J279" s="8" t="s">
        <v>11087</v>
      </c>
      <c r="K279" t="s">
        <v>11365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8" t="s">
        <v>4</v>
      </c>
      <c r="E280" s="8" t="s">
        <v>9</v>
      </c>
      <c r="F280" s="8"/>
      <c r="H280" s="8" t="s">
        <v>2352</v>
      </c>
      <c r="I280" s="8" t="s">
        <v>3851</v>
      </c>
      <c r="J280" s="8" t="s">
        <v>11087</v>
      </c>
      <c r="K280" t="s">
        <v>11366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8" t="s">
        <v>4</v>
      </c>
      <c r="E281" s="8" t="s">
        <v>9</v>
      </c>
      <c r="F281" s="8"/>
      <c r="H281" s="8" t="s">
        <v>2352</v>
      </c>
      <c r="I281" s="8" t="s">
        <v>3853</v>
      </c>
      <c r="J281" s="8" t="s">
        <v>11087</v>
      </c>
      <c r="K281" t="s">
        <v>11367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8" t="s">
        <v>4</v>
      </c>
      <c r="E282" s="8" t="s">
        <v>9</v>
      </c>
      <c r="F282" s="8"/>
      <c r="H282" s="8"/>
      <c r="I282" s="8" t="s">
        <v>4214</v>
      </c>
      <c r="J282" s="8" t="s">
        <v>11087</v>
      </c>
      <c r="K282" t="s">
        <v>11368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8" t="s">
        <v>4</v>
      </c>
      <c r="E283" s="8" t="s">
        <v>9</v>
      </c>
      <c r="F283" s="8"/>
      <c r="H283" s="8" t="s">
        <v>4237</v>
      </c>
      <c r="I283" s="8" t="s">
        <v>4216</v>
      </c>
      <c r="J283" s="8" t="s">
        <v>11087</v>
      </c>
      <c r="K283" t="s">
        <v>11369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8" t="s">
        <v>1627</v>
      </c>
      <c r="E284" s="8" t="s">
        <v>1058</v>
      </c>
      <c r="F284" s="8"/>
      <c r="H284" s="8"/>
      <c r="I284" s="8" t="s">
        <v>4218</v>
      </c>
      <c r="J284" s="8" t="s">
        <v>11087</v>
      </c>
      <c r="K284" t="s">
        <v>11370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8" t="s">
        <v>1627</v>
      </c>
      <c r="E285" s="8" t="s">
        <v>1058</v>
      </c>
      <c r="F285" s="8"/>
      <c r="H285" s="8"/>
      <c r="I285" s="8" t="s">
        <v>4220</v>
      </c>
      <c r="J285" s="8" t="s">
        <v>11087</v>
      </c>
      <c r="K285" t="s">
        <v>11371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8" t="s">
        <v>4</v>
      </c>
      <c r="E286" s="8" t="s">
        <v>9</v>
      </c>
      <c r="F286" s="8"/>
      <c r="H286" s="8" t="s">
        <v>2352</v>
      </c>
      <c r="I286" s="8" t="s">
        <v>4222</v>
      </c>
      <c r="J286" s="8" t="s">
        <v>11087</v>
      </c>
      <c r="K286" t="s">
        <v>11372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8" t="s">
        <v>4</v>
      </c>
      <c r="E287" s="8" t="s">
        <v>9</v>
      </c>
      <c r="F287" s="8"/>
      <c r="H287" s="8" t="s">
        <v>2352</v>
      </c>
      <c r="I287" s="8" t="s">
        <v>4224</v>
      </c>
      <c r="J287" s="8" t="s">
        <v>11087</v>
      </c>
      <c r="K287" t="s">
        <v>11373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8" t="s">
        <v>4</v>
      </c>
      <c r="E288" s="8" t="s">
        <v>9</v>
      </c>
      <c r="F288" s="8"/>
      <c r="H288" s="8" t="s">
        <v>2352</v>
      </c>
      <c r="I288" s="8" t="s">
        <v>4226</v>
      </c>
      <c r="J288" s="8" t="s">
        <v>11087</v>
      </c>
      <c r="K288" t="s">
        <v>11374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8" t="s">
        <v>4</v>
      </c>
      <c r="E289" s="8" t="s">
        <v>9</v>
      </c>
      <c r="F289" s="8"/>
      <c r="H289" s="8" t="s">
        <v>2352</v>
      </c>
      <c r="I289" s="8" t="s">
        <v>4228</v>
      </c>
      <c r="J289" s="8" t="s">
        <v>11087</v>
      </c>
      <c r="K289" t="s">
        <v>11375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8" t="s">
        <v>4</v>
      </c>
      <c r="E290" s="8" t="s">
        <v>9</v>
      </c>
      <c r="F290" s="8"/>
      <c r="H290" s="8" t="s">
        <v>2352</v>
      </c>
      <c r="I290" s="8" t="s">
        <v>4230</v>
      </c>
      <c r="J290" s="8" t="s">
        <v>11087</v>
      </c>
      <c r="K290" t="s">
        <v>11376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8" t="s">
        <v>4</v>
      </c>
      <c r="E291" s="8" t="s">
        <v>9</v>
      </c>
      <c r="F291" s="8"/>
      <c r="H291" s="8"/>
      <c r="I291" s="8" t="s">
        <v>4288</v>
      </c>
      <c r="J291" s="8" t="s">
        <v>11087</v>
      </c>
      <c r="K291" t="s">
        <v>11377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8" t="s">
        <v>4</v>
      </c>
      <c r="E292" s="8" t="s">
        <v>9</v>
      </c>
      <c r="F292" s="8"/>
      <c r="H292" s="8" t="s">
        <v>2352</v>
      </c>
      <c r="I292" s="8" t="s">
        <v>4290</v>
      </c>
      <c r="J292" s="8" t="s">
        <v>11087</v>
      </c>
      <c r="K292" t="s">
        <v>11378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8" t="s">
        <v>4</v>
      </c>
      <c r="E293" s="8" t="s">
        <v>9</v>
      </c>
      <c r="F293" s="8"/>
      <c r="H293" s="8" t="s">
        <v>2352</v>
      </c>
      <c r="I293" s="8" t="s">
        <v>4292</v>
      </c>
      <c r="J293" s="8" t="s">
        <v>11087</v>
      </c>
      <c r="K293" t="s">
        <v>11379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8" t="s">
        <v>4130</v>
      </c>
      <c r="E294" s="8"/>
      <c r="F294" s="8"/>
      <c r="H294" s="8"/>
      <c r="I294" s="8" t="s">
        <v>4294</v>
      </c>
      <c r="J294" s="8" t="s">
        <v>11087</v>
      </c>
      <c r="K294" t="s">
        <v>11380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8" t="s">
        <v>4</v>
      </c>
      <c r="E295" s="8" t="s">
        <v>53</v>
      </c>
      <c r="F295" s="8"/>
      <c r="H295" s="8"/>
      <c r="I295" s="8" t="s">
        <v>4296</v>
      </c>
      <c r="J295" s="8" t="s">
        <v>11087</v>
      </c>
      <c r="K295" t="s">
        <v>11381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8" t="s">
        <v>884</v>
      </c>
      <c r="E296" s="8" t="s">
        <v>53</v>
      </c>
      <c r="F296" s="8"/>
      <c r="H296" s="8"/>
      <c r="I296" s="8" t="s">
        <v>4298</v>
      </c>
      <c r="J296" s="8" t="s">
        <v>11087</v>
      </c>
      <c r="K296" t="s">
        <v>11382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8" t="s">
        <v>884</v>
      </c>
      <c r="E297" s="8" t="s">
        <v>58</v>
      </c>
      <c r="F297" s="8"/>
      <c r="H297" s="8"/>
      <c r="I297" s="8" t="s">
        <v>4300</v>
      </c>
      <c r="J297" s="8" t="s">
        <v>11087</v>
      </c>
      <c r="K297" t="s">
        <v>11383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8" t="s">
        <v>4</v>
      </c>
      <c r="E298" s="8" t="s">
        <v>9</v>
      </c>
      <c r="F298" s="8"/>
      <c r="H298" s="8" t="s">
        <v>2352</v>
      </c>
      <c r="I298" s="8" t="s">
        <v>4302</v>
      </c>
      <c r="J298" s="8" t="s">
        <v>11087</v>
      </c>
      <c r="K298" t="s">
        <v>11384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8" t="s">
        <v>4</v>
      </c>
      <c r="E299" s="8" t="s">
        <v>9</v>
      </c>
      <c r="F299" s="8"/>
      <c r="H299" s="8" t="s">
        <v>2352</v>
      </c>
      <c r="I299" s="8" t="s">
        <v>4304</v>
      </c>
      <c r="J299" s="8" t="s">
        <v>11087</v>
      </c>
      <c r="K299" t="s">
        <v>11385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8" t="s">
        <v>4</v>
      </c>
      <c r="E300" s="8" t="s">
        <v>9</v>
      </c>
      <c r="F300" s="8"/>
      <c r="H300" s="8" t="s">
        <v>2352</v>
      </c>
      <c r="I300" s="8" t="s">
        <v>4306</v>
      </c>
      <c r="J300" s="8" t="s">
        <v>11087</v>
      </c>
      <c r="K300" t="s">
        <v>11386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8" t="s">
        <v>4392</v>
      </c>
      <c r="E301" s="8" t="s">
        <v>86</v>
      </c>
      <c r="F301" s="8" t="s">
        <v>58</v>
      </c>
      <c r="H301" s="8"/>
      <c r="I301" s="8" t="s">
        <v>4308</v>
      </c>
      <c r="J301" s="8" t="s">
        <v>11087</v>
      </c>
      <c r="K301" t="s">
        <v>11387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8" t="s">
        <v>4392</v>
      </c>
      <c r="E302" s="8" t="s">
        <v>86</v>
      </c>
      <c r="F302" s="8" t="s">
        <v>58</v>
      </c>
      <c r="H302" s="8"/>
      <c r="I302" s="8" t="s">
        <v>4310</v>
      </c>
      <c r="J302" s="8" t="s">
        <v>11087</v>
      </c>
      <c r="K302" t="s">
        <v>11388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8" t="s">
        <v>4</v>
      </c>
      <c r="E303" s="8" t="s">
        <v>4393</v>
      </c>
      <c r="F303" s="8"/>
      <c r="H303" s="8"/>
      <c r="I303" s="8" t="s">
        <v>4312</v>
      </c>
      <c r="J303" s="8" t="s">
        <v>11087</v>
      </c>
      <c r="K303" t="s">
        <v>11389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8" t="s">
        <v>4</v>
      </c>
      <c r="E304" s="8" t="s">
        <v>9</v>
      </c>
      <c r="F304" s="8"/>
      <c r="H304" s="8"/>
      <c r="I304" s="8" t="s">
        <v>4314</v>
      </c>
      <c r="J304" s="8" t="s">
        <v>11087</v>
      </c>
      <c r="K304" t="s">
        <v>11390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8" t="s">
        <v>4</v>
      </c>
      <c r="E305" s="8" t="s">
        <v>9</v>
      </c>
      <c r="F305" s="8"/>
      <c r="H305" s="8" t="s">
        <v>2352</v>
      </c>
      <c r="I305" s="8" t="s">
        <v>4316</v>
      </c>
      <c r="J305" s="8" t="s">
        <v>11087</v>
      </c>
      <c r="K305" t="s">
        <v>11391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8" t="s">
        <v>4</v>
      </c>
      <c r="E306" s="8" t="s">
        <v>9</v>
      </c>
      <c r="F306" s="8"/>
      <c r="H306" s="8" t="s">
        <v>2352</v>
      </c>
      <c r="I306" s="8" t="s">
        <v>4318</v>
      </c>
      <c r="J306" s="8" t="s">
        <v>11087</v>
      </c>
      <c r="K306" t="s">
        <v>11392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8" t="s">
        <v>4392</v>
      </c>
      <c r="E307" s="8" t="s">
        <v>86</v>
      </c>
      <c r="F307" s="8" t="s">
        <v>58</v>
      </c>
      <c r="H307" s="8"/>
      <c r="I307" s="8" t="s">
        <v>4320</v>
      </c>
      <c r="J307" s="8" t="s">
        <v>11087</v>
      </c>
      <c r="K307" t="s">
        <v>11393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8" t="s">
        <v>4</v>
      </c>
      <c r="E308" s="8" t="s">
        <v>9</v>
      </c>
      <c r="F308" s="8"/>
      <c r="H308" s="8"/>
      <c r="I308" s="8" t="s">
        <v>4322</v>
      </c>
      <c r="J308" s="8" t="s">
        <v>11087</v>
      </c>
      <c r="K308" t="s">
        <v>11394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8" t="s">
        <v>4</v>
      </c>
      <c r="E309" s="8" t="s">
        <v>9</v>
      </c>
      <c r="F309" s="8"/>
      <c r="H309" s="8"/>
      <c r="I309" s="8" t="s">
        <v>4324</v>
      </c>
      <c r="J309" s="8" t="s">
        <v>11087</v>
      </c>
      <c r="K309" t="s">
        <v>11395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8" t="s">
        <v>4</v>
      </c>
      <c r="E310" s="8" t="s">
        <v>9</v>
      </c>
      <c r="F310" s="8"/>
      <c r="H310" s="8"/>
      <c r="I310" s="8" t="s">
        <v>4454</v>
      </c>
      <c r="J310" s="8" t="s">
        <v>11087</v>
      </c>
      <c r="K310" t="s">
        <v>11396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8" t="s">
        <v>4</v>
      </c>
      <c r="E311" s="8" t="s">
        <v>86</v>
      </c>
      <c r="F311" s="8" t="s">
        <v>465</v>
      </c>
      <c r="H311" s="8" t="s">
        <v>4927</v>
      </c>
      <c r="I311" s="8" t="s">
        <v>4456</v>
      </c>
      <c r="J311" s="8" t="s">
        <v>11087</v>
      </c>
      <c r="K311" t="s">
        <v>11397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8" t="s">
        <v>4</v>
      </c>
      <c r="E312" s="8" t="s">
        <v>9</v>
      </c>
      <c r="F312" s="8"/>
      <c r="H312" s="8" t="s">
        <v>2352</v>
      </c>
      <c r="I312" s="8" t="s">
        <v>4458</v>
      </c>
      <c r="J312" s="8" t="s">
        <v>11087</v>
      </c>
      <c r="K312" t="s">
        <v>11398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8" t="s">
        <v>4</v>
      </c>
      <c r="E313" s="8" t="s">
        <v>9</v>
      </c>
      <c r="F313" s="8"/>
      <c r="H313" s="8" t="s">
        <v>2352</v>
      </c>
      <c r="I313" s="8" t="s">
        <v>4460</v>
      </c>
      <c r="J313" s="8" t="s">
        <v>11087</v>
      </c>
      <c r="K313" t="s">
        <v>11399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8" t="s">
        <v>4</v>
      </c>
      <c r="E314" s="8" t="s">
        <v>9</v>
      </c>
      <c r="F314" s="8"/>
      <c r="H314" s="8" t="s">
        <v>2352</v>
      </c>
      <c r="I314" s="8" t="s">
        <v>4462</v>
      </c>
      <c r="J314" s="8" t="s">
        <v>11087</v>
      </c>
      <c r="K314" t="s">
        <v>11400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8" t="s">
        <v>4</v>
      </c>
      <c r="E315" s="8" t="s">
        <v>9</v>
      </c>
      <c r="F315" s="8"/>
      <c r="H315" s="8" t="s">
        <v>2352</v>
      </c>
      <c r="I315" s="8" t="s">
        <v>4464</v>
      </c>
      <c r="J315" s="8" t="s">
        <v>11087</v>
      </c>
      <c r="K315" t="s">
        <v>11401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8" t="s">
        <v>4</v>
      </c>
      <c r="E316" s="8" t="s">
        <v>9</v>
      </c>
      <c r="F316" s="8"/>
      <c r="H316" s="8" t="s">
        <v>2352</v>
      </c>
      <c r="I316" s="8" t="s">
        <v>4466</v>
      </c>
      <c r="J316" s="8" t="s">
        <v>11087</v>
      </c>
      <c r="K316" t="s">
        <v>11402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8" t="s">
        <v>4</v>
      </c>
      <c r="E317" s="8" t="s">
        <v>9</v>
      </c>
      <c r="F317" s="8"/>
      <c r="H317" s="8" t="s">
        <v>2352</v>
      </c>
      <c r="I317" s="8" t="s">
        <v>4468</v>
      </c>
      <c r="J317" s="8" t="s">
        <v>11087</v>
      </c>
      <c r="K317" t="s">
        <v>11403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8" t="s">
        <v>4</v>
      </c>
      <c r="E318" s="8" t="s">
        <v>9</v>
      </c>
      <c r="F318" s="8"/>
      <c r="H318" s="8" t="s">
        <v>2352</v>
      </c>
      <c r="I318" s="8" t="s">
        <v>4470</v>
      </c>
      <c r="J318" s="8" t="s">
        <v>11087</v>
      </c>
      <c r="K318" t="s">
        <v>11404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8" t="s">
        <v>4</v>
      </c>
      <c r="E319" s="8" t="s">
        <v>9</v>
      </c>
      <c r="F319" s="8"/>
      <c r="H319" s="8" t="s">
        <v>2352</v>
      </c>
      <c r="I319" s="8" t="s">
        <v>4472</v>
      </c>
      <c r="J319" s="8" t="s">
        <v>11087</v>
      </c>
      <c r="K319" t="s">
        <v>11405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8" t="s">
        <v>4</v>
      </c>
      <c r="E320" s="8" t="s">
        <v>9</v>
      </c>
      <c r="F320" s="8"/>
      <c r="H320" s="8" t="s">
        <v>2352</v>
      </c>
      <c r="I320" s="8" t="s">
        <v>4474</v>
      </c>
      <c r="J320" s="8" t="s">
        <v>11087</v>
      </c>
      <c r="K320" t="s">
        <v>11406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8" t="s">
        <v>4928</v>
      </c>
      <c r="E321" s="8"/>
      <c r="F321" s="8"/>
      <c r="H321" s="8"/>
      <c r="I321" s="8" t="s">
        <v>4476</v>
      </c>
      <c r="J321" s="8" t="s">
        <v>11087</v>
      </c>
      <c r="K321" t="s">
        <v>11407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8" t="s">
        <v>884</v>
      </c>
      <c r="E322" s="8" t="s">
        <v>468</v>
      </c>
      <c r="F322" s="8" t="s">
        <v>4929</v>
      </c>
      <c r="H322" s="8"/>
      <c r="I322" s="8" t="s">
        <v>4478</v>
      </c>
      <c r="J322" s="8" t="s">
        <v>11087</v>
      </c>
      <c r="K322" t="s">
        <v>11408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8" t="s">
        <v>4</v>
      </c>
      <c r="E323" s="8" t="s">
        <v>9</v>
      </c>
      <c r="F323" s="8"/>
      <c r="H323" s="8"/>
      <c r="I323" s="8" t="s">
        <v>4480</v>
      </c>
      <c r="J323" s="8" t="s">
        <v>11087</v>
      </c>
      <c r="K323" t="s">
        <v>11409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8" t="s">
        <v>4</v>
      </c>
      <c r="E324" s="8" t="s">
        <v>9</v>
      </c>
      <c r="F324" s="8"/>
      <c r="H324" s="8"/>
      <c r="I324" s="8" t="s">
        <v>4482</v>
      </c>
      <c r="J324" s="8" t="s">
        <v>11087</v>
      </c>
      <c r="K324" t="s">
        <v>11410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8" t="s">
        <v>4</v>
      </c>
      <c r="E325" s="8" t="s">
        <v>9</v>
      </c>
      <c r="F325" s="8"/>
      <c r="H325" s="8"/>
      <c r="I325" s="8" t="s">
        <v>4484</v>
      </c>
      <c r="J325" s="8" t="s">
        <v>11087</v>
      </c>
      <c r="K325" t="s">
        <v>11411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8" t="s">
        <v>4</v>
      </c>
      <c r="E326" s="8" t="s">
        <v>9</v>
      </c>
      <c r="F326" s="8"/>
      <c r="H326" s="8"/>
      <c r="I326" s="8" t="s">
        <v>4486</v>
      </c>
      <c r="J326" s="8" t="s">
        <v>11087</v>
      </c>
      <c r="K326" t="s">
        <v>11412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8" t="s">
        <v>4928</v>
      </c>
      <c r="E327" s="8"/>
      <c r="F327" s="8"/>
      <c r="H327" s="8"/>
      <c r="I327" s="8" t="s">
        <v>4488</v>
      </c>
      <c r="J327" s="8" t="s">
        <v>11087</v>
      </c>
      <c r="K327" t="s">
        <v>11413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8" t="s">
        <v>4930</v>
      </c>
      <c r="E328" s="8" t="s">
        <v>468</v>
      </c>
      <c r="F328" s="8" t="s">
        <v>4929</v>
      </c>
      <c r="H328" s="8"/>
      <c r="I328" s="8" t="s">
        <v>4490</v>
      </c>
      <c r="J328" s="8" t="s">
        <v>11087</v>
      </c>
      <c r="K328" t="s">
        <v>11414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8" t="s">
        <v>4</v>
      </c>
      <c r="E329" s="8" t="s">
        <v>9</v>
      </c>
      <c r="F329" s="8"/>
      <c r="H329" s="8"/>
      <c r="I329" s="8" t="s">
        <v>4492</v>
      </c>
      <c r="J329" s="8" t="s">
        <v>11087</v>
      </c>
      <c r="K329" t="s">
        <v>11415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8" t="s">
        <v>4</v>
      </c>
      <c r="E330" s="8" t="s">
        <v>9</v>
      </c>
      <c r="F330" s="8"/>
      <c r="H330" s="8"/>
      <c r="I330" s="8" t="s">
        <v>4494</v>
      </c>
      <c r="J330" s="8" t="s">
        <v>11087</v>
      </c>
      <c r="K330" t="s">
        <v>11416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8" t="s">
        <v>4</v>
      </c>
      <c r="E331" s="8" t="s">
        <v>9</v>
      </c>
      <c r="F331" s="8"/>
      <c r="H331" s="8" t="s">
        <v>2352</v>
      </c>
      <c r="I331" s="8" t="s">
        <v>4496</v>
      </c>
      <c r="J331" s="8" t="s">
        <v>11087</v>
      </c>
      <c r="K331" t="s">
        <v>11417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8" t="s">
        <v>4</v>
      </c>
      <c r="E332" s="8" t="s">
        <v>9</v>
      </c>
      <c r="F332" s="8"/>
      <c r="H332" s="8" t="s">
        <v>2352</v>
      </c>
      <c r="I332" s="8" t="s">
        <v>4498</v>
      </c>
      <c r="J332" s="8" t="s">
        <v>11087</v>
      </c>
      <c r="K332" t="s">
        <v>11418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8" t="s">
        <v>4</v>
      </c>
      <c r="E333" s="8" t="s">
        <v>9</v>
      </c>
      <c r="F333" s="8"/>
      <c r="H333" s="8" t="s">
        <v>2352</v>
      </c>
      <c r="I333" s="8" t="s">
        <v>4500</v>
      </c>
      <c r="J333" s="8" t="s">
        <v>11087</v>
      </c>
      <c r="K333" t="s">
        <v>11419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8" t="s">
        <v>4</v>
      </c>
      <c r="E334" s="8" t="s">
        <v>9</v>
      </c>
      <c r="F334" s="8"/>
      <c r="H334" s="8" t="s">
        <v>2352</v>
      </c>
      <c r="I334" s="8" t="s">
        <v>4502</v>
      </c>
      <c r="J334" s="8" t="s">
        <v>11087</v>
      </c>
      <c r="K334" t="s">
        <v>11420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8" t="s">
        <v>4</v>
      </c>
      <c r="E335" s="8" t="s">
        <v>9</v>
      </c>
      <c r="F335" s="8"/>
      <c r="H335" s="8" t="s">
        <v>2352</v>
      </c>
      <c r="I335" s="8" t="s">
        <v>4732</v>
      </c>
      <c r="J335" s="8" t="s">
        <v>11087</v>
      </c>
      <c r="K335" t="s">
        <v>11421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8" t="s">
        <v>4</v>
      </c>
      <c r="E336" s="8" t="s">
        <v>9</v>
      </c>
      <c r="F336" s="8"/>
      <c r="H336" s="8" t="s">
        <v>2352</v>
      </c>
      <c r="I336" s="8" t="s">
        <v>4734</v>
      </c>
      <c r="J336" s="8" t="s">
        <v>11087</v>
      </c>
      <c r="K336" t="s">
        <v>11422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8" t="s">
        <v>4</v>
      </c>
      <c r="E337" s="8" t="s">
        <v>9</v>
      </c>
      <c r="F337" s="8"/>
      <c r="H337" s="8" t="s">
        <v>2352</v>
      </c>
      <c r="I337" s="8" t="s">
        <v>4736</v>
      </c>
      <c r="J337" s="8" t="s">
        <v>11087</v>
      </c>
      <c r="K337" t="s">
        <v>11423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8" t="s">
        <v>4</v>
      </c>
      <c r="E338" s="8" t="s">
        <v>9</v>
      </c>
      <c r="F338" s="8"/>
      <c r="H338" s="8" t="s">
        <v>2352</v>
      </c>
      <c r="I338" s="8" t="s">
        <v>4738</v>
      </c>
      <c r="J338" s="8" t="s">
        <v>11087</v>
      </c>
      <c r="K338" t="s">
        <v>11424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8" t="s">
        <v>4</v>
      </c>
      <c r="E339" s="8" t="s">
        <v>9</v>
      </c>
      <c r="F339" s="8"/>
      <c r="H339" s="8" t="s">
        <v>2352</v>
      </c>
      <c r="I339" s="8" t="s">
        <v>4740</v>
      </c>
      <c r="J339" s="8" t="s">
        <v>11087</v>
      </c>
      <c r="K339" t="s">
        <v>11425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8" t="s">
        <v>4</v>
      </c>
      <c r="E340" s="8" t="s">
        <v>9</v>
      </c>
      <c r="F340" s="8"/>
      <c r="H340" s="8" t="s">
        <v>2352</v>
      </c>
      <c r="I340" s="8" t="s">
        <v>4742</v>
      </c>
      <c r="J340" s="8" t="s">
        <v>11087</v>
      </c>
      <c r="K340" t="s">
        <v>11426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8" t="s">
        <v>4</v>
      </c>
      <c r="E341" s="8" t="s">
        <v>9</v>
      </c>
      <c r="F341" s="8"/>
      <c r="H341" s="8" t="s">
        <v>2352</v>
      </c>
      <c r="I341" s="8" t="s">
        <v>4744</v>
      </c>
      <c r="J341" s="8" t="s">
        <v>11087</v>
      </c>
      <c r="K341" t="s">
        <v>11427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8" t="s">
        <v>4</v>
      </c>
      <c r="E342" s="8" t="s">
        <v>9</v>
      </c>
      <c r="F342" s="8"/>
      <c r="H342" s="8" t="s">
        <v>2352</v>
      </c>
      <c r="I342" s="8" t="s">
        <v>4746</v>
      </c>
      <c r="J342" s="8" t="s">
        <v>11087</v>
      </c>
      <c r="K342" t="s">
        <v>11428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8" t="s">
        <v>4</v>
      </c>
      <c r="E343" s="8" t="s">
        <v>9</v>
      </c>
      <c r="F343" s="8"/>
      <c r="H343" s="8" t="s">
        <v>2352</v>
      </c>
      <c r="I343" s="8" t="s">
        <v>4748</v>
      </c>
      <c r="J343" s="8" t="s">
        <v>11087</v>
      </c>
      <c r="K343" t="s">
        <v>11429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8" t="s">
        <v>884</v>
      </c>
      <c r="E344" s="8" t="s">
        <v>58</v>
      </c>
      <c r="F344" s="8"/>
      <c r="H344" s="8"/>
      <c r="I344" s="8" t="s">
        <v>4750</v>
      </c>
      <c r="J344" s="8" t="s">
        <v>11087</v>
      </c>
      <c r="K344" t="s">
        <v>11430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8" t="s">
        <v>884</v>
      </c>
      <c r="E345" s="8" t="s">
        <v>4931</v>
      </c>
      <c r="F345" s="8"/>
      <c r="H345" s="8"/>
      <c r="I345" s="8" t="s">
        <v>4752</v>
      </c>
      <c r="J345" s="8" t="s">
        <v>11087</v>
      </c>
      <c r="K345" t="s">
        <v>11431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8" t="s">
        <v>4</v>
      </c>
      <c r="E346" s="8" t="s">
        <v>9</v>
      </c>
      <c r="F346" s="8"/>
      <c r="H346" s="8"/>
      <c r="I346" s="8" t="s">
        <v>4754</v>
      </c>
      <c r="J346" s="8" t="s">
        <v>11087</v>
      </c>
      <c r="K346" t="s">
        <v>11432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8" t="s">
        <v>4</v>
      </c>
      <c r="E347" s="8" t="s">
        <v>9</v>
      </c>
      <c r="F347" s="8"/>
      <c r="H347" s="8" t="s">
        <v>2352</v>
      </c>
      <c r="I347" s="8" t="s">
        <v>4756</v>
      </c>
      <c r="J347" s="8" t="s">
        <v>11087</v>
      </c>
      <c r="K347" t="s">
        <v>11433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8" t="s">
        <v>4</v>
      </c>
      <c r="E348" s="8" t="s">
        <v>9</v>
      </c>
      <c r="F348" s="8"/>
      <c r="H348" s="8" t="s">
        <v>2352</v>
      </c>
      <c r="I348" s="8" t="s">
        <v>4758</v>
      </c>
      <c r="J348" s="8" t="s">
        <v>11087</v>
      </c>
      <c r="K348" t="s">
        <v>11434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8" t="s">
        <v>4</v>
      </c>
      <c r="E349" s="8" t="s">
        <v>9</v>
      </c>
      <c r="F349" s="8"/>
      <c r="H349" s="8" t="s">
        <v>2352</v>
      </c>
      <c r="I349" s="8" t="s">
        <v>4760</v>
      </c>
      <c r="J349" s="8" t="s">
        <v>11087</v>
      </c>
      <c r="K349" t="s">
        <v>11435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8" t="s">
        <v>4</v>
      </c>
      <c r="E350" s="8" t="s">
        <v>9</v>
      </c>
      <c r="F350" s="8"/>
      <c r="H350" s="8" t="s">
        <v>2352</v>
      </c>
      <c r="I350" s="8" t="s">
        <v>4762</v>
      </c>
      <c r="J350" s="8" t="s">
        <v>11087</v>
      </c>
      <c r="K350" t="s">
        <v>11436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8" t="s">
        <v>4</v>
      </c>
      <c r="E351" s="8" t="s">
        <v>9</v>
      </c>
      <c r="F351" s="8"/>
      <c r="H351" s="8" t="s">
        <v>2352</v>
      </c>
      <c r="I351" s="8" t="s">
        <v>4764</v>
      </c>
      <c r="J351" s="8" t="s">
        <v>11087</v>
      </c>
      <c r="K351" t="s">
        <v>11437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8" t="s">
        <v>4</v>
      </c>
      <c r="E352" s="8" t="s">
        <v>9</v>
      </c>
      <c r="F352" s="8"/>
      <c r="H352" s="8" t="s">
        <v>2352</v>
      </c>
      <c r="I352" s="8" t="s">
        <v>4766</v>
      </c>
      <c r="J352" s="8" t="s">
        <v>11087</v>
      </c>
      <c r="K352" t="s">
        <v>11438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8" t="s">
        <v>4</v>
      </c>
      <c r="E353" s="8" t="s">
        <v>9</v>
      </c>
      <c r="F353" s="8"/>
      <c r="H353" s="8" t="s">
        <v>2352</v>
      </c>
      <c r="I353" s="8" t="s">
        <v>4768</v>
      </c>
      <c r="J353" s="8" t="s">
        <v>11087</v>
      </c>
      <c r="K353" t="s">
        <v>11439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8" t="s">
        <v>4</v>
      </c>
      <c r="E354" s="8" t="s">
        <v>9</v>
      </c>
      <c r="F354" s="8"/>
      <c r="H354" s="8" t="s">
        <v>2352</v>
      </c>
      <c r="I354" s="8" t="s">
        <v>4851</v>
      </c>
      <c r="J354" s="8" t="s">
        <v>11087</v>
      </c>
      <c r="K354" t="s">
        <v>11440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8" t="s">
        <v>4</v>
      </c>
      <c r="E355" s="8" t="s">
        <v>9</v>
      </c>
      <c r="F355" s="8"/>
      <c r="H355" s="8" t="s">
        <v>2352</v>
      </c>
      <c r="I355" s="8" t="s">
        <v>4853</v>
      </c>
      <c r="J355" s="8" t="s">
        <v>11087</v>
      </c>
      <c r="K355" t="s">
        <v>11441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8" t="s">
        <v>4</v>
      </c>
      <c r="E356" s="8" t="s">
        <v>9</v>
      </c>
      <c r="F356" s="8"/>
      <c r="H356" s="8" t="s">
        <v>2352</v>
      </c>
      <c r="I356" s="8" t="s">
        <v>4855</v>
      </c>
      <c r="J356" s="8" t="s">
        <v>11087</v>
      </c>
      <c r="K356" t="s">
        <v>11442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8" t="s">
        <v>4</v>
      </c>
      <c r="E357" s="8" t="s">
        <v>9</v>
      </c>
      <c r="F357" s="8"/>
      <c r="H357" s="8"/>
      <c r="I357" s="8" t="s">
        <v>4857</v>
      </c>
      <c r="J357" s="8" t="s">
        <v>11087</v>
      </c>
      <c r="K357" t="s">
        <v>11443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8" t="s">
        <v>4</v>
      </c>
      <c r="E358" s="8" t="s">
        <v>9</v>
      </c>
      <c r="F358" s="8"/>
      <c r="H358" s="8"/>
      <c r="I358" s="8" t="s">
        <v>4959</v>
      </c>
      <c r="J358" s="8" t="s">
        <v>11087</v>
      </c>
      <c r="K358" t="s">
        <v>11444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8" t="s">
        <v>1627</v>
      </c>
      <c r="E359" s="8" t="s">
        <v>1058</v>
      </c>
      <c r="F359" s="8"/>
      <c r="H359" s="8"/>
      <c r="I359" s="8" t="s">
        <v>4961</v>
      </c>
      <c r="J359" s="8" t="s">
        <v>11087</v>
      </c>
      <c r="K359" t="s">
        <v>11445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8" t="s">
        <v>4</v>
      </c>
      <c r="E360" s="8" t="s">
        <v>9</v>
      </c>
      <c r="F360" s="8"/>
      <c r="H360" s="8"/>
      <c r="I360" s="8" t="s">
        <v>4963</v>
      </c>
      <c r="J360" s="8" t="s">
        <v>11087</v>
      </c>
      <c r="K360" t="s">
        <v>11446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8" t="s">
        <v>1627</v>
      </c>
      <c r="E361" s="8" t="s">
        <v>1058</v>
      </c>
      <c r="F361" s="8"/>
      <c r="H361" s="8"/>
      <c r="I361" s="8" t="s">
        <v>4965</v>
      </c>
      <c r="J361" s="8" t="s">
        <v>11087</v>
      </c>
      <c r="K361" t="s">
        <v>11447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8" t="s">
        <v>1627</v>
      </c>
      <c r="E362" s="8" t="s">
        <v>1058</v>
      </c>
      <c r="F362" s="8"/>
      <c r="H362" s="8" t="s">
        <v>2352</v>
      </c>
      <c r="I362" s="8" t="s">
        <v>4967</v>
      </c>
      <c r="J362" s="8" t="s">
        <v>11087</v>
      </c>
      <c r="K362" t="s">
        <v>11448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8" t="s">
        <v>1627</v>
      </c>
      <c r="E363" s="8" t="s">
        <v>1058</v>
      </c>
      <c r="F363" s="8"/>
      <c r="H363" s="8" t="s">
        <v>2352</v>
      </c>
      <c r="I363" s="8" t="s">
        <v>4969</v>
      </c>
      <c r="J363" s="8" t="s">
        <v>11087</v>
      </c>
      <c r="K363" t="s">
        <v>11449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8" t="s">
        <v>4</v>
      </c>
      <c r="E364" s="8" t="s">
        <v>9</v>
      </c>
      <c r="F364" s="8"/>
      <c r="H364" s="8" t="s">
        <v>2352</v>
      </c>
      <c r="I364" s="8" t="s">
        <v>4971</v>
      </c>
      <c r="J364" s="8" t="s">
        <v>11087</v>
      </c>
      <c r="K364" t="s">
        <v>11450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8" t="s">
        <v>1627</v>
      </c>
      <c r="E365" s="8" t="s">
        <v>1058</v>
      </c>
      <c r="F365" s="8"/>
      <c r="H365" s="8" t="s">
        <v>2352</v>
      </c>
      <c r="I365" s="8" t="s">
        <v>4973</v>
      </c>
      <c r="J365" s="8" t="s">
        <v>11087</v>
      </c>
      <c r="K365" t="s">
        <v>11451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8" t="s">
        <v>1627</v>
      </c>
      <c r="E366" s="8" t="s">
        <v>1058</v>
      </c>
      <c r="F366" s="8"/>
      <c r="H366" s="8" t="s">
        <v>2352</v>
      </c>
      <c r="I366" s="8" t="s">
        <v>4975</v>
      </c>
      <c r="J366" s="8" t="s">
        <v>11087</v>
      </c>
      <c r="K366" t="s">
        <v>11452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8" t="s">
        <v>1627</v>
      </c>
      <c r="E367" s="8" t="s">
        <v>1058</v>
      </c>
      <c r="F367" s="8"/>
      <c r="H367" s="8" t="s">
        <v>2352</v>
      </c>
      <c r="I367" s="8" t="s">
        <v>4977</v>
      </c>
      <c r="J367" s="8" t="s">
        <v>11087</v>
      </c>
      <c r="K367" t="s">
        <v>11453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8" t="s">
        <v>1627</v>
      </c>
      <c r="E368" s="8" t="s">
        <v>1058</v>
      </c>
      <c r="F368" s="8"/>
      <c r="H368" s="8" t="s">
        <v>2352</v>
      </c>
      <c r="I368" s="8" t="s">
        <v>4979</v>
      </c>
      <c r="J368" s="8" t="s">
        <v>11087</v>
      </c>
      <c r="K368" t="s">
        <v>11454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8" t="s">
        <v>1627</v>
      </c>
      <c r="E369" s="8" t="s">
        <v>1058</v>
      </c>
      <c r="F369" s="8"/>
      <c r="H369" s="8" t="s">
        <v>2352</v>
      </c>
      <c r="I369" s="8" t="s">
        <v>4981</v>
      </c>
      <c r="J369" s="8" t="s">
        <v>11087</v>
      </c>
      <c r="K369" t="s">
        <v>11455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8" t="s">
        <v>4</v>
      </c>
      <c r="E370" s="8" t="s">
        <v>9</v>
      </c>
      <c r="F370" s="8"/>
      <c r="H370" s="8"/>
      <c r="I370" s="8" t="s">
        <v>5066</v>
      </c>
      <c r="J370" s="8" t="s">
        <v>11087</v>
      </c>
      <c r="K370" t="s">
        <v>11456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8" t="s">
        <v>4</v>
      </c>
      <c r="E371" s="8" t="s">
        <v>9</v>
      </c>
      <c r="F371" s="8"/>
      <c r="H371" s="8" t="s">
        <v>2352</v>
      </c>
      <c r="I371" s="8" t="s">
        <v>5068</v>
      </c>
      <c r="J371" s="8" t="s">
        <v>11087</v>
      </c>
      <c r="K371" t="s">
        <v>11457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8" t="s">
        <v>4</v>
      </c>
      <c r="E372" s="8" t="s">
        <v>9</v>
      </c>
      <c r="F372" s="8"/>
      <c r="H372" s="8" t="s">
        <v>2352</v>
      </c>
      <c r="I372" s="8" t="s">
        <v>5070</v>
      </c>
      <c r="J372" s="8" t="s">
        <v>11087</v>
      </c>
      <c r="K372" t="s">
        <v>11458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8" t="s">
        <v>884</v>
      </c>
      <c r="E373" s="8" t="s">
        <v>58</v>
      </c>
      <c r="F373" s="8"/>
      <c r="H373" s="8"/>
      <c r="I373" s="8" t="s">
        <v>5072</v>
      </c>
      <c r="J373" s="8" t="s">
        <v>11087</v>
      </c>
      <c r="K373" t="s">
        <v>11459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8" t="s">
        <v>4</v>
      </c>
      <c r="E374" s="8" t="s">
        <v>9</v>
      </c>
      <c r="F374" s="8"/>
      <c r="H374" s="8" t="s">
        <v>2352</v>
      </c>
      <c r="I374" s="8" t="s">
        <v>5074</v>
      </c>
      <c r="J374" s="8" t="s">
        <v>11087</v>
      </c>
      <c r="K374" t="s">
        <v>11460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8" t="s">
        <v>884</v>
      </c>
      <c r="E375" s="8" t="s">
        <v>58</v>
      </c>
      <c r="F375" s="8"/>
      <c r="H375" s="8"/>
      <c r="I375" s="8" t="s">
        <v>5076</v>
      </c>
      <c r="J375" s="8" t="s">
        <v>11087</v>
      </c>
      <c r="K375" t="s">
        <v>11461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8" t="s">
        <v>884</v>
      </c>
      <c r="E376" s="8" t="s">
        <v>58</v>
      </c>
      <c r="F376" s="8"/>
      <c r="H376" s="8"/>
      <c r="I376" s="8" t="s">
        <v>5078</v>
      </c>
      <c r="J376" s="8" t="s">
        <v>11087</v>
      </c>
      <c r="K376" t="s">
        <v>11462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8" t="s">
        <v>4</v>
      </c>
      <c r="E377" s="8" t="s">
        <v>9</v>
      </c>
      <c r="F377" s="8"/>
      <c r="H377" s="8"/>
      <c r="I377" s="8" t="s">
        <v>5080</v>
      </c>
      <c r="J377" s="8" t="s">
        <v>11087</v>
      </c>
      <c r="K377" t="s">
        <v>11463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8" t="s">
        <v>884</v>
      </c>
      <c r="E378" s="8" t="s">
        <v>53</v>
      </c>
      <c r="F378" s="8"/>
      <c r="H378" s="8"/>
      <c r="I378" s="8" t="s">
        <v>5082</v>
      </c>
      <c r="J378" s="8" t="s">
        <v>11087</v>
      </c>
      <c r="K378" t="s">
        <v>11464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8" t="s">
        <v>4</v>
      </c>
      <c r="E379" s="8" t="s">
        <v>9</v>
      </c>
      <c r="F379" s="8"/>
      <c r="H379" s="8"/>
      <c r="I379" s="8" t="s">
        <v>5084</v>
      </c>
      <c r="J379" s="8" t="s">
        <v>11087</v>
      </c>
      <c r="K379" t="s">
        <v>11465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8" t="s">
        <v>4</v>
      </c>
      <c r="E380" s="8" t="s">
        <v>9</v>
      </c>
      <c r="F380" s="8"/>
      <c r="H380" s="8" t="s">
        <v>2352</v>
      </c>
      <c r="I380" s="8" t="s">
        <v>5086</v>
      </c>
      <c r="J380" s="8" t="s">
        <v>11087</v>
      </c>
      <c r="K380" t="s">
        <v>11466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8" t="s">
        <v>4</v>
      </c>
      <c r="E381" s="8" t="s">
        <v>9</v>
      </c>
      <c r="F381" s="8"/>
      <c r="H381" s="8" t="s">
        <v>2352</v>
      </c>
      <c r="I381" s="8" t="s">
        <v>5088</v>
      </c>
      <c r="J381" s="8" t="s">
        <v>11087</v>
      </c>
      <c r="K381" t="s">
        <v>11467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8" t="s">
        <v>4</v>
      </c>
      <c r="E382" s="8" t="s">
        <v>9</v>
      </c>
      <c r="F382" s="8"/>
      <c r="H382" s="8" t="s">
        <v>2352</v>
      </c>
      <c r="I382" s="8" t="s">
        <v>5090</v>
      </c>
      <c r="J382" s="8" t="s">
        <v>11087</v>
      </c>
      <c r="K382" t="s">
        <v>11468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8" t="s">
        <v>4</v>
      </c>
      <c r="E383" s="8" t="s">
        <v>9</v>
      </c>
      <c r="F383" s="8"/>
      <c r="H383" s="8"/>
      <c r="I383" s="8" t="s">
        <v>5257</v>
      </c>
      <c r="J383" s="8" t="s">
        <v>11087</v>
      </c>
      <c r="K383" t="s">
        <v>11469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8" t="s">
        <v>4</v>
      </c>
      <c r="E384" s="8" t="s">
        <v>9</v>
      </c>
      <c r="F384" s="8"/>
      <c r="H384" s="8" t="s">
        <v>2352</v>
      </c>
      <c r="I384" s="8" t="s">
        <v>5259</v>
      </c>
      <c r="J384" s="8" t="s">
        <v>11087</v>
      </c>
      <c r="K384" t="s">
        <v>11470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8" t="s">
        <v>4</v>
      </c>
      <c r="E385" s="8" t="s">
        <v>9</v>
      </c>
      <c r="F385" s="8"/>
      <c r="H385" s="8" t="s">
        <v>2352</v>
      </c>
      <c r="I385" s="8" t="s">
        <v>5261</v>
      </c>
      <c r="J385" s="8" t="s">
        <v>11087</v>
      </c>
      <c r="K385" t="s">
        <v>11471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8" t="s">
        <v>4</v>
      </c>
      <c r="E386" s="8" t="s">
        <v>9</v>
      </c>
      <c r="F386" s="8"/>
      <c r="H386" s="8" t="s">
        <v>2352</v>
      </c>
      <c r="I386" s="8" t="s">
        <v>5263</v>
      </c>
      <c r="J386" s="8" t="s">
        <v>11087</v>
      </c>
      <c r="K386" t="s">
        <v>11472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8" t="s">
        <v>4</v>
      </c>
      <c r="E387" s="8" t="s">
        <v>9</v>
      </c>
      <c r="F387" s="8"/>
      <c r="H387" s="8" t="s">
        <v>2352</v>
      </c>
      <c r="I387" s="8" t="s">
        <v>5265</v>
      </c>
      <c r="J387" s="8" t="s">
        <v>11087</v>
      </c>
      <c r="K387" t="s">
        <v>11473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8" t="s">
        <v>4</v>
      </c>
      <c r="E388" s="8" t="s">
        <v>9</v>
      </c>
      <c r="F388" s="8"/>
      <c r="H388" s="8" t="s">
        <v>2352</v>
      </c>
      <c r="I388" s="8" t="s">
        <v>5267</v>
      </c>
      <c r="J388" s="8" t="s">
        <v>11087</v>
      </c>
      <c r="K388" t="s">
        <v>11474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8" t="s">
        <v>4</v>
      </c>
      <c r="E389" s="8" t="s">
        <v>9</v>
      </c>
      <c r="F389" s="8"/>
      <c r="H389" s="8"/>
      <c r="I389" s="8" t="s">
        <v>5269</v>
      </c>
      <c r="J389" s="8" t="s">
        <v>11087</v>
      </c>
      <c r="K389" t="s">
        <v>11475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8" t="s">
        <v>4</v>
      </c>
      <c r="E390" s="8" t="s">
        <v>9</v>
      </c>
      <c r="F390" s="8"/>
      <c r="H390" s="8"/>
      <c r="I390" s="8" t="s">
        <v>5271</v>
      </c>
      <c r="J390" s="8" t="s">
        <v>11087</v>
      </c>
      <c r="K390" t="s">
        <v>11476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8" t="s">
        <v>4</v>
      </c>
      <c r="E391" s="8" t="s">
        <v>9</v>
      </c>
      <c r="F391" s="8"/>
      <c r="H391" s="8"/>
      <c r="I391" s="8" t="s">
        <v>5361</v>
      </c>
      <c r="J391" s="8" t="s">
        <v>11087</v>
      </c>
      <c r="K391" t="s">
        <v>11477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8" t="s">
        <v>4</v>
      </c>
      <c r="E392" s="8" t="s">
        <v>5473</v>
      </c>
      <c r="F392" s="8"/>
      <c r="H392" s="8"/>
      <c r="I392" s="8" t="s">
        <v>5363</v>
      </c>
      <c r="J392" s="8" t="s">
        <v>11087</v>
      </c>
      <c r="K392" t="s">
        <v>11478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8" t="s">
        <v>884</v>
      </c>
      <c r="E393" s="8" t="s">
        <v>58</v>
      </c>
      <c r="F393" s="8"/>
      <c r="H393" s="8"/>
      <c r="I393" s="8" t="s">
        <v>5365</v>
      </c>
      <c r="J393" s="8" t="s">
        <v>11087</v>
      </c>
      <c r="K393" t="s">
        <v>11479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8" t="s">
        <v>4</v>
      </c>
      <c r="E394" s="8" t="s">
        <v>9</v>
      </c>
      <c r="F394" s="8"/>
      <c r="H394" s="8" t="s">
        <v>2352</v>
      </c>
      <c r="I394" s="8" t="s">
        <v>5367</v>
      </c>
      <c r="J394" s="8" t="s">
        <v>11087</v>
      </c>
      <c r="K394" t="s">
        <v>11480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8" t="s">
        <v>884</v>
      </c>
      <c r="E395" s="8" t="s">
        <v>58</v>
      </c>
      <c r="F395" s="8"/>
      <c r="H395" s="8"/>
      <c r="I395" s="8" t="s">
        <v>5369</v>
      </c>
      <c r="J395" s="8" t="s">
        <v>11087</v>
      </c>
      <c r="K395" t="s">
        <v>11481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8" t="s">
        <v>4</v>
      </c>
      <c r="E396" s="8" t="s">
        <v>9</v>
      </c>
      <c r="F396" s="8"/>
      <c r="H396" s="8" t="s">
        <v>2352</v>
      </c>
      <c r="I396" s="8" t="s">
        <v>5371</v>
      </c>
      <c r="J396" s="8" t="s">
        <v>11087</v>
      </c>
      <c r="K396" t="s">
        <v>11482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8" t="s">
        <v>884</v>
      </c>
      <c r="E397" s="8" t="s">
        <v>53</v>
      </c>
      <c r="F397" s="8"/>
      <c r="H397" s="8"/>
      <c r="I397" s="8" t="s">
        <v>5373</v>
      </c>
      <c r="J397" s="8" t="s">
        <v>11087</v>
      </c>
      <c r="K397" t="s">
        <v>11483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8" t="s">
        <v>884</v>
      </c>
      <c r="E398" s="8" t="s">
        <v>58</v>
      </c>
      <c r="F398" s="8"/>
      <c r="H398" s="8"/>
      <c r="I398" s="8" t="s">
        <v>5375</v>
      </c>
      <c r="J398" s="8" t="s">
        <v>11087</v>
      </c>
      <c r="K398" t="s">
        <v>11484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8" t="s">
        <v>4</v>
      </c>
      <c r="E399" s="8" t="s">
        <v>9</v>
      </c>
      <c r="F399" s="8"/>
      <c r="H399" s="8" t="s">
        <v>2352</v>
      </c>
      <c r="I399" s="8" t="s">
        <v>5377</v>
      </c>
      <c r="J399" s="8" t="s">
        <v>11087</v>
      </c>
      <c r="K399" t="s">
        <v>11485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8" t="s">
        <v>4</v>
      </c>
      <c r="E400" s="8" t="s">
        <v>9</v>
      </c>
      <c r="F400" s="8"/>
      <c r="H400" s="8" t="s">
        <v>2352</v>
      </c>
      <c r="I400" s="8" t="s">
        <v>5379</v>
      </c>
      <c r="J400" s="8" t="s">
        <v>11087</v>
      </c>
      <c r="K400" t="s">
        <v>11486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8" t="s">
        <v>4</v>
      </c>
      <c r="E401" s="8" t="s">
        <v>9</v>
      </c>
      <c r="F401" s="8"/>
      <c r="H401" s="8" t="s">
        <v>2352</v>
      </c>
      <c r="I401" s="8" t="s">
        <v>5381</v>
      </c>
      <c r="J401" s="8" t="s">
        <v>11087</v>
      </c>
      <c r="K401" t="s">
        <v>11487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8" t="s">
        <v>884</v>
      </c>
      <c r="E402" s="8" t="s">
        <v>53</v>
      </c>
      <c r="F402" s="8"/>
      <c r="H402" s="8"/>
      <c r="I402" s="8" t="s">
        <v>5383</v>
      </c>
      <c r="J402" s="8" t="s">
        <v>11087</v>
      </c>
      <c r="K402" t="s">
        <v>11488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8" t="s">
        <v>4</v>
      </c>
      <c r="E403" s="8" t="s">
        <v>5474</v>
      </c>
      <c r="F403" s="8"/>
      <c r="H403" s="8"/>
      <c r="I403" s="8" t="s">
        <v>5385</v>
      </c>
      <c r="J403" s="8" t="s">
        <v>11087</v>
      </c>
      <c r="K403" t="s">
        <v>11489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8" t="s">
        <v>884</v>
      </c>
      <c r="E404" s="8" t="s">
        <v>53</v>
      </c>
      <c r="F404" s="8"/>
      <c r="H404" s="8"/>
      <c r="I404" s="8" t="s">
        <v>5387</v>
      </c>
      <c r="J404" s="8" t="s">
        <v>11087</v>
      </c>
      <c r="K404" t="s">
        <v>11490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8" t="s">
        <v>4</v>
      </c>
      <c r="E405" s="8" t="s">
        <v>9</v>
      </c>
      <c r="F405" s="8"/>
      <c r="H405" s="8"/>
      <c r="I405" s="8" t="s">
        <v>5389</v>
      </c>
      <c r="J405" s="8" t="s">
        <v>11087</v>
      </c>
      <c r="K405" t="s">
        <v>11491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8" t="s">
        <v>884</v>
      </c>
      <c r="E406" s="8" t="s">
        <v>58</v>
      </c>
      <c r="F406" s="8"/>
      <c r="H406" s="8"/>
      <c r="I406" s="8" t="s">
        <v>5391</v>
      </c>
      <c r="J406" s="8" t="s">
        <v>11087</v>
      </c>
      <c r="K406" t="s">
        <v>11492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8" t="s">
        <v>884</v>
      </c>
      <c r="E407" s="8" t="s">
        <v>58</v>
      </c>
      <c r="F407" s="8"/>
      <c r="H407" s="8"/>
      <c r="I407" s="8" t="s">
        <v>5393</v>
      </c>
      <c r="J407" s="8" t="s">
        <v>11087</v>
      </c>
      <c r="K407" t="s">
        <v>11493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8" t="s">
        <v>884</v>
      </c>
      <c r="E408" s="8" t="s">
        <v>58</v>
      </c>
      <c r="F408" s="8"/>
      <c r="H408" s="8"/>
      <c r="I408" s="8" t="s">
        <v>5395</v>
      </c>
      <c r="J408" s="8" t="s">
        <v>11087</v>
      </c>
      <c r="K408" t="s">
        <v>11494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8" t="s">
        <v>4</v>
      </c>
      <c r="E409" s="8" t="s">
        <v>9</v>
      </c>
      <c r="F409" s="8"/>
      <c r="H409" s="8" t="s">
        <v>2352</v>
      </c>
      <c r="I409" s="8" t="s">
        <v>5397</v>
      </c>
      <c r="J409" s="8" t="s">
        <v>11087</v>
      </c>
      <c r="K409" t="s">
        <v>11495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8" t="s">
        <v>4</v>
      </c>
      <c r="E410" s="8" t="s">
        <v>9</v>
      </c>
      <c r="F410" s="8"/>
      <c r="H410" s="8"/>
      <c r="I410" s="8" t="s">
        <v>5535</v>
      </c>
      <c r="J410" s="8" t="s">
        <v>11087</v>
      </c>
      <c r="K410" t="s">
        <v>11496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8" t="s">
        <v>4</v>
      </c>
      <c r="E411" s="8" t="s">
        <v>9</v>
      </c>
      <c r="F411" s="8"/>
      <c r="H411" s="8" t="s">
        <v>2352</v>
      </c>
      <c r="I411" s="8" t="s">
        <v>5537</v>
      </c>
      <c r="J411" s="8" t="s">
        <v>11087</v>
      </c>
      <c r="K411" t="s">
        <v>11497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8" t="s">
        <v>884</v>
      </c>
      <c r="E412" s="8" t="s">
        <v>58</v>
      </c>
      <c r="F412" s="8"/>
      <c r="H412" s="8"/>
      <c r="I412" s="8" t="s">
        <v>5539</v>
      </c>
      <c r="J412" s="8" t="s">
        <v>11087</v>
      </c>
      <c r="K412" t="s">
        <v>11498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8" t="s">
        <v>884</v>
      </c>
      <c r="E413" s="8" t="s">
        <v>58</v>
      </c>
      <c r="F413" s="8"/>
      <c r="H413" s="8"/>
      <c r="I413" s="8" t="s">
        <v>5541</v>
      </c>
      <c r="J413" s="8" t="s">
        <v>11087</v>
      </c>
      <c r="K413" t="s">
        <v>11499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8" t="s">
        <v>884</v>
      </c>
      <c r="E414" s="8" t="s">
        <v>58</v>
      </c>
      <c r="F414" s="8"/>
      <c r="H414" s="8"/>
      <c r="I414" s="8" t="s">
        <v>5543</v>
      </c>
      <c r="J414" s="8" t="s">
        <v>11087</v>
      </c>
      <c r="K414" t="s">
        <v>11500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8" t="s">
        <v>884</v>
      </c>
      <c r="E415" s="8" t="s">
        <v>58</v>
      </c>
      <c r="F415" s="8"/>
      <c r="H415" s="8"/>
      <c r="I415" s="8" t="s">
        <v>5545</v>
      </c>
      <c r="J415" s="8" t="s">
        <v>11087</v>
      </c>
      <c r="K415" t="s">
        <v>11501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8" t="s">
        <v>4</v>
      </c>
      <c r="E416" s="8" t="s">
        <v>9</v>
      </c>
      <c r="F416" s="8"/>
      <c r="H416" s="8" t="s">
        <v>2352</v>
      </c>
      <c r="I416" s="8" t="s">
        <v>5547</v>
      </c>
      <c r="J416" s="8" t="s">
        <v>11087</v>
      </c>
      <c r="K416" t="s">
        <v>11502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8" t="s">
        <v>4</v>
      </c>
      <c r="E417" s="8" t="s">
        <v>9</v>
      </c>
      <c r="F417" s="8"/>
      <c r="H417" s="8" t="s">
        <v>2352</v>
      </c>
      <c r="I417" s="8" t="s">
        <v>5549</v>
      </c>
      <c r="J417" s="8" t="s">
        <v>11087</v>
      </c>
      <c r="K417" t="s">
        <v>11503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8" t="s">
        <v>4</v>
      </c>
      <c r="E418" s="8" t="s">
        <v>9</v>
      </c>
      <c r="F418" s="8"/>
      <c r="H418" s="8" t="s">
        <v>2352</v>
      </c>
      <c r="I418" s="8" t="s">
        <v>5551</v>
      </c>
      <c r="J418" s="8" t="s">
        <v>11087</v>
      </c>
      <c r="K418" t="s">
        <v>11504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8" t="s">
        <v>3386</v>
      </c>
      <c r="E419" s="8" t="s">
        <v>4396</v>
      </c>
      <c r="F419" s="8" t="s">
        <v>4938</v>
      </c>
      <c r="H419" s="8"/>
      <c r="I419" s="8" t="s">
        <v>5553</v>
      </c>
      <c r="J419" s="8" t="s">
        <v>11087</v>
      </c>
      <c r="K419" t="s">
        <v>11505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8" t="s">
        <v>3386</v>
      </c>
      <c r="E420" s="8" t="s">
        <v>4396</v>
      </c>
      <c r="F420" s="8" t="s">
        <v>4938</v>
      </c>
      <c r="H420" s="8"/>
      <c r="I420" s="8" t="s">
        <v>5555</v>
      </c>
      <c r="J420" s="8" t="s">
        <v>11087</v>
      </c>
      <c r="K420" t="s">
        <v>11506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8" t="s">
        <v>3386</v>
      </c>
      <c r="E421" s="8" t="s">
        <v>4396</v>
      </c>
      <c r="F421" s="8" t="s">
        <v>4938</v>
      </c>
      <c r="H421" s="8"/>
      <c r="I421" s="8" t="s">
        <v>5557</v>
      </c>
      <c r="J421" s="8" t="s">
        <v>11087</v>
      </c>
      <c r="K421" t="s">
        <v>11507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8" t="s">
        <v>4</v>
      </c>
      <c r="E422" s="8" t="s">
        <v>9</v>
      </c>
      <c r="F422" s="8"/>
      <c r="H422" s="8"/>
      <c r="I422" s="8" t="s">
        <v>5559</v>
      </c>
      <c r="J422" s="8" t="s">
        <v>11087</v>
      </c>
      <c r="K422" t="s">
        <v>11508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8" t="s">
        <v>884</v>
      </c>
      <c r="E423" s="8" t="s">
        <v>58</v>
      </c>
      <c r="F423" s="8"/>
      <c r="H423" s="8"/>
      <c r="I423" s="8" t="s">
        <v>5561</v>
      </c>
      <c r="J423" s="8" t="s">
        <v>11087</v>
      </c>
      <c r="K423" t="s">
        <v>11509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8" t="s">
        <v>4</v>
      </c>
      <c r="E424" s="8" t="s">
        <v>9</v>
      </c>
      <c r="F424" s="8"/>
      <c r="H424" s="8"/>
      <c r="I424" s="8" t="s">
        <v>5563</v>
      </c>
      <c r="J424" s="8" t="s">
        <v>11087</v>
      </c>
      <c r="K424" t="s">
        <v>11510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8" t="s">
        <v>4</v>
      </c>
      <c r="E425" s="8" t="s">
        <v>9</v>
      </c>
      <c r="F425" s="8"/>
      <c r="H425" s="8" t="s">
        <v>2352</v>
      </c>
      <c r="I425" s="8" t="s">
        <v>5565</v>
      </c>
      <c r="J425" s="8" t="s">
        <v>11087</v>
      </c>
      <c r="K425" t="s">
        <v>11511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8" t="s">
        <v>4</v>
      </c>
      <c r="E426" s="8" t="s">
        <v>9</v>
      </c>
      <c r="F426" s="8"/>
      <c r="H426" s="8" t="s">
        <v>2352</v>
      </c>
      <c r="I426" s="8" t="s">
        <v>5567</v>
      </c>
      <c r="J426" s="8" t="s">
        <v>11087</v>
      </c>
      <c r="K426" t="s">
        <v>11512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8" t="s">
        <v>4</v>
      </c>
      <c r="E427" s="8" t="s">
        <v>9</v>
      </c>
      <c r="F427" s="8"/>
      <c r="H427" s="8" t="s">
        <v>2352</v>
      </c>
      <c r="I427" s="8" t="s">
        <v>5569</v>
      </c>
      <c r="J427" s="8" t="s">
        <v>11087</v>
      </c>
      <c r="K427" t="s">
        <v>11513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8" t="s">
        <v>4</v>
      </c>
      <c r="E428" s="8" t="s">
        <v>9</v>
      </c>
      <c r="F428" s="8"/>
      <c r="H428" s="8" t="s">
        <v>2352</v>
      </c>
      <c r="I428" s="8" t="s">
        <v>5571</v>
      </c>
      <c r="J428" s="8" t="s">
        <v>11087</v>
      </c>
      <c r="K428" t="s">
        <v>11514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8" t="s">
        <v>4</v>
      </c>
      <c r="E429" s="8" t="s">
        <v>9</v>
      </c>
      <c r="F429" s="8"/>
      <c r="H429" s="8" t="s">
        <v>2352</v>
      </c>
      <c r="I429" s="8" t="s">
        <v>5573</v>
      </c>
      <c r="J429" s="8" t="s">
        <v>11087</v>
      </c>
      <c r="K429" t="s">
        <v>11515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8" t="s">
        <v>4</v>
      </c>
      <c r="E430" s="8" t="s">
        <v>9</v>
      </c>
      <c r="F430" s="8"/>
      <c r="H430" s="8" t="s">
        <v>2352</v>
      </c>
      <c r="I430" s="8" t="s">
        <v>5575</v>
      </c>
      <c r="J430" s="8" t="s">
        <v>11087</v>
      </c>
      <c r="K430" t="s">
        <v>11516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8" t="s">
        <v>4</v>
      </c>
      <c r="E431" s="8" t="s">
        <v>1274</v>
      </c>
      <c r="F431" s="8" t="s">
        <v>5696</v>
      </c>
      <c r="H431" s="8"/>
      <c r="I431" s="8" t="s">
        <v>5577</v>
      </c>
      <c r="J431" s="8" t="s">
        <v>11087</v>
      </c>
      <c r="K431" t="s">
        <v>11517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8" t="s">
        <v>4</v>
      </c>
      <c r="E432" s="8" t="s">
        <v>1274</v>
      </c>
      <c r="F432" s="8" t="s">
        <v>2462</v>
      </c>
      <c r="H432" s="8"/>
      <c r="I432" s="8" t="s">
        <v>5579</v>
      </c>
      <c r="J432" s="8" t="s">
        <v>11087</v>
      </c>
      <c r="K432" t="s">
        <v>11518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8" t="s">
        <v>4</v>
      </c>
      <c r="E433" s="8" t="s">
        <v>9</v>
      </c>
      <c r="F433" s="8"/>
      <c r="H433" s="8"/>
      <c r="I433" s="8" t="s">
        <v>5581</v>
      </c>
      <c r="J433" s="8" t="s">
        <v>11087</v>
      </c>
      <c r="K433" t="s">
        <v>11519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8" t="s">
        <v>1607</v>
      </c>
      <c r="E434" s="8" t="s">
        <v>9</v>
      </c>
      <c r="F434" s="8"/>
      <c r="H434" s="8"/>
      <c r="I434" s="8" t="s">
        <v>5583</v>
      </c>
      <c r="J434" s="8" t="s">
        <v>11087</v>
      </c>
      <c r="K434" t="s">
        <v>11520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8" t="s">
        <v>1607</v>
      </c>
      <c r="E435" s="8" t="s">
        <v>9</v>
      </c>
      <c r="F435" s="8"/>
      <c r="H435" s="8"/>
      <c r="I435" s="8" t="s">
        <v>5585</v>
      </c>
      <c r="J435" s="8" t="s">
        <v>11087</v>
      </c>
      <c r="K435" t="s">
        <v>11521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8" t="s">
        <v>4</v>
      </c>
      <c r="E436" s="8" t="s">
        <v>9</v>
      </c>
      <c r="F436" s="8"/>
      <c r="H436" s="8"/>
      <c r="I436" s="8" t="s">
        <v>5717</v>
      </c>
      <c r="J436" s="8" t="s">
        <v>11087</v>
      </c>
      <c r="K436" t="s">
        <v>11522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8" t="s">
        <v>4</v>
      </c>
      <c r="E437" s="8" t="s">
        <v>5736</v>
      </c>
      <c r="F437" s="8"/>
      <c r="H437" s="8"/>
      <c r="I437" s="8" t="s">
        <v>5719</v>
      </c>
      <c r="J437" s="8" t="s">
        <v>11087</v>
      </c>
      <c r="K437" t="s">
        <v>11523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8" t="s">
        <v>4</v>
      </c>
      <c r="E438" s="8" t="s">
        <v>5736</v>
      </c>
      <c r="F438" s="8"/>
      <c r="H438" s="8" t="s">
        <v>2352</v>
      </c>
      <c r="I438" s="8" t="s">
        <v>5721</v>
      </c>
      <c r="J438" s="8" t="s">
        <v>11087</v>
      </c>
      <c r="K438" t="s">
        <v>11524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8" t="s">
        <v>4</v>
      </c>
      <c r="E439" s="8" t="s">
        <v>9</v>
      </c>
      <c r="F439" s="8"/>
      <c r="H439" s="8"/>
      <c r="I439" s="8" t="s">
        <v>5778</v>
      </c>
      <c r="J439" s="8" t="s">
        <v>11087</v>
      </c>
      <c r="K439" t="s">
        <v>11525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8" t="s">
        <v>4</v>
      </c>
      <c r="E440" s="8" t="s">
        <v>5736</v>
      </c>
      <c r="F440" s="8"/>
      <c r="H440" s="8"/>
      <c r="I440" s="8" t="s">
        <v>5780</v>
      </c>
      <c r="J440" s="8" t="s">
        <v>11087</v>
      </c>
      <c r="K440" t="s">
        <v>11526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8" t="s">
        <v>4</v>
      </c>
      <c r="E441" s="8" t="s">
        <v>9</v>
      </c>
      <c r="F441" s="8"/>
      <c r="H441" s="8"/>
      <c r="I441" s="8" t="s">
        <v>5782</v>
      </c>
      <c r="J441" s="8" t="s">
        <v>11087</v>
      </c>
      <c r="K441" t="s">
        <v>11527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8" t="s">
        <v>4</v>
      </c>
      <c r="E442" s="8" t="s">
        <v>9</v>
      </c>
      <c r="F442" s="8"/>
      <c r="H442" s="8" t="s">
        <v>2352</v>
      </c>
      <c r="I442" s="8" t="s">
        <v>5784</v>
      </c>
      <c r="J442" s="8" t="s">
        <v>11087</v>
      </c>
      <c r="K442" t="s">
        <v>11528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8" t="s">
        <v>4</v>
      </c>
      <c r="E443" s="8" t="s">
        <v>9</v>
      </c>
      <c r="F443" s="8"/>
      <c r="H443" s="8" t="s">
        <v>2352</v>
      </c>
      <c r="I443" s="8" t="s">
        <v>5786</v>
      </c>
      <c r="J443" s="8" t="s">
        <v>11087</v>
      </c>
      <c r="K443" t="s">
        <v>11529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8" t="s">
        <v>4</v>
      </c>
      <c r="E444" s="8" t="s">
        <v>5736</v>
      </c>
      <c r="F444" s="8"/>
      <c r="H444" s="8"/>
      <c r="I444" s="8" t="s">
        <v>5788</v>
      </c>
      <c r="J444" s="8" t="s">
        <v>11087</v>
      </c>
      <c r="K444" t="s">
        <v>11530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8" t="s">
        <v>4</v>
      </c>
      <c r="E445" s="8" t="s">
        <v>9</v>
      </c>
      <c r="F445" s="8"/>
      <c r="H445" s="8" t="s">
        <v>2352</v>
      </c>
      <c r="I445" s="8" t="s">
        <v>5790</v>
      </c>
      <c r="J445" s="8" t="s">
        <v>11087</v>
      </c>
      <c r="K445" t="s">
        <v>11531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8" t="s">
        <v>4</v>
      </c>
      <c r="E446" s="8" t="s">
        <v>9</v>
      </c>
      <c r="F446" s="8"/>
      <c r="H446" s="8" t="s">
        <v>2352</v>
      </c>
      <c r="I446" s="8" t="s">
        <v>5792</v>
      </c>
      <c r="J446" s="8" t="s">
        <v>11087</v>
      </c>
      <c r="K446" t="s">
        <v>11532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8" t="s">
        <v>4</v>
      </c>
      <c r="E447" s="8" t="s">
        <v>9</v>
      </c>
      <c r="F447" s="8"/>
      <c r="H447" s="8" t="s">
        <v>2352</v>
      </c>
      <c r="I447" s="8" t="s">
        <v>5794</v>
      </c>
      <c r="J447" s="8" t="s">
        <v>11087</v>
      </c>
      <c r="K447" t="s">
        <v>11533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8" t="s">
        <v>4</v>
      </c>
      <c r="E448" s="8" t="s">
        <v>86</v>
      </c>
      <c r="F448" s="8"/>
      <c r="H448" s="8" t="s">
        <v>6158</v>
      </c>
      <c r="I448" s="8" t="s">
        <v>5796</v>
      </c>
      <c r="J448" s="8" t="s">
        <v>11087</v>
      </c>
      <c r="K448" t="s">
        <v>11534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8" t="s">
        <v>4</v>
      </c>
      <c r="E449" s="8" t="s">
        <v>86</v>
      </c>
      <c r="F449" s="8"/>
      <c r="H449" s="8" t="s">
        <v>6158</v>
      </c>
      <c r="I449" s="8" t="s">
        <v>5933</v>
      </c>
      <c r="J449" s="8" t="s">
        <v>11087</v>
      </c>
      <c r="K449" t="s">
        <v>11535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8" t="s">
        <v>4</v>
      </c>
      <c r="E450" s="8" t="s">
        <v>6157</v>
      </c>
      <c r="F450" s="8"/>
      <c r="H450" s="8"/>
      <c r="I450" s="8" t="s">
        <v>5935</v>
      </c>
      <c r="J450" s="8" t="s">
        <v>11087</v>
      </c>
      <c r="K450" t="s">
        <v>11536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8" t="s">
        <v>4</v>
      </c>
      <c r="E451" s="8" t="s">
        <v>86</v>
      </c>
      <c r="F451" s="8"/>
      <c r="H451" s="8" t="s">
        <v>6158</v>
      </c>
      <c r="I451" s="8" t="s">
        <v>5937</v>
      </c>
      <c r="J451" s="8" t="s">
        <v>11087</v>
      </c>
      <c r="K451" t="s">
        <v>11537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8" t="s">
        <v>4</v>
      </c>
      <c r="E452" s="8" t="s">
        <v>86</v>
      </c>
      <c r="F452" s="8"/>
      <c r="H452" s="8" t="s">
        <v>6158</v>
      </c>
      <c r="I452" s="8" t="s">
        <v>5939</v>
      </c>
      <c r="J452" s="8" t="s">
        <v>11087</v>
      </c>
      <c r="K452" t="s">
        <v>11538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8" t="s">
        <v>4</v>
      </c>
      <c r="E453" s="8" t="s">
        <v>6157</v>
      </c>
      <c r="F453" s="8"/>
      <c r="H453" s="8"/>
      <c r="I453" s="8" t="s">
        <v>5941</v>
      </c>
      <c r="J453" s="8" t="s">
        <v>11087</v>
      </c>
      <c r="K453" t="s">
        <v>11539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8" t="s">
        <v>4</v>
      </c>
      <c r="E454" s="8" t="s">
        <v>6157</v>
      </c>
      <c r="F454" s="8"/>
      <c r="H454" s="8"/>
      <c r="I454" s="8" t="s">
        <v>5943</v>
      </c>
      <c r="J454" s="8" t="s">
        <v>11087</v>
      </c>
      <c r="K454" t="s">
        <v>11540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8" t="s">
        <v>4</v>
      </c>
      <c r="E455" s="8" t="s">
        <v>86</v>
      </c>
      <c r="F455" s="8"/>
      <c r="H455" s="8" t="s">
        <v>6158</v>
      </c>
      <c r="I455" s="8" t="s">
        <v>5945</v>
      </c>
      <c r="J455" s="8" t="s">
        <v>11087</v>
      </c>
      <c r="K455" t="s">
        <v>11541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8" t="s">
        <v>4</v>
      </c>
      <c r="E456" s="8" t="s">
        <v>6157</v>
      </c>
      <c r="F456" s="8"/>
      <c r="H456" s="8"/>
      <c r="I456" s="8" t="s">
        <v>5947</v>
      </c>
      <c r="J456" s="8" t="s">
        <v>11087</v>
      </c>
      <c r="K456" t="s">
        <v>11542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8" t="s">
        <v>4</v>
      </c>
      <c r="E457" s="8" t="s">
        <v>86</v>
      </c>
      <c r="F457" s="8"/>
      <c r="H457" s="8" t="s">
        <v>6158</v>
      </c>
      <c r="I457" s="8" t="s">
        <v>5949</v>
      </c>
      <c r="J457" s="8" t="s">
        <v>11087</v>
      </c>
      <c r="K457" t="s">
        <v>11543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8" t="s">
        <v>4</v>
      </c>
      <c r="E458" s="8" t="s">
        <v>86</v>
      </c>
      <c r="F458" s="8"/>
      <c r="H458" s="8" t="s">
        <v>6158</v>
      </c>
      <c r="I458" s="8" t="s">
        <v>6174</v>
      </c>
      <c r="J458" s="8" t="s">
        <v>11087</v>
      </c>
      <c r="K458" t="s">
        <v>11544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8" t="s">
        <v>4</v>
      </c>
      <c r="E459" s="8" t="s">
        <v>6157</v>
      </c>
      <c r="F459" s="8"/>
      <c r="H459" s="8"/>
      <c r="I459" s="8" t="s">
        <v>6176</v>
      </c>
      <c r="J459" s="8" t="s">
        <v>11087</v>
      </c>
      <c r="K459" t="s">
        <v>11545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8" t="s">
        <v>4</v>
      </c>
      <c r="E460" s="8" t="s">
        <v>86</v>
      </c>
      <c r="F460" s="8"/>
      <c r="H460" s="8" t="s">
        <v>6158</v>
      </c>
      <c r="I460" s="8" t="s">
        <v>6178</v>
      </c>
      <c r="J460" s="8" t="s">
        <v>11087</v>
      </c>
      <c r="K460" t="s">
        <v>11546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8" t="s">
        <v>4</v>
      </c>
      <c r="E461" s="8" t="s">
        <v>6157</v>
      </c>
      <c r="F461" s="8"/>
      <c r="H461" s="8"/>
      <c r="I461" s="8" t="s">
        <v>6180</v>
      </c>
      <c r="J461" s="8" t="s">
        <v>11087</v>
      </c>
      <c r="K461" t="s">
        <v>11547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8" t="s">
        <v>4</v>
      </c>
      <c r="E462" s="8" t="s">
        <v>86</v>
      </c>
      <c r="F462" s="8"/>
      <c r="H462" s="8" t="s">
        <v>6158</v>
      </c>
      <c r="I462" s="8" t="s">
        <v>6182</v>
      </c>
      <c r="J462" s="8" t="s">
        <v>11087</v>
      </c>
      <c r="K462" t="s">
        <v>11548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8" t="s">
        <v>1607</v>
      </c>
      <c r="E463" s="8" t="s">
        <v>86</v>
      </c>
      <c r="F463" s="8"/>
      <c r="H463" s="8"/>
      <c r="I463" s="8" t="s">
        <v>6361</v>
      </c>
      <c r="J463" s="8" t="s">
        <v>11087</v>
      </c>
      <c r="K463" t="s">
        <v>11549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8" t="s">
        <v>1607</v>
      </c>
      <c r="E464" s="8" t="s">
        <v>86</v>
      </c>
      <c r="F464" s="8"/>
      <c r="H464" s="8"/>
      <c r="I464" s="8" t="s">
        <v>6363</v>
      </c>
      <c r="J464" s="8" t="s">
        <v>11087</v>
      </c>
      <c r="K464" t="s">
        <v>11550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8" t="s">
        <v>4</v>
      </c>
      <c r="E465" s="8" t="s">
        <v>6662</v>
      </c>
      <c r="F465" s="8"/>
      <c r="H465" s="8"/>
      <c r="I465" s="8" t="s">
        <v>6498</v>
      </c>
      <c r="J465" s="8" t="s">
        <v>11087</v>
      </c>
      <c r="K465" t="s">
        <v>11551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8" t="s">
        <v>884</v>
      </c>
      <c r="E466" s="8" t="s">
        <v>6662</v>
      </c>
      <c r="F466" s="8" t="s">
        <v>53</v>
      </c>
      <c r="G466">
        <v>2</v>
      </c>
      <c r="H466" s="8" t="s">
        <v>6689</v>
      </c>
      <c r="I466" s="8" t="s">
        <v>6500</v>
      </c>
      <c r="J466" s="8" t="s">
        <v>11087</v>
      </c>
      <c r="K466" t="s">
        <v>11552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8" t="s">
        <v>884</v>
      </c>
      <c r="E467" s="8" t="s">
        <v>6662</v>
      </c>
      <c r="F467" s="8" t="s">
        <v>53</v>
      </c>
      <c r="G467">
        <v>1</v>
      </c>
      <c r="H467" s="8"/>
      <c r="I467" s="8" t="s">
        <v>6502</v>
      </c>
      <c r="J467" s="8" t="s">
        <v>11087</v>
      </c>
      <c r="K467" t="s">
        <v>11553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8" t="s">
        <v>884</v>
      </c>
      <c r="E468" s="8" t="s">
        <v>6662</v>
      </c>
      <c r="F468" s="8" t="s">
        <v>53</v>
      </c>
      <c r="G468">
        <v>2</v>
      </c>
      <c r="H468" s="8"/>
      <c r="I468" s="8" t="s">
        <v>6504</v>
      </c>
      <c r="J468" s="8" t="s">
        <v>11087</v>
      </c>
      <c r="K468" t="s">
        <v>11554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8" t="s">
        <v>4</v>
      </c>
      <c r="E469" s="8" t="s">
        <v>1274</v>
      </c>
      <c r="F469" s="8"/>
      <c r="H469" s="8"/>
      <c r="I469" s="8" t="s">
        <v>6506</v>
      </c>
      <c r="J469" s="8" t="s">
        <v>11087</v>
      </c>
      <c r="K469" t="s">
        <v>11555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8" t="s">
        <v>1607</v>
      </c>
      <c r="E470" s="8" t="s">
        <v>86</v>
      </c>
      <c r="F470" s="8"/>
      <c r="H470" s="8" t="s">
        <v>4395</v>
      </c>
      <c r="I470" s="8" t="s">
        <v>6508</v>
      </c>
      <c r="J470" s="8" t="s">
        <v>11087</v>
      </c>
      <c r="K470" t="s">
        <v>11556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8" t="s">
        <v>1607</v>
      </c>
      <c r="E471" s="8" t="s">
        <v>86</v>
      </c>
      <c r="F471" s="8"/>
      <c r="H471" s="8" t="s">
        <v>4395</v>
      </c>
      <c r="I471" s="8" t="s">
        <v>6510</v>
      </c>
      <c r="J471" s="8" t="s">
        <v>11087</v>
      </c>
      <c r="K471" t="s">
        <v>11557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8" t="s">
        <v>1607</v>
      </c>
      <c r="E472" s="8" t="s">
        <v>86</v>
      </c>
      <c r="F472" s="8"/>
      <c r="H472" s="8" t="s">
        <v>4395</v>
      </c>
      <c r="I472" s="8" t="s">
        <v>6512</v>
      </c>
      <c r="J472" s="8" t="s">
        <v>11087</v>
      </c>
      <c r="K472" t="s">
        <v>11558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8" t="s">
        <v>1607</v>
      </c>
      <c r="E473" s="8" t="s">
        <v>86</v>
      </c>
      <c r="F473" s="8"/>
      <c r="H473" s="8" t="s">
        <v>4395</v>
      </c>
      <c r="I473" s="8" t="s">
        <v>6734</v>
      </c>
      <c r="J473" s="8" t="s">
        <v>11087</v>
      </c>
      <c r="K473" t="s">
        <v>11559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8" t="s">
        <v>1607</v>
      </c>
      <c r="E474" s="8" t="s">
        <v>86</v>
      </c>
      <c r="F474" s="8"/>
      <c r="H474" s="8" t="s">
        <v>4395</v>
      </c>
      <c r="I474" s="8" t="s">
        <v>6736</v>
      </c>
      <c r="J474" s="8" t="s">
        <v>11087</v>
      </c>
      <c r="K474" t="s">
        <v>11560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8" t="s">
        <v>1607</v>
      </c>
      <c r="E475" s="8" t="s">
        <v>86</v>
      </c>
      <c r="F475" s="8"/>
      <c r="H475" s="8" t="s">
        <v>4395</v>
      </c>
      <c r="I475" s="8" t="s">
        <v>6738</v>
      </c>
      <c r="J475" s="8" t="s">
        <v>11087</v>
      </c>
      <c r="K475" t="s">
        <v>11561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8" t="s">
        <v>1607</v>
      </c>
      <c r="E476" s="8" t="s">
        <v>86</v>
      </c>
      <c r="F476" s="8"/>
      <c r="H476" s="8" t="s">
        <v>4395</v>
      </c>
      <c r="I476" s="8" t="s">
        <v>6949</v>
      </c>
      <c r="J476" s="8" t="s">
        <v>11087</v>
      </c>
      <c r="K476" t="s">
        <v>11562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8" t="s">
        <v>1607</v>
      </c>
      <c r="E477" s="8" t="s">
        <v>86</v>
      </c>
      <c r="F477" s="8"/>
      <c r="H477" s="8" t="s">
        <v>4395</v>
      </c>
      <c r="I477" s="8" t="s">
        <v>6951</v>
      </c>
      <c r="J477" s="8" t="s">
        <v>11087</v>
      </c>
      <c r="K477" t="s">
        <v>11563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8" t="s">
        <v>1607</v>
      </c>
      <c r="E478" s="8" t="s">
        <v>7067</v>
      </c>
      <c r="F478" s="8"/>
      <c r="H478" s="8" t="s">
        <v>4395</v>
      </c>
      <c r="I478" s="8" t="s">
        <v>6953</v>
      </c>
      <c r="J478" s="8" t="s">
        <v>11087</v>
      </c>
      <c r="K478" t="s">
        <v>11564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8" t="s">
        <v>1607</v>
      </c>
      <c r="E479" s="8" t="s">
        <v>86</v>
      </c>
      <c r="F479" s="8"/>
      <c r="H479" s="8" t="s">
        <v>4395</v>
      </c>
      <c r="I479" s="8" t="s">
        <v>6955</v>
      </c>
      <c r="J479" s="8" t="s">
        <v>11087</v>
      </c>
      <c r="K479" t="s">
        <v>11565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8" t="s">
        <v>1607</v>
      </c>
      <c r="E480" s="8" t="s">
        <v>86</v>
      </c>
      <c r="F480" s="8"/>
      <c r="H480" s="8" t="s">
        <v>4395</v>
      </c>
      <c r="I480" s="8" t="s">
        <v>6957</v>
      </c>
      <c r="J480" s="8" t="s">
        <v>11087</v>
      </c>
      <c r="K480" t="s">
        <v>11566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8" t="s">
        <v>1607</v>
      </c>
      <c r="E481" s="8" t="s">
        <v>86</v>
      </c>
      <c r="F481" s="8"/>
      <c r="H481" s="8" t="s">
        <v>4395</v>
      </c>
      <c r="I481" s="8" t="s">
        <v>6959</v>
      </c>
      <c r="J481" s="8" t="s">
        <v>11087</v>
      </c>
      <c r="K481" t="s">
        <v>11567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8" t="s">
        <v>1607</v>
      </c>
      <c r="E482" s="8" t="s">
        <v>86</v>
      </c>
      <c r="F482" s="8"/>
      <c r="H482" s="8" t="s">
        <v>4395</v>
      </c>
      <c r="I482" s="8" t="s">
        <v>6961</v>
      </c>
      <c r="J482" s="8" t="s">
        <v>11087</v>
      </c>
      <c r="K482" t="s">
        <v>11568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8" t="s">
        <v>1607</v>
      </c>
      <c r="E483" s="8" t="s">
        <v>86</v>
      </c>
      <c r="F483" s="8"/>
      <c r="H483" s="8" t="s">
        <v>4395</v>
      </c>
      <c r="I483" s="8" t="s">
        <v>7128</v>
      </c>
      <c r="J483" s="8" t="s">
        <v>11087</v>
      </c>
      <c r="K483" t="s">
        <v>11569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8" t="s">
        <v>4</v>
      </c>
      <c r="E484" s="8" t="s">
        <v>9</v>
      </c>
      <c r="F484" s="8"/>
      <c r="H484" s="8"/>
      <c r="I484" s="8" t="s">
        <v>7130</v>
      </c>
      <c r="J484" s="8" t="s">
        <v>11087</v>
      </c>
      <c r="K484" t="s">
        <v>11570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8" t="s">
        <v>7354</v>
      </c>
      <c r="E485" s="8" t="s">
        <v>7355</v>
      </c>
      <c r="F485" s="8"/>
      <c r="H485" s="8"/>
      <c r="I485" s="8" t="s">
        <v>7132</v>
      </c>
      <c r="J485" s="8" t="s">
        <v>11087</v>
      </c>
      <c r="K485" t="s">
        <v>11571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8" t="s">
        <v>1627</v>
      </c>
      <c r="E486" s="8" t="s">
        <v>1058</v>
      </c>
      <c r="F486" s="8"/>
      <c r="H486" s="8"/>
      <c r="I486" s="8" t="s">
        <v>7134</v>
      </c>
      <c r="J486" s="8" t="s">
        <v>11087</v>
      </c>
      <c r="K486" t="s">
        <v>11572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8" t="s">
        <v>7354</v>
      </c>
      <c r="E487" s="8" t="s">
        <v>4131</v>
      </c>
      <c r="F487" s="8"/>
      <c r="H487" s="8"/>
      <c r="I487" s="8" t="s">
        <v>7136</v>
      </c>
      <c r="J487" s="8" t="s">
        <v>11087</v>
      </c>
      <c r="K487" t="s">
        <v>11573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8" t="s">
        <v>4392</v>
      </c>
      <c r="E488" s="8" t="s">
        <v>4396</v>
      </c>
      <c r="F488" s="8" t="s">
        <v>7356</v>
      </c>
      <c r="H488" s="8"/>
      <c r="I488" s="8" t="s">
        <v>7138</v>
      </c>
      <c r="J488" s="8" t="s">
        <v>11087</v>
      </c>
      <c r="K488" t="s">
        <v>11574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8" t="s">
        <v>4</v>
      </c>
      <c r="E489" s="8" t="s">
        <v>9</v>
      </c>
      <c r="F489" s="8"/>
      <c r="H489" s="8"/>
      <c r="I489" s="8" t="s">
        <v>7140</v>
      </c>
      <c r="J489" s="8" t="s">
        <v>11087</v>
      </c>
      <c r="K489" t="s">
        <v>11575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8" t="s">
        <v>4392</v>
      </c>
      <c r="E490" s="8" t="s">
        <v>4396</v>
      </c>
      <c r="F490" s="8" t="s">
        <v>7357</v>
      </c>
      <c r="H490" s="8"/>
      <c r="I490" s="8" t="s">
        <v>7142</v>
      </c>
      <c r="J490" s="8" t="s">
        <v>11087</v>
      </c>
      <c r="K490" t="s">
        <v>11576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8" t="s">
        <v>4</v>
      </c>
      <c r="E491" s="8" t="s">
        <v>7358</v>
      </c>
      <c r="F491" s="8"/>
      <c r="H491" s="8"/>
      <c r="I491" s="8" t="s">
        <v>7144</v>
      </c>
      <c r="J491" s="8" t="s">
        <v>11087</v>
      </c>
      <c r="K491" t="s">
        <v>11577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8" t="s">
        <v>4392</v>
      </c>
      <c r="E492" s="8" t="s">
        <v>4396</v>
      </c>
      <c r="F492" s="8" t="s">
        <v>7357</v>
      </c>
      <c r="H492" s="8"/>
      <c r="I492" s="8" t="s">
        <v>7146</v>
      </c>
      <c r="J492" s="8" t="s">
        <v>11087</v>
      </c>
      <c r="K492" t="s">
        <v>11578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8" t="s">
        <v>4392</v>
      </c>
      <c r="E493" s="8" t="s">
        <v>4396</v>
      </c>
      <c r="F493" s="8" t="s">
        <v>7357</v>
      </c>
      <c r="H493" s="8"/>
      <c r="I493" s="8" t="s">
        <v>7148</v>
      </c>
      <c r="J493" s="8" t="s">
        <v>11087</v>
      </c>
      <c r="K493" t="s">
        <v>11579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8" t="s">
        <v>4</v>
      </c>
      <c r="E494" s="8" t="s">
        <v>9</v>
      </c>
      <c r="F494" s="8"/>
      <c r="H494" s="8"/>
      <c r="I494" s="8" t="s">
        <v>7150</v>
      </c>
      <c r="J494" s="8" t="s">
        <v>11087</v>
      </c>
      <c r="K494" t="s">
        <v>11580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8" t="s">
        <v>4392</v>
      </c>
      <c r="E495" s="8" t="s">
        <v>4396</v>
      </c>
      <c r="F495" s="8" t="s">
        <v>7357</v>
      </c>
      <c r="H495" s="8"/>
      <c r="I495" s="8" t="s">
        <v>7152</v>
      </c>
      <c r="J495" s="8" t="s">
        <v>11087</v>
      </c>
      <c r="K495" t="s">
        <v>11581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8" t="s">
        <v>4392</v>
      </c>
      <c r="E496" s="8" t="s">
        <v>4396</v>
      </c>
      <c r="F496" s="8" t="s">
        <v>7357</v>
      </c>
      <c r="H496" s="8"/>
      <c r="I496" s="8" t="s">
        <v>7154</v>
      </c>
      <c r="J496" s="8" t="s">
        <v>11087</v>
      </c>
      <c r="K496" t="s">
        <v>11582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8" t="s">
        <v>4</v>
      </c>
      <c r="E497" s="8" t="s">
        <v>9</v>
      </c>
      <c r="F497" s="8"/>
      <c r="H497" s="8"/>
      <c r="I497" s="8" t="s">
        <v>7156</v>
      </c>
      <c r="J497" s="8" t="s">
        <v>11087</v>
      </c>
      <c r="K497" t="s">
        <v>11583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8" t="s">
        <v>4</v>
      </c>
      <c r="E498" s="8" t="s">
        <v>86</v>
      </c>
      <c r="F498" s="8"/>
      <c r="H498" s="8" t="s">
        <v>4395</v>
      </c>
      <c r="I498" s="8" t="s">
        <v>7158</v>
      </c>
      <c r="J498" s="8" t="s">
        <v>11087</v>
      </c>
      <c r="K498" t="s">
        <v>11584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8" t="s">
        <v>7359</v>
      </c>
      <c r="E499" s="8" t="s">
        <v>1058</v>
      </c>
      <c r="F499" s="8"/>
      <c r="H499" s="8"/>
      <c r="I499" s="8" t="s">
        <v>7160</v>
      </c>
      <c r="J499" s="8" t="s">
        <v>11087</v>
      </c>
      <c r="K499" t="s">
        <v>11585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8" t="s">
        <v>1627</v>
      </c>
      <c r="E500" s="8" t="s">
        <v>1058</v>
      </c>
      <c r="F500" s="8"/>
      <c r="H500" s="8"/>
      <c r="I500" s="8" t="s">
        <v>7162</v>
      </c>
      <c r="J500" s="8" t="s">
        <v>11087</v>
      </c>
      <c r="K500" t="s">
        <v>11586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8" t="s">
        <v>1627</v>
      </c>
      <c r="E501" s="8" t="s">
        <v>1058</v>
      </c>
      <c r="F501" s="8"/>
      <c r="H501" s="8"/>
      <c r="I501" s="8" t="s">
        <v>7164</v>
      </c>
      <c r="J501" s="8" t="s">
        <v>11087</v>
      </c>
      <c r="K501" t="s">
        <v>11587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8" t="s">
        <v>4</v>
      </c>
      <c r="E502" s="8" t="s">
        <v>9</v>
      </c>
      <c r="F502" s="8"/>
      <c r="H502" s="8"/>
      <c r="I502" s="8" t="s">
        <v>7166</v>
      </c>
      <c r="J502" s="8" t="s">
        <v>11087</v>
      </c>
      <c r="K502" t="s">
        <v>11588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8" t="s">
        <v>7354</v>
      </c>
      <c r="E503" s="8" t="s">
        <v>4131</v>
      </c>
      <c r="F503" s="8"/>
      <c r="H503" s="8"/>
      <c r="I503" s="8" t="s">
        <v>7168</v>
      </c>
      <c r="J503" s="8" t="s">
        <v>11087</v>
      </c>
      <c r="K503" t="s">
        <v>11589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8" t="s">
        <v>4392</v>
      </c>
      <c r="E504" s="8" t="s">
        <v>4396</v>
      </c>
      <c r="F504" s="8" t="s">
        <v>465</v>
      </c>
      <c r="H504" s="8"/>
      <c r="I504" s="8" t="s">
        <v>7170</v>
      </c>
      <c r="J504" s="8" t="s">
        <v>11087</v>
      </c>
      <c r="K504" t="s">
        <v>11590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8" t="s">
        <v>4</v>
      </c>
      <c r="E505" s="8" t="s">
        <v>6157</v>
      </c>
      <c r="F505" s="8"/>
      <c r="H505" s="8"/>
      <c r="I505" s="8" t="s">
        <v>7172</v>
      </c>
      <c r="J505" s="8" t="s">
        <v>11087</v>
      </c>
      <c r="K505" t="s">
        <v>11591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8" t="s">
        <v>7360</v>
      </c>
      <c r="E506" s="8" t="s">
        <v>1058</v>
      </c>
      <c r="F506" s="8"/>
      <c r="H506" s="8"/>
      <c r="I506" s="8" t="s">
        <v>7174</v>
      </c>
      <c r="J506" s="8" t="s">
        <v>11087</v>
      </c>
      <c r="K506" t="s">
        <v>11592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8" t="s">
        <v>7360</v>
      </c>
      <c r="E507" s="8" t="s">
        <v>1058</v>
      </c>
      <c r="F507" s="8"/>
      <c r="H507" s="8"/>
      <c r="I507" s="8" t="s">
        <v>7176</v>
      </c>
      <c r="J507" s="8" t="s">
        <v>11087</v>
      </c>
      <c r="K507" t="s">
        <v>11593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8" t="s">
        <v>4</v>
      </c>
      <c r="E508" s="8" t="s">
        <v>86</v>
      </c>
      <c r="F508" s="8"/>
      <c r="H508" s="8" t="s">
        <v>4395</v>
      </c>
      <c r="I508" s="8" t="s">
        <v>7178</v>
      </c>
      <c r="J508" s="8" t="s">
        <v>11087</v>
      </c>
      <c r="K508" t="s">
        <v>11594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8" t="s">
        <v>7563</v>
      </c>
      <c r="E509" s="8" t="s">
        <v>1058</v>
      </c>
      <c r="F509" s="8"/>
      <c r="H509" s="8"/>
      <c r="I509" s="8" t="s">
        <v>7422</v>
      </c>
      <c r="J509" s="8" t="s">
        <v>11087</v>
      </c>
      <c r="K509" t="s">
        <v>11595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8" t="s">
        <v>7563</v>
      </c>
      <c r="E510" s="8" t="s">
        <v>1058</v>
      </c>
      <c r="F510" s="8"/>
      <c r="H510" s="8"/>
      <c r="I510" s="8" t="s">
        <v>7424</v>
      </c>
      <c r="J510" s="8" t="s">
        <v>11087</v>
      </c>
      <c r="K510" t="s">
        <v>11596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8" t="s">
        <v>7563</v>
      </c>
      <c r="E511" s="8" t="s">
        <v>7564</v>
      </c>
      <c r="F511" s="8"/>
      <c r="H511" s="8"/>
      <c r="I511" s="8" t="s">
        <v>7426</v>
      </c>
      <c r="J511" s="8" t="s">
        <v>11087</v>
      </c>
      <c r="K511" t="s">
        <v>11597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8" t="s">
        <v>4</v>
      </c>
      <c r="E512" s="8" t="s">
        <v>6157</v>
      </c>
      <c r="F512" s="8"/>
      <c r="H512" s="8"/>
      <c r="I512" s="8" t="s">
        <v>7428</v>
      </c>
      <c r="J512" s="8" t="s">
        <v>11087</v>
      </c>
      <c r="K512" t="s">
        <v>11598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8" t="s">
        <v>7563</v>
      </c>
      <c r="E513" s="8" t="s">
        <v>1058</v>
      </c>
      <c r="F513" s="8"/>
      <c r="H513" s="8"/>
      <c r="I513" s="8" t="s">
        <v>7565</v>
      </c>
      <c r="J513" s="8" t="s">
        <v>11087</v>
      </c>
      <c r="K513" t="s">
        <v>11599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8" t="s">
        <v>7563</v>
      </c>
      <c r="E514" s="8" t="s">
        <v>1058</v>
      </c>
      <c r="F514" s="8"/>
      <c r="H514" s="8"/>
      <c r="I514" s="8" t="s">
        <v>7567</v>
      </c>
      <c r="J514" s="8" t="s">
        <v>11087</v>
      </c>
      <c r="K514" t="s">
        <v>11600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8" t="s">
        <v>7563</v>
      </c>
      <c r="E515" s="8" t="s">
        <v>1058</v>
      </c>
      <c r="F515" s="8"/>
      <c r="H515" s="8"/>
      <c r="I515" s="8" t="s">
        <v>7569</v>
      </c>
      <c r="J515" s="8" t="s">
        <v>11087</v>
      </c>
      <c r="K515" t="s">
        <v>11601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8" t="s">
        <v>7563</v>
      </c>
      <c r="E516" s="8" t="s">
        <v>1058</v>
      </c>
      <c r="F516" s="8"/>
      <c r="H516" s="8"/>
      <c r="I516" s="8" t="s">
        <v>7571</v>
      </c>
      <c r="J516" s="8" t="s">
        <v>11087</v>
      </c>
      <c r="K516" t="s">
        <v>11602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8" t="s">
        <v>7563</v>
      </c>
      <c r="E517" s="8" t="s">
        <v>1058</v>
      </c>
      <c r="F517" s="8"/>
      <c r="H517" s="8"/>
      <c r="I517" s="8" t="s">
        <v>7573</v>
      </c>
      <c r="J517" s="8" t="s">
        <v>11087</v>
      </c>
      <c r="K517" t="s">
        <v>11603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8" t="s">
        <v>7563</v>
      </c>
      <c r="E518" s="8" t="s">
        <v>1058</v>
      </c>
      <c r="F518" s="8"/>
      <c r="H518" s="8"/>
      <c r="I518" s="8" t="s">
        <v>7575</v>
      </c>
      <c r="J518" s="8" t="s">
        <v>11087</v>
      </c>
      <c r="K518" t="s">
        <v>11604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8" t="s">
        <v>7583</v>
      </c>
      <c r="E519" s="8" t="s">
        <v>1058</v>
      </c>
      <c r="F519" s="8"/>
      <c r="H519" s="8"/>
      <c r="I519" s="8" t="s">
        <v>7577</v>
      </c>
      <c r="J519" s="8" t="s">
        <v>11087</v>
      </c>
      <c r="K519" t="s">
        <v>11605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8" t="s">
        <v>7562</v>
      </c>
      <c r="E520" s="8" t="s">
        <v>4131</v>
      </c>
      <c r="F520" s="8"/>
      <c r="H520" s="8"/>
      <c r="I520" s="8" t="s">
        <v>7579</v>
      </c>
      <c r="J520" s="8" t="s">
        <v>11087</v>
      </c>
      <c r="K520" t="s">
        <v>11606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8" t="s">
        <v>4</v>
      </c>
      <c r="E521" s="8" t="s">
        <v>86</v>
      </c>
      <c r="F521" s="8"/>
      <c r="H521" s="8" t="s">
        <v>4395</v>
      </c>
      <c r="I521" s="8" t="s">
        <v>7581</v>
      </c>
      <c r="J521" s="8" t="s">
        <v>11087</v>
      </c>
      <c r="K521" t="s">
        <v>11607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8" t="s">
        <v>4</v>
      </c>
      <c r="E522" s="8" t="s">
        <v>86</v>
      </c>
      <c r="F522" s="8"/>
      <c r="H522" s="8" t="s">
        <v>4395</v>
      </c>
      <c r="I522" s="8" t="s">
        <v>7710</v>
      </c>
      <c r="J522" s="8" t="s">
        <v>11087</v>
      </c>
      <c r="K522" t="s">
        <v>11608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8" t="s">
        <v>4</v>
      </c>
      <c r="E523" s="8" t="s">
        <v>7745</v>
      </c>
      <c r="F523" s="8"/>
      <c r="H523" s="8"/>
      <c r="I523" s="8" t="s">
        <v>7712</v>
      </c>
      <c r="J523" s="8" t="s">
        <v>11087</v>
      </c>
      <c r="K523" t="s">
        <v>11609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8" t="s">
        <v>7746</v>
      </c>
      <c r="E524" s="8" t="s">
        <v>7355</v>
      </c>
      <c r="F524" s="8"/>
      <c r="H524" s="8"/>
      <c r="I524" s="8" t="s">
        <v>7714</v>
      </c>
      <c r="J524" s="8" t="s">
        <v>11087</v>
      </c>
      <c r="K524" t="s">
        <v>11610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8" t="s">
        <v>7563</v>
      </c>
      <c r="E525" s="8" t="s">
        <v>1058</v>
      </c>
      <c r="F525" s="8"/>
      <c r="H525" s="8"/>
      <c r="I525" s="8" t="s">
        <v>7825</v>
      </c>
      <c r="J525" s="8" t="s">
        <v>11087</v>
      </c>
      <c r="K525" t="s">
        <v>11611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8" t="s">
        <v>7563</v>
      </c>
      <c r="E526" s="8" t="s">
        <v>1058</v>
      </c>
      <c r="F526" s="8"/>
      <c r="H526" s="8"/>
      <c r="I526" s="8" t="s">
        <v>7827</v>
      </c>
      <c r="J526" s="8" t="s">
        <v>11087</v>
      </c>
      <c r="K526" t="s">
        <v>11612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8" t="s">
        <v>4</v>
      </c>
      <c r="E527" s="8" t="s">
        <v>9</v>
      </c>
      <c r="F527" s="8"/>
      <c r="H527" s="8"/>
      <c r="I527" s="8" t="s">
        <v>7829</v>
      </c>
      <c r="J527" s="8" t="s">
        <v>11087</v>
      </c>
      <c r="K527" t="s">
        <v>11613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8" t="s">
        <v>4</v>
      </c>
      <c r="E528" s="8" t="s">
        <v>4393</v>
      </c>
      <c r="F528" s="8"/>
      <c r="H528" s="8"/>
      <c r="I528" s="8" t="s">
        <v>7831</v>
      </c>
      <c r="J528" s="8" t="s">
        <v>11087</v>
      </c>
      <c r="K528" t="s">
        <v>11614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8" t="s">
        <v>4392</v>
      </c>
      <c r="E529" s="8" t="s">
        <v>4396</v>
      </c>
      <c r="F529" s="8" t="s">
        <v>7356</v>
      </c>
      <c r="G529">
        <v>1</v>
      </c>
      <c r="H529" s="8"/>
      <c r="I529" s="8" t="s">
        <v>7833</v>
      </c>
      <c r="J529" s="8" t="s">
        <v>11087</v>
      </c>
      <c r="K529" t="s">
        <v>11615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8" t="s">
        <v>4392</v>
      </c>
      <c r="E530" s="8" t="s">
        <v>4396</v>
      </c>
      <c r="F530" s="8" t="s">
        <v>7356</v>
      </c>
      <c r="G530">
        <v>2</v>
      </c>
      <c r="H530" s="8"/>
      <c r="I530" s="8" t="s">
        <v>7835</v>
      </c>
      <c r="J530" s="8" t="s">
        <v>11087</v>
      </c>
      <c r="K530" t="s">
        <v>11616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8" t="s">
        <v>4392</v>
      </c>
      <c r="E531" s="8" t="s">
        <v>4396</v>
      </c>
      <c r="F531" s="8" t="s">
        <v>7356</v>
      </c>
      <c r="G531">
        <v>1</v>
      </c>
      <c r="H531" s="8"/>
      <c r="I531" s="8" t="s">
        <v>7837</v>
      </c>
      <c r="J531" s="8" t="s">
        <v>11087</v>
      </c>
      <c r="K531" t="s">
        <v>11617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8" t="s">
        <v>4</v>
      </c>
      <c r="E532" s="8" t="s">
        <v>4393</v>
      </c>
      <c r="F532" s="8"/>
      <c r="H532" s="8"/>
      <c r="I532" s="8" t="s">
        <v>7839</v>
      </c>
      <c r="J532" s="8" t="s">
        <v>11087</v>
      </c>
      <c r="K532" t="s">
        <v>11618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8" t="s">
        <v>4</v>
      </c>
      <c r="E533" s="8" t="s">
        <v>4393</v>
      </c>
      <c r="F533" s="8"/>
      <c r="H533" s="8"/>
      <c r="I533" s="8" t="s">
        <v>7841</v>
      </c>
      <c r="J533" s="8" t="s">
        <v>11087</v>
      </c>
      <c r="K533" t="s">
        <v>11619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8" t="s">
        <v>4</v>
      </c>
      <c r="E534" s="8" t="s">
        <v>86</v>
      </c>
      <c r="F534" s="8"/>
      <c r="H534" s="8" t="s">
        <v>4395</v>
      </c>
      <c r="I534" s="8" t="s">
        <v>7843</v>
      </c>
      <c r="J534" s="8" t="s">
        <v>11087</v>
      </c>
      <c r="K534" t="s">
        <v>11620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8" t="s">
        <v>7354</v>
      </c>
      <c r="E535" s="8" t="s">
        <v>4131</v>
      </c>
      <c r="F535" s="8"/>
      <c r="H535" s="8"/>
      <c r="I535" s="8" t="s">
        <v>8005</v>
      </c>
      <c r="J535" s="8" t="s">
        <v>11087</v>
      </c>
      <c r="K535" t="s">
        <v>11621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8" t="s">
        <v>4</v>
      </c>
      <c r="E536" s="8" t="s">
        <v>6157</v>
      </c>
      <c r="F536" s="8"/>
      <c r="H536" s="8"/>
      <c r="I536" s="8" t="s">
        <v>8007</v>
      </c>
      <c r="J536" s="8" t="s">
        <v>11087</v>
      </c>
      <c r="K536" t="s">
        <v>11622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8" t="s">
        <v>4392</v>
      </c>
      <c r="E537" s="8" t="s">
        <v>4396</v>
      </c>
      <c r="F537" s="8" t="s">
        <v>7356</v>
      </c>
      <c r="G537">
        <v>1</v>
      </c>
      <c r="H537" s="8"/>
      <c r="I537" s="8" t="s">
        <v>8009</v>
      </c>
      <c r="J537" s="8" t="s">
        <v>11087</v>
      </c>
      <c r="K537" t="s">
        <v>11623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8" t="s">
        <v>4392</v>
      </c>
      <c r="E538" s="8" t="s">
        <v>4396</v>
      </c>
      <c r="F538" s="8" t="s">
        <v>7356</v>
      </c>
      <c r="G538">
        <v>1</v>
      </c>
      <c r="H538" s="8"/>
      <c r="I538" s="8" t="s">
        <v>8011</v>
      </c>
      <c r="J538" s="8" t="s">
        <v>11087</v>
      </c>
      <c r="K538" t="s">
        <v>11624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8" t="s">
        <v>7746</v>
      </c>
      <c r="E539" s="8" t="s">
        <v>4131</v>
      </c>
      <c r="F539" s="8"/>
      <c r="H539" s="8"/>
      <c r="I539" s="8" t="s">
        <v>8013</v>
      </c>
      <c r="J539" s="8" t="s">
        <v>11087</v>
      </c>
      <c r="K539" t="s">
        <v>11625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8" t="s">
        <v>4392</v>
      </c>
      <c r="E540" s="8" t="s">
        <v>4396</v>
      </c>
      <c r="F540" s="8" t="s">
        <v>7356</v>
      </c>
      <c r="G540">
        <v>2</v>
      </c>
      <c r="H540" s="8"/>
      <c r="I540" s="8" t="s">
        <v>8015</v>
      </c>
      <c r="J540" s="8" t="s">
        <v>11087</v>
      </c>
      <c r="K540" t="s">
        <v>11626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8" t="s">
        <v>136</v>
      </c>
      <c r="E541" s="8" t="s">
        <v>4396</v>
      </c>
      <c r="F541" s="8" t="s">
        <v>465</v>
      </c>
      <c r="G541">
        <v>1</v>
      </c>
      <c r="H541" s="8"/>
      <c r="I541" s="8" t="s">
        <v>8017</v>
      </c>
      <c r="J541" s="8" t="s">
        <v>11087</v>
      </c>
      <c r="K541" t="s">
        <v>11627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8" t="s">
        <v>587</v>
      </c>
      <c r="E542" s="8" t="s">
        <v>4396</v>
      </c>
      <c r="F542" s="8"/>
      <c r="H542" s="8"/>
      <c r="I542" s="8" t="s">
        <v>8019</v>
      </c>
      <c r="J542" s="8" t="s">
        <v>11087</v>
      </c>
      <c r="K542" t="s">
        <v>11628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8" t="s">
        <v>4</v>
      </c>
      <c r="E543" s="8" t="s">
        <v>7066</v>
      </c>
      <c r="F543" s="8"/>
      <c r="H543" s="8"/>
      <c r="I543" s="8" t="s">
        <v>8021</v>
      </c>
      <c r="J543" s="8" t="s">
        <v>11087</v>
      </c>
      <c r="K543" t="s">
        <v>11629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8" t="s">
        <v>4</v>
      </c>
      <c r="E544" s="8" t="s">
        <v>8331</v>
      </c>
      <c r="F544" s="8"/>
      <c r="H544" s="8" t="s">
        <v>4395</v>
      </c>
      <c r="I544" s="8" t="s">
        <v>8313</v>
      </c>
      <c r="J544" s="8" t="s">
        <v>11087</v>
      </c>
      <c r="K544" t="s">
        <v>11630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8" t="s">
        <v>4</v>
      </c>
      <c r="E545" s="8" t="s">
        <v>6157</v>
      </c>
      <c r="F545" s="8"/>
      <c r="H545" s="8"/>
      <c r="I545" s="8" t="s">
        <v>8315</v>
      </c>
      <c r="J545" s="8" t="s">
        <v>11087</v>
      </c>
      <c r="K545" t="s">
        <v>11631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8" t="s">
        <v>226</v>
      </c>
      <c r="E546" s="8" t="s">
        <v>7608</v>
      </c>
      <c r="F546" s="8" t="s">
        <v>58</v>
      </c>
      <c r="H546" s="8" t="s">
        <v>8374</v>
      </c>
      <c r="I546" s="8" t="s">
        <v>8317</v>
      </c>
      <c r="J546" s="8" t="s">
        <v>11087</v>
      </c>
      <c r="K546" t="s">
        <v>11632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8" t="s">
        <v>226</v>
      </c>
      <c r="E547" s="8" t="s">
        <v>7608</v>
      </c>
      <c r="F547" s="8" t="s">
        <v>58</v>
      </c>
      <c r="H547" s="8" t="s">
        <v>2352</v>
      </c>
      <c r="I547" s="8" t="s">
        <v>8320</v>
      </c>
      <c r="J547" s="8" t="s">
        <v>11087</v>
      </c>
      <c r="K547" t="s">
        <v>11633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8" t="s">
        <v>4</v>
      </c>
      <c r="E548" s="8" t="s">
        <v>4396</v>
      </c>
      <c r="F548" s="8"/>
      <c r="H548" s="8" t="s">
        <v>4395</v>
      </c>
      <c r="I548" s="8" t="s">
        <v>8323</v>
      </c>
      <c r="J548" s="8" t="s">
        <v>11087</v>
      </c>
      <c r="K548" t="s">
        <v>11634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8" t="s">
        <v>4</v>
      </c>
      <c r="E549" s="8" t="s">
        <v>4396</v>
      </c>
      <c r="F549" s="8"/>
      <c r="H549" s="8" t="s">
        <v>4395</v>
      </c>
      <c r="I549" s="8" t="s">
        <v>8389</v>
      </c>
      <c r="J549" s="8" t="s">
        <v>11087</v>
      </c>
      <c r="K549" t="s">
        <v>11635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8" t="s">
        <v>4</v>
      </c>
      <c r="E550" s="8" t="s">
        <v>4131</v>
      </c>
      <c r="F550" s="8"/>
      <c r="H550" s="8"/>
      <c r="I550" s="8" t="s">
        <v>8435</v>
      </c>
      <c r="J550" s="8" t="s">
        <v>11087</v>
      </c>
      <c r="K550" t="s">
        <v>11636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8" t="s">
        <v>7562</v>
      </c>
      <c r="E551" s="8" t="s">
        <v>468</v>
      </c>
      <c r="F551" s="8"/>
      <c r="H551" s="8"/>
      <c r="I551" s="8" t="s">
        <v>8486</v>
      </c>
      <c r="J551" s="8" t="s">
        <v>11087</v>
      </c>
      <c r="K551" t="s">
        <v>11637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8" t="s">
        <v>8527</v>
      </c>
      <c r="E552" s="8" t="s">
        <v>468</v>
      </c>
      <c r="F552" s="8"/>
      <c r="H552" s="8"/>
      <c r="I552" s="8" t="s">
        <v>8488</v>
      </c>
      <c r="J552" s="8" t="s">
        <v>11087</v>
      </c>
      <c r="K552" t="s">
        <v>11638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8" t="s">
        <v>7562</v>
      </c>
      <c r="E553" s="8" t="s">
        <v>468</v>
      </c>
      <c r="F553" s="8"/>
      <c r="H553" s="8"/>
      <c r="I553" s="8" t="s">
        <v>8490</v>
      </c>
      <c r="J553" s="8" t="s">
        <v>11087</v>
      </c>
      <c r="K553" t="s">
        <v>11639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8" t="s">
        <v>8527</v>
      </c>
      <c r="E554" s="8" t="s">
        <v>468</v>
      </c>
      <c r="F554" s="8"/>
      <c r="H554" s="8"/>
      <c r="I554" s="8" t="s">
        <v>8492</v>
      </c>
      <c r="J554" s="8" t="s">
        <v>11087</v>
      </c>
      <c r="K554" t="s">
        <v>11640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8" t="s">
        <v>4</v>
      </c>
      <c r="E555" s="8" t="s">
        <v>6157</v>
      </c>
      <c r="F555" s="8"/>
      <c r="H555" s="8"/>
      <c r="I555" s="8" t="s">
        <v>8494</v>
      </c>
      <c r="J555" s="8" t="s">
        <v>11087</v>
      </c>
      <c r="K555" t="s">
        <v>11641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8" t="s">
        <v>7562</v>
      </c>
      <c r="E556" s="8" t="s">
        <v>468</v>
      </c>
      <c r="F556" s="8"/>
      <c r="H556" s="8"/>
      <c r="I556" s="8" t="s">
        <v>8642</v>
      </c>
      <c r="J556" s="8" t="s">
        <v>11087</v>
      </c>
      <c r="K556" t="s">
        <v>11642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8" t="s">
        <v>4</v>
      </c>
      <c r="E557" s="8" t="s">
        <v>6157</v>
      </c>
      <c r="F557" s="8"/>
      <c r="H557" s="8"/>
      <c r="I557" s="8" t="s">
        <v>8644</v>
      </c>
      <c r="J557" s="8" t="s">
        <v>11087</v>
      </c>
      <c r="K557" t="s">
        <v>11643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8" t="s">
        <v>4392</v>
      </c>
      <c r="E558" s="8" t="s">
        <v>4396</v>
      </c>
      <c r="F558" s="8" t="s">
        <v>7356</v>
      </c>
      <c r="H558" s="8"/>
      <c r="I558" s="8" t="s">
        <v>8646</v>
      </c>
      <c r="J558" s="8" t="s">
        <v>11087</v>
      </c>
      <c r="K558" t="s">
        <v>11644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8" t="s">
        <v>7746</v>
      </c>
      <c r="E559" s="8" t="s">
        <v>4131</v>
      </c>
      <c r="F559" s="8"/>
      <c r="H559" s="8"/>
      <c r="I559" s="8" t="s">
        <v>8648</v>
      </c>
      <c r="J559" s="8" t="s">
        <v>11087</v>
      </c>
      <c r="K559" t="s">
        <v>11645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8" t="s">
        <v>4392</v>
      </c>
      <c r="E560" s="8" t="s">
        <v>4396</v>
      </c>
      <c r="F560" s="8" t="s">
        <v>7356</v>
      </c>
      <c r="H560" s="8"/>
      <c r="I560" s="8" t="s">
        <v>8650</v>
      </c>
      <c r="J560" s="8" t="s">
        <v>11087</v>
      </c>
      <c r="K560" t="s">
        <v>11646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8" t="s">
        <v>136</v>
      </c>
      <c r="E561" s="8" t="s">
        <v>7355</v>
      </c>
      <c r="F561" s="8" t="s">
        <v>2345</v>
      </c>
      <c r="H561" s="8"/>
      <c r="I561" s="8" t="s">
        <v>8652</v>
      </c>
      <c r="J561" s="8" t="s">
        <v>11087</v>
      </c>
      <c r="K561" t="s">
        <v>11647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8" t="s">
        <v>7354</v>
      </c>
      <c r="E562" s="8" t="s">
        <v>4131</v>
      </c>
      <c r="F562" s="8"/>
      <c r="H562" s="8"/>
      <c r="I562" s="8" t="s">
        <v>8654</v>
      </c>
      <c r="J562" s="8" t="s">
        <v>11087</v>
      </c>
      <c r="K562" t="s">
        <v>11648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8" t="s">
        <v>7562</v>
      </c>
      <c r="E563" s="8" t="s">
        <v>468</v>
      </c>
      <c r="F563" s="8"/>
      <c r="H563" s="8"/>
      <c r="I563" s="8" t="s">
        <v>8656</v>
      </c>
      <c r="J563" s="8" t="s">
        <v>11087</v>
      </c>
      <c r="K563" t="s">
        <v>11649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8" t="s">
        <v>7354</v>
      </c>
      <c r="E564" s="8" t="s">
        <v>4131</v>
      </c>
      <c r="F564" s="8"/>
      <c r="H564" s="8"/>
      <c r="I564" s="8" t="s">
        <v>8658</v>
      </c>
      <c r="J564" s="8" t="s">
        <v>11087</v>
      </c>
      <c r="K564" t="s">
        <v>11650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8" t="s">
        <v>7354</v>
      </c>
      <c r="E565" s="8" t="s">
        <v>4131</v>
      </c>
      <c r="F565" s="8"/>
      <c r="H565" s="8"/>
      <c r="I565" s="8" t="s">
        <v>8660</v>
      </c>
      <c r="J565" s="8" t="s">
        <v>11087</v>
      </c>
      <c r="K565" t="s">
        <v>11651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8" t="s">
        <v>1627</v>
      </c>
      <c r="E566" s="8" t="s">
        <v>1058</v>
      </c>
      <c r="F566" s="8"/>
      <c r="H566" s="8" t="s">
        <v>8719</v>
      </c>
      <c r="I566" s="8" t="s">
        <v>8662</v>
      </c>
      <c r="J566" s="8" t="s">
        <v>11087</v>
      </c>
      <c r="K566" t="s">
        <v>11652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8" t="s">
        <v>7354</v>
      </c>
      <c r="E567" s="8" t="s">
        <v>4131</v>
      </c>
      <c r="F567" s="8"/>
      <c r="H567" s="8"/>
      <c r="I567" s="8" t="s">
        <v>8664</v>
      </c>
      <c r="J567" s="8" t="s">
        <v>11087</v>
      </c>
      <c r="K567" t="s">
        <v>11653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8" t="s">
        <v>7562</v>
      </c>
      <c r="E568" s="8" t="s">
        <v>468</v>
      </c>
      <c r="F568" s="8"/>
      <c r="H568" s="8"/>
      <c r="I568" s="8" t="s">
        <v>8763</v>
      </c>
      <c r="J568" s="8" t="s">
        <v>11087</v>
      </c>
      <c r="K568" t="s">
        <v>11654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8" t="s">
        <v>4</v>
      </c>
      <c r="E569" s="8" t="s">
        <v>6157</v>
      </c>
      <c r="F569" s="8"/>
      <c r="H569" s="8"/>
      <c r="I569" s="8" t="s">
        <v>8765</v>
      </c>
      <c r="J569" s="8" t="s">
        <v>11087</v>
      </c>
      <c r="K569" t="s">
        <v>11655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8" t="s">
        <v>4</v>
      </c>
      <c r="E570" s="8" t="s">
        <v>4396</v>
      </c>
      <c r="F570" s="8"/>
      <c r="H570" s="8" t="s">
        <v>4395</v>
      </c>
      <c r="I570" s="8" t="s">
        <v>8767</v>
      </c>
      <c r="J570" s="8" t="s">
        <v>11087</v>
      </c>
      <c r="K570" t="s">
        <v>11656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8" t="s">
        <v>8921</v>
      </c>
      <c r="E571" s="8" t="s">
        <v>8922</v>
      </c>
      <c r="F571" s="8"/>
      <c r="H571" s="8"/>
      <c r="I571" s="8" t="s">
        <v>8842</v>
      </c>
      <c r="J571" s="8" t="s">
        <v>11087</v>
      </c>
      <c r="K571" t="s">
        <v>11657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8" t="s">
        <v>7746</v>
      </c>
      <c r="E572" s="8" t="s">
        <v>1274</v>
      </c>
      <c r="F572" s="8"/>
      <c r="H572" s="8"/>
      <c r="I572" s="8" t="s">
        <v>8844</v>
      </c>
      <c r="J572" s="8" t="s">
        <v>11087</v>
      </c>
      <c r="K572" t="s">
        <v>11658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8" t="s">
        <v>4</v>
      </c>
      <c r="E573" s="8" t="s">
        <v>9</v>
      </c>
      <c r="F573" s="8"/>
      <c r="H573" s="8"/>
      <c r="I573" s="8" t="s">
        <v>8994</v>
      </c>
      <c r="J573" s="8" t="s">
        <v>11087</v>
      </c>
      <c r="K573" t="s">
        <v>11659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8" t="s">
        <v>136</v>
      </c>
      <c r="E574" s="8" t="s">
        <v>4396</v>
      </c>
      <c r="F574" s="8" t="s">
        <v>465</v>
      </c>
      <c r="G574">
        <v>1</v>
      </c>
      <c r="H574" s="8"/>
      <c r="I574" s="8" t="s">
        <v>8996</v>
      </c>
      <c r="J574" s="8" t="s">
        <v>11087</v>
      </c>
      <c r="K574" t="s">
        <v>11660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8" t="s">
        <v>4392</v>
      </c>
      <c r="E575" s="8" t="s">
        <v>4396</v>
      </c>
      <c r="F575" s="8" t="s">
        <v>7357</v>
      </c>
      <c r="G575">
        <v>1</v>
      </c>
      <c r="H575" s="8"/>
      <c r="I575" s="8" t="s">
        <v>8998</v>
      </c>
      <c r="J575" s="8" t="s">
        <v>11087</v>
      </c>
      <c r="K575" t="s">
        <v>11661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8" t="s">
        <v>7354</v>
      </c>
      <c r="E576" s="8" t="s">
        <v>7355</v>
      </c>
      <c r="F576" s="8"/>
      <c r="H576" s="8"/>
      <c r="I576" s="8" t="s">
        <v>9000</v>
      </c>
      <c r="J576" s="8" t="s">
        <v>11087</v>
      </c>
      <c r="K576" t="s">
        <v>11662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8" t="s">
        <v>1627</v>
      </c>
      <c r="E577" s="8" t="s">
        <v>1058</v>
      </c>
      <c r="F577" s="8"/>
      <c r="H577" s="8" t="s">
        <v>8719</v>
      </c>
      <c r="I577" s="8" t="s">
        <v>9002</v>
      </c>
      <c r="J577" s="8" t="s">
        <v>11087</v>
      </c>
      <c r="K577" t="s">
        <v>11663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8" t="s">
        <v>7354</v>
      </c>
      <c r="E578" s="8" t="s">
        <v>7355</v>
      </c>
      <c r="F578" s="8"/>
      <c r="H578" s="8"/>
      <c r="I578" s="8" t="s">
        <v>9004</v>
      </c>
      <c r="J578" s="8" t="s">
        <v>11087</v>
      </c>
      <c r="K578" t="s">
        <v>11664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8" t="s">
        <v>7354</v>
      </c>
      <c r="E579" s="8" t="s">
        <v>7355</v>
      </c>
      <c r="F579" s="8"/>
      <c r="H579" s="8"/>
      <c r="I579" s="8" t="s">
        <v>9006</v>
      </c>
      <c r="J579" s="8" t="s">
        <v>11087</v>
      </c>
      <c r="K579" t="s">
        <v>11665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8" t="s">
        <v>7746</v>
      </c>
      <c r="E580" s="8" t="s">
        <v>1274</v>
      </c>
      <c r="F580" s="8"/>
      <c r="H580" s="8"/>
      <c r="I580" s="8" t="s">
        <v>9008</v>
      </c>
      <c r="J580" s="8" t="s">
        <v>11087</v>
      </c>
      <c r="K580" t="s">
        <v>11666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8" t="s">
        <v>4</v>
      </c>
      <c r="E581" s="8" t="s">
        <v>6157</v>
      </c>
      <c r="F581" s="8"/>
      <c r="H581" s="8"/>
      <c r="I581" s="8" t="s">
        <v>9010</v>
      </c>
      <c r="J581" s="8" t="s">
        <v>11087</v>
      </c>
      <c r="K581" t="s">
        <v>11667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8" t="s">
        <v>7354</v>
      </c>
      <c r="E582" s="8" t="s">
        <v>7355</v>
      </c>
      <c r="F582" s="8"/>
      <c r="H582" s="8"/>
      <c r="I582" s="8" t="s">
        <v>9183</v>
      </c>
      <c r="J582" s="8" t="s">
        <v>11087</v>
      </c>
      <c r="K582" t="s">
        <v>11668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8" t="s">
        <v>7354</v>
      </c>
      <c r="E583" s="8" t="s">
        <v>7355</v>
      </c>
      <c r="F583" s="8"/>
      <c r="H583" s="8"/>
      <c r="I583" s="8" t="s">
        <v>9185</v>
      </c>
      <c r="J583" s="8" t="s">
        <v>11087</v>
      </c>
      <c r="K583" t="s">
        <v>11669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8" t="s">
        <v>7746</v>
      </c>
      <c r="E584" s="8" t="s">
        <v>1274</v>
      </c>
      <c r="F584" s="8"/>
      <c r="H584" s="8"/>
      <c r="I584" s="8" t="s">
        <v>9187</v>
      </c>
      <c r="J584" s="8" t="s">
        <v>11087</v>
      </c>
      <c r="K584" t="s">
        <v>11670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8" t="s">
        <v>9316</v>
      </c>
      <c r="E585" s="8" t="s">
        <v>1274</v>
      </c>
      <c r="F585" s="8"/>
      <c r="H585" s="8"/>
      <c r="I585" s="8" t="s">
        <v>9189</v>
      </c>
      <c r="J585" s="8" t="s">
        <v>11087</v>
      </c>
      <c r="K585" t="s">
        <v>11671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8" t="s">
        <v>7354</v>
      </c>
      <c r="E586" s="8" t="s">
        <v>7355</v>
      </c>
      <c r="F586" s="8"/>
      <c r="H586" s="8"/>
      <c r="I586" s="8" t="s">
        <v>9191</v>
      </c>
      <c r="J586" s="8" t="s">
        <v>11087</v>
      </c>
      <c r="K586" t="s">
        <v>11672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8" t="s">
        <v>1627</v>
      </c>
      <c r="E587" s="8" t="s">
        <v>1058</v>
      </c>
      <c r="F587" s="8"/>
      <c r="H587" s="8"/>
      <c r="I587" s="8" t="s">
        <v>9193</v>
      </c>
      <c r="J587" s="8" t="s">
        <v>11087</v>
      </c>
      <c r="K587" t="s">
        <v>11673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8" t="s">
        <v>4</v>
      </c>
      <c r="E588" s="8" t="s">
        <v>9</v>
      </c>
      <c r="F588" s="8"/>
      <c r="H588" s="8"/>
      <c r="I588" s="8" t="s">
        <v>9195</v>
      </c>
      <c r="J588" s="8" t="s">
        <v>11087</v>
      </c>
      <c r="K588" t="s">
        <v>11674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8" t="s">
        <v>4</v>
      </c>
      <c r="E589" s="8" t="s">
        <v>9</v>
      </c>
      <c r="F589" s="8"/>
      <c r="H589" s="8"/>
      <c r="I589" s="8" t="s">
        <v>9197</v>
      </c>
      <c r="J589" s="8" t="s">
        <v>11087</v>
      </c>
      <c r="K589" t="s">
        <v>11675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8" t="s">
        <v>7354</v>
      </c>
      <c r="E590" s="8" t="s">
        <v>7355</v>
      </c>
      <c r="F590" s="8"/>
      <c r="H590" s="8"/>
      <c r="I590" s="8" t="s">
        <v>9199</v>
      </c>
      <c r="J590" s="8" t="s">
        <v>11087</v>
      </c>
      <c r="K590" t="s">
        <v>11676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8" t="s">
        <v>4</v>
      </c>
      <c r="E591" s="8" t="s">
        <v>9317</v>
      </c>
      <c r="F591" s="8"/>
      <c r="H591" s="8"/>
      <c r="I591" s="8" t="s">
        <v>9201</v>
      </c>
      <c r="J591" s="8" t="s">
        <v>11087</v>
      </c>
      <c r="K591" t="s">
        <v>11677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8" t="s">
        <v>7746</v>
      </c>
      <c r="E592" s="8" t="s">
        <v>1274</v>
      </c>
      <c r="F592" s="8"/>
      <c r="H592" s="8" t="s">
        <v>9318</v>
      </c>
      <c r="I592" s="8" t="s">
        <v>9203</v>
      </c>
      <c r="J592" s="8" t="s">
        <v>11087</v>
      </c>
      <c r="K592" t="s">
        <v>11678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8" t="s">
        <v>7354</v>
      </c>
      <c r="E593" s="8" t="s">
        <v>7355</v>
      </c>
      <c r="F593" s="8"/>
      <c r="H593" s="8"/>
      <c r="I593" s="8" t="s">
        <v>9205</v>
      </c>
      <c r="J593" s="8" t="s">
        <v>11087</v>
      </c>
      <c r="K593" t="s">
        <v>11679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8" t="s">
        <v>4</v>
      </c>
      <c r="E594" s="8" t="s">
        <v>6157</v>
      </c>
      <c r="F594" s="8"/>
      <c r="H594" s="8"/>
      <c r="I594" s="8" t="s">
        <v>9364</v>
      </c>
      <c r="J594" s="8" t="s">
        <v>11087</v>
      </c>
      <c r="K594" t="s">
        <v>11680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8" t="s">
        <v>1627</v>
      </c>
      <c r="E595" s="8" t="s">
        <v>1058</v>
      </c>
      <c r="F595" s="8"/>
      <c r="H595" s="8"/>
      <c r="I595" s="8" t="s">
        <v>9366</v>
      </c>
      <c r="J595" s="8" t="s">
        <v>11087</v>
      </c>
      <c r="K595" t="s">
        <v>11681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8" t="s">
        <v>7354</v>
      </c>
      <c r="E596" s="8" t="s">
        <v>7355</v>
      </c>
      <c r="F596" s="8"/>
      <c r="H596" s="8"/>
      <c r="I596" s="8" t="s">
        <v>9368</v>
      </c>
      <c r="J596" s="8" t="s">
        <v>11087</v>
      </c>
      <c r="K596" t="s">
        <v>11682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8" t="s">
        <v>7746</v>
      </c>
      <c r="E597" s="8" t="s">
        <v>1274</v>
      </c>
      <c r="F597" s="8"/>
      <c r="H597" s="8"/>
      <c r="I597" s="8" t="s">
        <v>9370</v>
      </c>
      <c r="J597" s="8" t="s">
        <v>11087</v>
      </c>
      <c r="K597" t="s">
        <v>11683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8" t="s">
        <v>7746</v>
      </c>
      <c r="E598" s="8" t="s">
        <v>1274</v>
      </c>
      <c r="F598" s="8"/>
      <c r="H598" s="8"/>
      <c r="I598" s="8" t="s">
        <v>9372</v>
      </c>
      <c r="J598" s="8" t="s">
        <v>11087</v>
      </c>
      <c r="K598" t="s">
        <v>11684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8" t="s">
        <v>7354</v>
      </c>
      <c r="E599" s="8" t="s">
        <v>7355</v>
      </c>
      <c r="F599" s="8"/>
      <c r="H599" s="8"/>
      <c r="I599" s="8" t="s">
        <v>9374</v>
      </c>
      <c r="J599" s="8" t="s">
        <v>11087</v>
      </c>
      <c r="K599" t="s">
        <v>11685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8" t="s">
        <v>7354</v>
      </c>
      <c r="E600" s="8" t="s">
        <v>7355</v>
      </c>
      <c r="F600" s="8"/>
      <c r="H600" s="8"/>
      <c r="I600" s="8" t="s">
        <v>9376</v>
      </c>
      <c r="J600" s="8" t="s">
        <v>11087</v>
      </c>
      <c r="K600" t="s">
        <v>11686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8" t="s">
        <v>4</v>
      </c>
      <c r="E601" s="8" t="s">
        <v>9</v>
      </c>
      <c r="F601" s="8"/>
      <c r="H601" s="8"/>
      <c r="I601" s="8" t="s">
        <v>9378</v>
      </c>
      <c r="J601" s="8" t="s">
        <v>11087</v>
      </c>
      <c r="K601" t="s">
        <v>11687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8" t="s">
        <v>4</v>
      </c>
      <c r="E602" s="8" t="s">
        <v>9</v>
      </c>
      <c r="F602" s="8"/>
      <c r="H602" s="8" t="s">
        <v>2352</v>
      </c>
      <c r="I602" s="8" t="s">
        <v>9380</v>
      </c>
      <c r="J602" s="8" t="s">
        <v>11087</v>
      </c>
      <c r="K602" t="s">
        <v>11688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8" t="s">
        <v>4</v>
      </c>
      <c r="E603" s="8" t="s">
        <v>9422</v>
      </c>
      <c r="F603" s="8"/>
      <c r="H603" s="8"/>
      <c r="I603" s="8" t="s">
        <v>9382</v>
      </c>
      <c r="J603" s="8" t="s">
        <v>11087</v>
      </c>
      <c r="K603" t="s">
        <v>11689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8" t="s">
        <v>4</v>
      </c>
      <c r="E604" s="8" t="s">
        <v>9</v>
      </c>
      <c r="F604" s="8"/>
      <c r="H604" s="8"/>
      <c r="I604" s="8" t="s">
        <v>10743</v>
      </c>
      <c r="J604" s="8" t="s">
        <v>11087</v>
      </c>
      <c r="K604" t="s">
        <v>11690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8" t="s">
        <v>4</v>
      </c>
      <c r="E605" s="8" t="s">
        <v>9</v>
      </c>
      <c r="F605" s="8"/>
      <c r="H605" s="8"/>
      <c r="I605" s="8" t="s">
        <v>10745</v>
      </c>
      <c r="J605" s="8" t="s">
        <v>11087</v>
      </c>
      <c r="K605" t="s">
        <v>11691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8" t="s">
        <v>4</v>
      </c>
      <c r="E606" s="8" t="s">
        <v>9</v>
      </c>
      <c r="F606" s="8"/>
      <c r="H606" s="8"/>
      <c r="I606" s="8" t="s">
        <v>10747</v>
      </c>
      <c r="J606" s="8" t="s">
        <v>11087</v>
      </c>
      <c r="K606" t="s">
        <v>11692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8" t="s">
        <v>1627</v>
      </c>
      <c r="E607" s="8" t="s">
        <v>1058</v>
      </c>
      <c r="F607" s="8"/>
      <c r="H607" s="8"/>
      <c r="I607" s="8" t="s">
        <v>10749</v>
      </c>
      <c r="J607" s="8" t="s">
        <v>11087</v>
      </c>
      <c r="K607" t="s">
        <v>11693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8" t="s">
        <v>1627</v>
      </c>
      <c r="E608" s="8" t="s">
        <v>1058</v>
      </c>
      <c r="F608" s="8"/>
      <c r="H608" s="8"/>
      <c r="I608" s="8" t="s">
        <v>10751</v>
      </c>
      <c r="J608" s="8" t="s">
        <v>11087</v>
      </c>
      <c r="K608" t="s">
        <v>11694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8" t="s">
        <v>1627</v>
      </c>
      <c r="E609" s="8" t="s">
        <v>1058</v>
      </c>
      <c r="F609" s="8"/>
      <c r="H609" s="8"/>
      <c r="I609" s="8" t="s">
        <v>10753</v>
      </c>
      <c r="J609" s="8" t="s">
        <v>11087</v>
      </c>
      <c r="K609" t="s">
        <v>11695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8" t="s">
        <v>1627</v>
      </c>
      <c r="E610" s="8" t="s">
        <v>1058</v>
      </c>
      <c r="F610" s="8"/>
      <c r="H610" s="8"/>
      <c r="I610" s="8" t="s">
        <v>10755</v>
      </c>
      <c r="J610" s="8" t="s">
        <v>11087</v>
      </c>
      <c r="K610" t="s">
        <v>11696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8" t="s">
        <v>4</v>
      </c>
      <c r="E611" s="8" t="s">
        <v>9</v>
      </c>
      <c r="F611" s="8"/>
      <c r="H611" s="8"/>
      <c r="I611" s="8" t="s">
        <v>10757</v>
      </c>
      <c r="J611" s="8" t="s">
        <v>11087</v>
      </c>
      <c r="K611" t="s">
        <v>11697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8" t="s">
        <v>4</v>
      </c>
      <c r="E612" s="8" t="s">
        <v>9</v>
      </c>
      <c r="F612" s="8"/>
      <c r="H612" s="8"/>
      <c r="I612" s="8" t="s">
        <v>13805</v>
      </c>
      <c r="J612" s="8" t="s">
        <v>11087</v>
      </c>
      <c r="K612" t="s">
        <v>13806</v>
      </c>
      <c r="L612" t="s">
        <v>13807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8" t="s">
        <v>1627</v>
      </c>
      <c r="E613" s="8" t="s">
        <v>1058</v>
      </c>
      <c r="F613" s="8"/>
      <c r="H613" s="8"/>
      <c r="I613" s="8" t="s">
        <v>13808</v>
      </c>
      <c r="J613" s="8" t="s">
        <v>11087</v>
      </c>
      <c r="K613" t="s">
        <v>13809</v>
      </c>
      <c r="L613" t="s">
        <v>13810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8" t="s">
        <v>1627</v>
      </c>
      <c r="E614" s="8" t="s">
        <v>1058</v>
      </c>
      <c r="F614" s="8"/>
      <c r="H614" s="8"/>
      <c r="I614" s="8" t="s">
        <v>13811</v>
      </c>
      <c r="J614" s="8" t="s">
        <v>11087</v>
      </c>
      <c r="K614" t="s">
        <v>13812</v>
      </c>
      <c r="L614" t="s">
        <v>13813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8" t="s">
        <v>1627</v>
      </c>
      <c r="E615" s="8" t="s">
        <v>1058</v>
      </c>
      <c r="F615" s="8"/>
      <c r="H615" s="8"/>
      <c r="I615" s="8" t="s">
        <v>13814</v>
      </c>
      <c r="J615" s="8" t="s">
        <v>11087</v>
      </c>
      <c r="K615" t="s">
        <v>13815</v>
      </c>
      <c r="L615" t="s">
        <v>13816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8" t="s">
        <v>4</v>
      </c>
      <c r="E616" s="8" t="s">
        <v>9</v>
      </c>
      <c r="F616" s="8"/>
      <c r="H616" s="8"/>
      <c r="I616" s="8" t="s">
        <v>13817</v>
      </c>
      <c r="J616" s="8" t="s">
        <v>11087</v>
      </c>
      <c r="K616" t="s">
        <v>13818</v>
      </c>
      <c r="L616" t="s">
        <v>13819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8" t="s">
        <v>1627</v>
      </c>
      <c r="E617" s="8" t="s">
        <v>1058</v>
      </c>
      <c r="F617" s="8"/>
      <c r="H617" s="8"/>
      <c r="I617" s="8" t="s">
        <v>13820</v>
      </c>
      <c r="J617" s="8" t="s">
        <v>11087</v>
      </c>
      <c r="K617" t="s">
        <v>13821</v>
      </c>
      <c r="L617" t="s">
        <v>13822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8" t="s">
        <v>4</v>
      </c>
      <c r="E618" s="8" t="s">
        <v>9</v>
      </c>
      <c r="F618" s="8"/>
      <c r="H618" s="8"/>
      <c r="I618" s="8" t="s">
        <v>13823</v>
      </c>
      <c r="J618" s="8" t="s">
        <v>11087</v>
      </c>
      <c r="K618" t="s">
        <v>13824</v>
      </c>
      <c r="L618" t="s">
        <v>13825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8" t="s">
        <v>4</v>
      </c>
      <c r="E619" s="8" t="s">
        <v>9</v>
      </c>
      <c r="F619" s="8"/>
      <c r="H619" s="8"/>
      <c r="I619" s="8" t="s">
        <v>13826</v>
      </c>
      <c r="J619" s="8" t="s">
        <v>11087</v>
      </c>
      <c r="K619" t="s">
        <v>13827</v>
      </c>
      <c r="L619" t="s">
        <v>13828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8" t="s">
        <v>4</v>
      </c>
      <c r="E620" s="8" t="s">
        <v>9</v>
      </c>
      <c r="F620" s="8"/>
      <c r="H620" s="8"/>
      <c r="I620" s="8" t="s">
        <v>13829</v>
      </c>
      <c r="J620" s="8" t="s">
        <v>11087</v>
      </c>
      <c r="K620" t="s">
        <v>13830</v>
      </c>
      <c r="L620" t="s">
        <v>13831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8" t="s">
        <v>1627</v>
      </c>
      <c r="E621" s="8" t="s">
        <v>1058</v>
      </c>
      <c r="F621" s="8"/>
      <c r="H621" s="8"/>
      <c r="I621" s="8" t="s">
        <v>13832</v>
      </c>
      <c r="J621" s="8" t="s">
        <v>11087</v>
      </c>
      <c r="K621" t="s">
        <v>13833</v>
      </c>
      <c r="L621" t="s">
        <v>13834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8" t="s">
        <v>1627</v>
      </c>
      <c r="E622" s="8" t="s">
        <v>1058</v>
      </c>
      <c r="F622" s="8"/>
      <c r="H622" s="8"/>
      <c r="I622" s="8" t="s">
        <v>13835</v>
      </c>
      <c r="J622" s="8" t="s">
        <v>11087</v>
      </c>
      <c r="K622" t="s">
        <v>13836</v>
      </c>
      <c r="L622" t="s">
        <v>13837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8" t="s">
        <v>7354</v>
      </c>
      <c r="E623" s="8" t="s">
        <v>7355</v>
      </c>
      <c r="F623" s="8"/>
      <c r="H623" s="8"/>
      <c r="I623" s="8" t="s">
        <v>13838</v>
      </c>
      <c r="J623" s="8" t="s">
        <v>11087</v>
      </c>
      <c r="K623" t="s">
        <v>13839</v>
      </c>
      <c r="L623" t="s">
        <v>13840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8" t="s">
        <v>4</v>
      </c>
      <c r="E624" s="8" t="s">
        <v>9</v>
      </c>
      <c r="F624" s="8"/>
      <c r="H624" s="8"/>
      <c r="I624" s="8" t="s">
        <v>13952</v>
      </c>
      <c r="J624" s="8" t="s">
        <v>11087</v>
      </c>
      <c r="K624" t="s">
        <v>13953</v>
      </c>
      <c r="L624" t="s">
        <v>13954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8" t="s">
        <v>1607</v>
      </c>
      <c r="E625" s="8" t="s">
        <v>9</v>
      </c>
      <c r="F625" s="8"/>
      <c r="H625" s="8"/>
      <c r="I625" s="8" t="s">
        <v>13955</v>
      </c>
      <c r="J625" s="8" t="s">
        <v>11087</v>
      </c>
      <c r="K625" t="s">
        <v>13956</v>
      </c>
      <c r="L625" t="s">
        <v>13957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8" t="s">
        <v>1607</v>
      </c>
      <c r="E626" s="8" t="s">
        <v>9</v>
      </c>
      <c r="F626" s="8"/>
      <c r="H626" s="8"/>
      <c r="I626" s="8" t="s">
        <v>13958</v>
      </c>
      <c r="J626" s="8" t="s">
        <v>11087</v>
      </c>
      <c r="K626" t="s">
        <v>13959</v>
      </c>
      <c r="L626" t="s">
        <v>13960</v>
      </c>
      <c r="M626" s="2" t="str">
        <f>HYPERLINK(склад2въезд13192021222[[#This Row],[RelativePath]])</f>
        <v>9 Ангар рейсмус\GA3948333_2_20260301T174631Z.jpg</v>
      </c>
    </row>
  </sheetData>
  <conditionalFormatting sqref="D627:D637 E627:E640 G2:H626 D2:E626">
    <cfRule type="containsText" dxfId="805" priority="14" operator="containsText" text="Выезд с территории">
      <formula>NOT(ISERROR(SEARCH("Выезд с территории",D2)))</formula>
    </cfRule>
  </conditionalFormatting>
  <conditionalFormatting sqref="F2:F626">
    <cfRule type="notContainsText" dxfId="804" priority="13" operator="notContains" text="порожний">
      <formula>ISERROR(SEARCH("порожний",F2))</formula>
    </cfRule>
  </conditionalFormatting>
  <conditionalFormatting sqref="E2:E640">
    <cfRule type="containsText" dxfId="803" priority="11" operator="containsText" text="Газель базы">
      <formula>NOT(ISERROR(SEARCH("Газель базы",E2)))</formula>
    </cfRule>
    <cfRule type="containsText" dxfId="802" priority="12" operator="containsText" text="Погрузчик базы">
      <formula>NOT(ISERROR(SEARCH("Погрузчик базы",E2)))</formula>
    </cfRule>
  </conditionalFormatting>
  <conditionalFormatting sqref="E2:E640">
    <cfRule type="containsText" dxfId="801" priority="10" operator="containsText" text="Трактор базы">
      <formula>NOT(ISERROR(SEARCH("Трактор базы",E2)))</formula>
    </cfRule>
  </conditionalFormatting>
  <conditionalFormatting sqref="A2:C626">
    <cfRule type="expression" dxfId="800" priority="9">
      <formula>$A2="пн"</formula>
    </cfRule>
  </conditionalFormatting>
  <conditionalFormatting sqref="A2:C628">
    <cfRule type="expression" dxfId="799" priority="3">
      <formula>$A2="вс"</formula>
    </cfRule>
    <cfRule type="expression" dxfId="798" priority="4">
      <formula>$A2="сб"</formula>
    </cfRule>
    <cfRule type="expression" dxfId="797" priority="5">
      <formula>$A2="пт"</formula>
    </cfRule>
    <cfRule type="expression" dxfId="796" priority="6">
      <formula>$A2="чт"</formula>
    </cfRule>
    <cfRule type="expression" dxfId="795" priority="7">
      <formula>$A2="ср"</formula>
    </cfRule>
    <cfRule type="expression" dxfId="794" priority="8">
      <formula>$A2="вт"</formula>
    </cfRule>
  </conditionalFormatting>
  <conditionalFormatting sqref="D2:D637">
    <cfRule type="containsText" dxfId="7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37">
    <cfRule type="containsText" dxfId="7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646"/>
  <sheetViews>
    <sheetView zoomScale="90" zoomScaleNormal="90" workbookViewId="0">
      <pane ySplit="1" topLeftCell="A623" activePane="bottomLeft" state="frozen"/>
      <selection pane="bottomLeft" activeCell="I643" sqref="I643:I64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1061</v>
      </c>
      <c r="J2" s="8" t="s">
        <v>12008</v>
      </c>
      <c r="K2" t="s">
        <v>12009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8" t="s">
        <v>4</v>
      </c>
      <c r="E3" s="8" t="s">
        <v>8</v>
      </c>
      <c r="F3" s="8"/>
      <c r="H3" s="8"/>
      <c r="I3" s="8" t="s">
        <v>1064</v>
      </c>
      <c r="J3" s="8" t="s">
        <v>12008</v>
      </c>
      <c r="K3" t="s">
        <v>12010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8" t="s">
        <v>4</v>
      </c>
      <c r="E4" s="8" t="s">
        <v>8</v>
      </c>
      <c r="F4" s="8"/>
      <c r="H4" s="8"/>
      <c r="I4" s="8" t="s">
        <v>1066</v>
      </c>
      <c r="J4" s="8" t="s">
        <v>12008</v>
      </c>
      <c r="K4" t="s">
        <v>12011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8" t="s">
        <v>1271</v>
      </c>
      <c r="E5" s="8" t="s">
        <v>890</v>
      </c>
      <c r="F5" s="8"/>
      <c r="H5" s="8"/>
      <c r="I5" s="8" t="s">
        <v>1068</v>
      </c>
      <c r="J5" s="8" t="s">
        <v>12008</v>
      </c>
      <c r="K5" t="s">
        <v>12012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8" t="s">
        <v>1271</v>
      </c>
      <c r="E6" s="8" t="s">
        <v>890</v>
      </c>
      <c r="F6" s="8"/>
      <c r="H6" s="8"/>
      <c r="I6" s="8" t="s">
        <v>1070</v>
      </c>
      <c r="J6" s="8" t="s">
        <v>12008</v>
      </c>
      <c r="K6" t="s">
        <v>12013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8" t="s">
        <v>1271</v>
      </c>
      <c r="E7" s="8" t="s">
        <v>890</v>
      </c>
      <c r="F7" s="8"/>
      <c r="H7" s="8"/>
      <c r="I7" s="8" t="s">
        <v>1072</v>
      </c>
      <c r="J7" s="8" t="s">
        <v>12008</v>
      </c>
      <c r="K7" t="s">
        <v>12014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8" t="s">
        <v>1271</v>
      </c>
      <c r="E8" s="8" t="s">
        <v>890</v>
      </c>
      <c r="F8" s="8"/>
      <c r="H8" s="8"/>
      <c r="I8" s="8" t="s">
        <v>1074</v>
      </c>
      <c r="J8" s="8" t="s">
        <v>12008</v>
      </c>
      <c r="K8" t="s">
        <v>12015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8" t="s">
        <v>137</v>
      </c>
      <c r="E9" s="8" t="s">
        <v>86</v>
      </c>
      <c r="F9" s="8" t="s">
        <v>60</v>
      </c>
      <c r="H9" s="8" t="s">
        <v>1272</v>
      </c>
      <c r="I9" s="8" t="s">
        <v>1076</v>
      </c>
      <c r="J9" s="8" t="s">
        <v>12008</v>
      </c>
      <c r="K9" t="s">
        <v>12016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8" t="s">
        <v>887</v>
      </c>
      <c r="E10" s="8" t="s">
        <v>888</v>
      </c>
      <c r="F10" s="8"/>
      <c r="H10" s="8"/>
      <c r="I10" s="8" t="s">
        <v>1078</v>
      </c>
      <c r="J10" s="8" t="s">
        <v>12008</v>
      </c>
      <c r="K10" t="s">
        <v>12017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8" t="s">
        <v>887</v>
      </c>
      <c r="E11" s="8" t="s">
        <v>888</v>
      </c>
      <c r="F11" s="8"/>
      <c r="H11" s="8"/>
      <c r="I11" s="8" t="s">
        <v>1080</v>
      </c>
      <c r="J11" s="8" t="s">
        <v>12008</v>
      </c>
      <c r="K11" t="s">
        <v>12018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8" t="s">
        <v>137</v>
      </c>
      <c r="E12" s="8" t="s">
        <v>86</v>
      </c>
      <c r="F12" s="8" t="s">
        <v>51</v>
      </c>
      <c r="H12" s="8"/>
      <c r="I12" s="8" t="s">
        <v>1082</v>
      </c>
      <c r="J12" s="8" t="s">
        <v>12008</v>
      </c>
      <c r="K12" t="s">
        <v>12019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8" t="s">
        <v>1273</v>
      </c>
      <c r="E13" s="8" t="s">
        <v>86</v>
      </c>
      <c r="F13" s="8" t="s">
        <v>51</v>
      </c>
      <c r="H13" s="8"/>
      <c r="I13" s="8" t="s">
        <v>1084</v>
      </c>
      <c r="J13" s="8" t="s">
        <v>12008</v>
      </c>
      <c r="K13" t="s">
        <v>12020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8" t="s">
        <v>226</v>
      </c>
      <c r="E14" s="8" t="s">
        <v>86</v>
      </c>
      <c r="F14" s="8" t="s">
        <v>53</v>
      </c>
      <c r="G14">
        <v>1</v>
      </c>
      <c r="H14" s="8"/>
      <c r="I14" s="8" t="s">
        <v>1086</v>
      </c>
      <c r="J14" s="8" t="s">
        <v>12008</v>
      </c>
      <c r="K14" t="s">
        <v>12021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8" t="s">
        <v>587</v>
      </c>
      <c r="E15" s="8" t="s">
        <v>86</v>
      </c>
      <c r="F15" s="8" t="s">
        <v>1276</v>
      </c>
      <c r="H15" s="8"/>
      <c r="I15" s="8" t="s">
        <v>1088</v>
      </c>
      <c r="J15" s="8" t="s">
        <v>12008</v>
      </c>
      <c r="K15" t="s">
        <v>12022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8" t="s">
        <v>4</v>
      </c>
      <c r="E16" s="8" t="s">
        <v>8</v>
      </c>
      <c r="F16" s="8"/>
      <c r="H16" s="8"/>
      <c r="I16" s="8" t="s">
        <v>1090</v>
      </c>
      <c r="J16" s="8" t="s">
        <v>12008</v>
      </c>
      <c r="K16" t="s">
        <v>12023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8" t="s">
        <v>1273</v>
      </c>
      <c r="E17" s="8" t="s">
        <v>86</v>
      </c>
      <c r="F17" s="8" t="s">
        <v>51</v>
      </c>
      <c r="H17" s="8"/>
      <c r="I17" s="8" t="s">
        <v>1092</v>
      </c>
      <c r="J17" s="8" t="s">
        <v>12008</v>
      </c>
      <c r="K17" t="s">
        <v>12024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8" t="s">
        <v>226</v>
      </c>
      <c r="E18" s="8" t="s">
        <v>86</v>
      </c>
      <c r="F18" s="8" t="s">
        <v>53</v>
      </c>
      <c r="G18">
        <v>1</v>
      </c>
      <c r="H18" s="8"/>
      <c r="I18" s="8" t="s">
        <v>1094</v>
      </c>
      <c r="J18" s="8" t="s">
        <v>12008</v>
      </c>
      <c r="K18" t="s">
        <v>12025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8" t="s">
        <v>587</v>
      </c>
      <c r="E19" s="8" t="s">
        <v>86</v>
      </c>
      <c r="F19" s="8" t="s">
        <v>1276</v>
      </c>
      <c r="H19" s="8"/>
      <c r="I19" s="8" t="s">
        <v>1096</v>
      </c>
      <c r="J19" s="8" t="s">
        <v>12008</v>
      </c>
      <c r="K19" t="s">
        <v>12026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8" t="s">
        <v>1273</v>
      </c>
      <c r="E20" s="8" t="s">
        <v>86</v>
      </c>
      <c r="F20" s="8" t="s">
        <v>51</v>
      </c>
      <c r="H20" s="8"/>
      <c r="I20" s="8" t="s">
        <v>1098</v>
      </c>
      <c r="J20" s="8" t="s">
        <v>12008</v>
      </c>
      <c r="K20" t="s">
        <v>12027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8" t="s">
        <v>226</v>
      </c>
      <c r="E21" s="8" t="s">
        <v>86</v>
      </c>
      <c r="F21" s="8" t="s">
        <v>53</v>
      </c>
      <c r="G21">
        <v>1</v>
      </c>
      <c r="H21" s="8"/>
      <c r="I21" s="8" t="s">
        <v>1100</v>
      </c>
      <c r="J21" s="8" t="s">
        <v>12008</v>
      </c>
      <c r="K21" t="s">
        <v>12028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8" t="s">
        <v>587</v>
      </c>
      <c r="E22" s="8" t="s">
        <v>86</v>
      </c>
      <c r="F22" s="8" t="s">
        <v>1276</v>
      </c>
      <c r="H22" s="8"/>
      <c r="I22" s="8" t="s">
        <v>1102</v>
      </c>
      <c r="J22" s="8" t="s">
        <v>12008</v>
      </c>
      <c r="K22" t="s">
        <v>12029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8" t="s">
        <v>4</v>
      </c>
      <c r="E23" s="8" t="s">
        <v>1274</v>
      </c>
      <c r="F23" s="8" t="s">
        <v>1275</v>
      </c>
      <c r="H23" s="8"/>
      <c r="I23" s="8" t="s">
        <v>1104</v>
      </c>
      <c r="J23" s="8" t="s">
        <v>12008</v>
      </c>
      <c r="K23" t="s">
        <v>12030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8" t="s">
        <v>4</v>
      </c>
      <c r="E24" s="8" t="s">
        <v>1274</v>
      </c>
      <c r="F24" s="8" t="s">
        <v>1275</v>
      </c>
      <c r="H24" s="8"/>
      <c r="I24" s="8" t="s">
        <v>1106</v>
      </c>
      <c r="J24" s="8" t="s">
        <v>12008</v>
      </c>
      <c r="K24" t="s">
        <v>12031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8" t="s">
        <v>137</v>
      </c>
      <c r="E25" s="8" t="s">
        <v>86</v>
      </c>
      <c r="F25" s="8" t="s">
        <v>60</v>
      </c>
      <c r="H25" s="8" t="s">
        <v>1272</v>
      </c>
      <c r="I25" s="8" t="s">
        <v>1108</v>
      </c>
      <c r="J25" s="8" t="s">
        <v>12008</v>
      </c>
      <c r="K25" t="s">
        <v>12032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8" t="s">
        <v>4</v>
      </c>
      <c r="E26" s="8" t="s">
        <v>8</v>
      </c>
      <c r="F26" s="8"/>
      <c r="H26" s="8"/>
      <c r="I26" s="8" t="s">
        <v>1110</v>
      </c>
      <c r="J26" s="8" t="s">
        <v>12008</v>
      </c>
      <c r="K26" t="s">
        <v>12033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8" t="s">
        <v>1273</v>
      </c>
      <c r="E27" s="8" t="s">
        <v>86</v>
      </c>
      <c r="F27" s="8" t="s">
        <v>51</v>
      </c>
      <c r="H27" s="8"/>
      <c r="I27" s="8" t="s">
        <v>1112</v>
      </c>
      <c r="J27" s="8" t="s">
        <v>12008</v>
      </c>
      <c r="K27" t="s">
        <v>12034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8" t="s">
        <v>4</v>
      </c>
      <c r="E28" s="8" t="s">
        <v>8</v>
      </c>
      <c r="F28" s="8"/>
      <c r="H28" s="8"/>
      <c r="I28" s="8" t="s">
        <v>1114</v>
      </c>
      <c r="J28" s="8" t="s">
        <v>12008</v>
      </c>
      <c r="K28" t="s">
        <v>12035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8" t="s">
        <v>587</v>
      </c>
      <c r="E29" s="8" t="s">
        <v>86</v>
      </c>
      <c r="F29" s="8" t="s">
        <v>51</v>
      </c>
      <c r="H29" s="8"/>
      <c r="I29" s="8" t="s">
        <v>1116</v>
      </c>
      <c r="J29" s="8" t="s">
        <v>12008</v>
      </c>
      <c r="K29" t="s">
        <v>12036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8" t="s">
        <v>4</v>
      </c>
      <c r="E30" s="8" t="s">
        <v>8</v>
      </c>
      <c r="F30" s="8"/>
      <c r="H30" s="8"/>
      <c r="I30" s="8" t="s">
        <v>1118</v>
      </c>
      <c r="J30" s="8" t="s">
        <v>12008</v>
      </c>
      <c r="K30" t="s">
        <v>12037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8" t="s">
        <v>1273</v>
      </c>
      <c r="E31" s="8" t="s">
        <v>56</v>
      </c>
      <c r="F31" s="8" t="s">
        <v>51</v>
      </c>
      <c r="H31" s="8"/>
      <c r="I31" s="8" t="s">
        <v>1120</v>
      </c>
      <c r="J31" s="8" t="s">
        <v>12008</v>
      </c>
      <c r="K31" t="s">
        <v>12038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8" t="s">
        <v>226</v>
      </c>
      <c r="E32" s="8" t="s">
        <v>56</v>
      </c>
      <c r="F32" s="8" t="s">
        <v>53</v>
      </c>
      <c r="G32">
        <v>3</v>
      </c>
      <c r="H32" s="8"/>
      <c r="I32" s="8" t="s">
        <v>1122</v>
      </c>
      <c r="J32" s="8" t="s">
        <v>12008</v>
      </c>
      <c r="K32" t="s">
        <v>12039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8" t="s">
        <v>587</v>
      </c>
      <c r="E33" s="8" t="s">
        <v>56</v>
      </c>
      <c r="F33" s="8" t="s">
        <v>1276</v>
      </c>
      <c r="H33" s="8"/>
      <c r="I33" s="8" t="s">
        <v>1125</v>
      </c>
      <c r="J33" s="8" t="s">
        <v>12008</v>
      </c>
      <c r="K33" t="s">
        <v>12040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8" t="s">
        <v>470</v>
      </c>
      <c r="E34" s="8" t="s">
        <v>468</v>
      </c>
      <c r="F34" s="8" t="s">
        <v>58</v>
      </c>
      <c r="H34" s="8" t="s">
        <v>1279</v>
      </c>
      <c r="I34" s="8" t="s">
        <v>1127</v>
      </c>
      <c r="J34" s="8" t="s">
        <v>12008</v>
      </c>
      <c r="K34" t="s">
        <v>12041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8" t="s">
        <v>470</v>
      </c>
      <c r="E35" s="8" t="s">
        <v>468</v>
      </c>
      <c r="F35" s="8" t="s">
        <v>58</v>
      </c>
      <c r="H35" s="8" t="s">
        <v>1279</v>
      </c>
      <c r="I35" s="8" t="s">
        <v>1129</v>
      </c>
      <c r="J35" s="8" t="s">
        <v>12008</v>
      </c>
      <c r="K35" t="s">
        <v>12042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8" t="s">
        <v>470</v>
      </c>
      <c r="E36" s="8" t="s">
        <v>468</v>
      </c>
      <c r="F36" s="8" t="s">
        <v>58</v>
      </c>
      <c r="H36" s="8" t="s">
        <v>1279</v>
      </c>
      <c r="I36" s="8" t="s">
        <v>1131</v>
      </c>
      <c r="J36" s="8" t="s">
        <v>12008</v>
      </c>
      <c r="K36" t="s">
        <v>12043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8" t="s">
        <v>470</v>
      </c>
      <c r="E37" s="8" t="s">
        <v>468</v>
      </c>
      <c r="F37" s="8" t="s">
        <v>58</v>
      </c>
      <c r="H37" s="8" t="s">
        <v>1279</v>
      </c>
      <c r="I37" s="8" t="s">
        <v>1133</v>
      </c>
      <c r="J37" s="8" t="s">
        <v>12008</v>
      </c>
      <c r="K37" t="s">
        <v>12044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8" t="s">
        <v>4</v>
      </c>
      <c r="E38" s="8" t="s">
        <v>8</v>
      </c>
      <c r="F38" s="8"/>
      <c r="H38" s="8"/>
      <c r="I38" s="8" t="s">
        <v>1135</v>
      </c>
      <c r="J38" s="8" t="s">
        <v>12008</v>
      </c>
      <c r="K38" t="s">
        <v>12045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8" t="s">
        <v>470</v>
      </c>
      <c r="E39" s="8" t="s">
        <v>1277</v>
      </c>
      <c r="F39" s="8" t="s">
        <v>58</v>
      </c>
      <c r="H39" s="8" t="s">
        <v>1278</v>
      </c>
      <c r="I39" s="8" t="s">
        <v>1137</v>
      </c>
      <c r="J39" s="8" t="s">
        <v>12008</v>
      </c>
      <c r="K39" t="s">
        <v>12046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8" t="s">
        <v>470</v>
      </c>
      <c r="E40" s="8" t="s">
        <v>1277</v>
      </c>
      <c r="F40" s="8" t="s">
        <v>58</v>
      </c>
      <c r="H40" s="8" t="s">
        <v>1278</v>
      </c>
      <c r="I40" s="8" t="s">
        <v>1139</v>
      </c>
      <c r="J40" s="8" t="s">
        <v>12008</v>
      </c>
      <c r="K40" t="s">
        <v>12047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8" t="s">
        <v>470</v>
      </c>
      <c r="E41" s="8" t="s">
        <v>1277</v>
      </c>
      <c r="F41" s="8" t="s">
        <v>58</v>
      </c>
      <c r="H41" s="8" t="s">
        <v>1278</v>
      </c>
      <c r="I41" s="8" t="s">
        <v>1141</v>
      </c>
      <c r="J41" s="8" t="s">
        <v>12008</v>
      </c>
      <c r="K41" t="s">
        <v>12048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8" t="s">
        <v>470</v>
      </c>
      <c r="E42" s="8" t="s">
        <v>468</v>
      </c>
      <c r="F42" s="8" t="s">
        <v>58</v>
      </c>
      <c r="H42" s="8" t="s">
        <v>1279</v>
      </c>
      <c r="I42" s="8" t="s">
        <v>1143</v>
      </c>
      <c r="J42" s="8" t="s">
        <v>12008</v>
      </c>
      <c r="K42" t="s">
        <v>12049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8" t="s">
        <v>470</v>
      </c>
      <c r="E43" s="8" t="s">
        <v>468</v>
      </c>
      <c r="F43" s="8" t="s">
        <v>58</v>
      </c>
      <c r="H43" s="8" t="s">
        <v>1279</v>
      </c>
      <c r="I43" s="8" t="s">
        <v>1146</v>
      </c>
      <c r="J43" s="8" t="s">
        <v>12008</v>
      </c>
      <c r="K43" t="s">
        <v>12050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1148</v>
      </c>
      <c r="J44" s="8" t="s">
        <v>12008</v>
      </c>
      <c r="K44" t="s">
        <v>12051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8" t="s">
        <v>4</v>
      </c>
      <c r="E45" s="8" t="s">
        <v>8</v>
      </c>
      <c r="F45" s="8"/>
      <c r="H45" s="8"/>
      <c r="I45" s="8" t="s">
        <v>1150</v>
      </c>
      <c r="J45" s="8" t="s">
        <v>12008</v>
      </c>
      <c r="K45" t="s">
        <v>12052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8" t="s">
        <v>226</v>
      </c>
      <c r="E46" s="8" t="s">
        <v>86</v>
      </c>
      <c r="F46" s="8" t="s">
        <v>890</v>
      </c>
      <c r="H46" s="8"/>
      <c r="I46" s="8" t="s">
        <v>1152</v>
      </c>
      <c r="J46" s="8" t="s">
        <v>12008</v>
      </c>
      <c r="K46" t="s">
        <v>12053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8" t="s">
        <v>226</v>
      </c>
      <c r="E47" s="8" t="s">
        <v>86</v>
      </c>
      <c r="F47" s="8" t="s">
        <v>888</v>
      </c>
      <c r="H47" s="8"/>
      <c r="I47" s="8" t="s">
        <v>1154</v>
      </c>
      <c r="J47" s="8" t="s">
        <v>12008</v>
      </c>
      <c r="K47" t="s">
        <v>12054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8" t="s">
        <v>470</v>
      </c>
      <c r="E48" s="8" t="s">
        <v>86</v>
      </c>
      <c r="F48" s="8" t="s">
        <v>1280</v>
      </c>
      <c r="H48" s="8" t="s">
        <v>1279</v>
      </c>
      <c r="I48" s="8" t="s">
        <v>1156</v>
      </c>
      <c r="J48" s="8" t="s">
        <v>12008</v>
      </c>
      <c r="K48" t="s">
        <v>12055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8" t="s">
        <v>1282</v>
      </c>
      <c r="E49" s="8" t="s">
        <v>86</v>
      </c>
      <c r="F49" s="8" t="s">
        <v>1281</v>
      </c>
      <c r="H49" s="8"/>
      <c r="I49" s="8" t="s">
        <v>1158</v>
      </c>
      <c r="J49" s="8" t="s">
        <v>12008</v>
      </c>
      <c r="K49" t="s">
        <v>12056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8" t="s">
        <v>1273</v>
      </c>
      <c r="E50" s="8" t="s">
        <v>63</v>
      </c>
      <c r="F50" s="8" t="s">
        <v>51</v>
      </c>
      <c r="H50" s="8"/>
      <c r="I50" s="8" t="s">
        <v>1160</v>
      </c>
      <c r="J50" s="8" t="s">
        <v>12008</v>
      </c>
      <c r="K50" t="s">
        <v>12057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8" t="s">
        <v>226</v>
      </c>
      <c r="E51" s="8" t="s">
        <v>63</v>
      </c>
      <c r="F51" s="8" t="s">
        <v>58</v>
      </c>
      <c r="H51" s="8" t="s">
        <v>1287</v>
      </c>
      <c r="I51" s="8" t="s">
        <v>1162</v>
      </c>
      <c r="J51" s="8" t="s">
        <v>12008</v>
      </c>
      <c r="K51" t="s">
        <v>12058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8" t="s">
        <v>1602</v>
      </c>
      <c r="E52" s="8" t="s">
        <v>63</v>
      </c>
      <c r="F52" s="8" t="s">
        <v>58</v>
      </c>
      <c r="H52" s="8" t="s">
        <v>1287</v>
      </c>
      <c r="I52" s="8" t="s">
        <v>1165</v>
      </c>
      <c r="J52" s="8" t="s">
        <v>12008</v>
      </c>
      <c r="K52" t="s">
        <v>12059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8" t="s">
        <v>1602</v>
      </c>
      <c r="E53" s="8" t="s">
        <v>63</v>
      </c>
      <c r="F53" s="8" t="s">
        <v>58</v>
      </c>
      <c r="H53" s="8" t="s">
        <v>1287</v>
      </c>
      <c r="I53" s="8" t="s">
        <v>1168</v>
      </c>
      <c r="J53" s="8" t="s">
        <v>12008</v>
      </c>
      <c r="K53" t="s">
        <v>12060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8" t="s">
        <v>587</v>
      </c>
      <c r="E54" s="8" t="s">
        <v>63</v>
      </c>
      <c r="F54" s="8" t="s">
        <v>58</v>
      </c>
      <c r="H54" s="8"/>
      <c r="I54" s="8" t="s">
        <v>1171</v>
      </c>
      <c r="J54" s="8" t="s">
        <v>12008</v>
      </c>
      <c r="K54" t="s">
        <v>12061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8" t="s">
        <v>1273</v>
      </c>
      <c r="E55" s="8" t="s">
        <v>55</v>
      </c>
      <c r="F55" s="8" t="s">
        <v>51</v>
      </c>
      <c r="H55" s="8"/>
      <c r="I55" s="8" t="s">
        <v>1173</v>
      </c>
      <c r="J55" s="8" t="s">
        <v>12008</v>
      </c>
      <c r="K55" t="s">
        <v>12062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8" t="s">
        <v>226</v>
      </c>
      <c r="E56" s="8" t="s">
        <v>55</v>
      </c>
      <c r="F56" s="8" t="s">
        <v>1284</v>
      </c>
      <c r="H56" s="8" t="s">
        <v>1285</v>
      </c>
      <c r="I56" s="8" t="s">
        <v>1175</v>
      </c>
      <c r="J56" s="8" t="s">
        <v>12008</v>
      </c>
      <c r="K56" t="s">
        <v>12063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8" t="s">
        <v>1283</v>
      </c>
      <c r="E57" s="8" t="s">
        <v>55</v>
      </c>
      <c r="F57" s="8" t="s">
        <v>1284</v>
      </c>
      <c r="H57" s="8" t="s">
        <v>1285</v>
      </c>
      <c r="I57" s="8" t="s">
        <v>1178</v>
      </c>
      <c r="J57" s="8" t="s">
        <v>12008</v>
      </c>
      <c r="K57" t="s">
        <v>12064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8" t="s">
        <v>1283</v>
      </c>
      <c r="E58" s="8" t="s">
        <v>55</v>
      </c>
      <c r="F58" s="8" t="s">
        <v>1284</v>
      </c>
      <c r="H58" s="8" t="s">
        <v>1285</v>
      </c>
      <c r="I58" s="8" t="s">
        <v>1181</v>
      </c>
      <c r="J58" s="8" t="s">
        <v>12008</v>
      </c>
      <c r="K58" t="s">
        <v>12065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8" t="s">
        <v>1283</v>
      </c>
      <c r="E59" s="8" t="s">
        <v>55</v>
      </c>
      <c r="F59" s="8" t="s">
        <v>1286</v>
      </c>
      <c r="H59" s="8" t="s">
        <v>1287</v>
      </c>
      <c r="I59" s="8" t="s">
        <v>1184</v>
      </c>
      <c r="J59" s="8" t="s">
        <v>12008</v>
      </c>
      <c r="K59" t="s">
        <v>12066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8" t="s">
        <v>1283</v>
      </c>
      <c r="E60" s="8" t="s">
        <v>55</v>
      </c>
      <c r="F60" s="8" t="s">
        <v>1288</v>
      </c>
      <c r="H60" s="8"/>
      <c r="I60" s="8" t="s">
        <v>1187</v>
      </c>
      <c r="J60" s="8" t="s">
        <v>12008</v>
      </c>
      <c r="K60" t="s">
        <v>12067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8" t="s">
        <v>1283</v>
      </c>
      <c r="E61" s="8" t="s">
        <v>55</v>
      </c>
      <c r="F61" s="8" t="s">
        <v>1289</v>
      </c>
      <c r="H61" s="8"/>
      <c r="I61" s="8" t="s">
        <v>1190</v>
      </c>
      <c r="J61" s="8" t="s">
        <v>12008</v>
      </c>
      <c r="K61" t="s">
        <v>12068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8" t="s">
        <v>587</v>
      </c>
      <c r="E62" s="8" t="s">
        <v>55</v>
      </c>
      <c r="F62" s="8" t="s">
        <v>1289</v>
      </c>
      <c r="G62">
        <v>6</v>
      </c>
      <c r="H62" s="8" t="s">
        <v>1287</v>
      </c>
      <c r="I62" s="8" t="s">
        <v>1193</v>
      </c>
      <c r="J62" s="8" t="s">
        <v>12008</v>
      </c>
      <c r="K62" t="s">
        <v>12069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8" t="s">
        <v>4</v>
      </c>
      <c r="E63" s="8" t="s">
        <v>8</v>
      </c>
      <c r="F63" s="8"/>
      <c r="H63" s="8"/>
      <c r="I63" s="8" t="s">
        <v>1195</v>
      </c>
      <c r="J63" s="8" t="s">
        <v>12008</v>
      </c>
      <c r="K63" t="s">
        <v>12070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8" t="s">
        <v>137</v>
      </c>
      <c r="E64" s="8" t="s">
        <v>86</v>
      </c>
      <c r="F64" s="8" t="s">
        <v>60</v>
      </c>
      <c r="H64" s="8" t="s">
        <v>1272</v>
      </c>
      <c r="I64" s="8" t="s">
        <v>1197</v>
      </c>
      <c r="J64" s="8" t="s">
        <v>12008</v>
      </c>
      <c r="K64" t="s">
        <v>12071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8" t="s">
        <v>137</v>
      </c>
      <c r="E65" s="8" t="s">
        <v>86</v>
      </c>
      <c r="F65" s="8" t="s">
        <v>60</v>
      </c>
      <c r="H65" s="8" t="s">
        <v>1272</v>
      </c>
      <c r="I65" s="8" t="s">
        <v>1199</v>
      </c>
      <c r="J65" s="8" t="s">
        <v>12008</v>
      </c>
      <c r="K65" t="s">
        <v>12072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8" t="s">
        <v>137</v>
      </c>
      <c r="E66" s="8" t="s">
        <v>86</v>
      </c>
      <c r="F66" s="8" t="s">
        <v>60</v>
      </c>
      <c r="H66" s="8" t="s">
        <v>1272</v>
      </c>
      <c r="I66" s="8" t="s">
        <v>1201</v>
      </c>
      <c r="J66" s="8" t="s">
        <v>12008</v>
      </c>
      <c r="K66" t="s">
        <v>12073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8" t="s">
        <v>137</v>
      </c>
      <c r="E67" s="8" t="s">
        <v>86</v>
      </c>
      <c r="F67" s="8" t="s">
        <v>60</v>
      </c>
      <c r="H67" s="8" t="s">
        <v>1272</v>
      </c>
      <c r="I67" s="8" t="s">
        <v>1203</v>
      </c>
      <c r="J67" s="8" t="s">
        <v>12008</v>
      </c>
      <c r="K67" t="s">
        <v>12074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8" t="s">
        <v>137</v>
      </c>
      <c r="E68" s="8" t="s">
        <v>86</v>
      </c>
      <c r="F68" s="8" t="s">
        <v>1288</v>
      </c>
      <c r="H68" s="8" t="s">
        <v>1272</v>
      </c>
      <c r="I68" s="8" t="s">
        <v>1205</v>
      </c>
      <c r="J68" s="8" t="s">
        <v>12008</v>
      </c>
      <c r="K68" t="s">
        <v>12075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8" t="s">
        <v>4</v>
      </c>
      <c r="E69" s="8" t="s">
        <v>8</v>
      </c>
      <c r="F69" s="8"/>
      <c r="H69" s="8"/>
      <c r="I69" s="8" t="s">
        <v>1207</v>
      </c>
      <c r="J69" s="8" t="s">
        <v>12008</v>
      </c>
      <c r="K69" t="s">
        <v>12076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8" t="s">
        <v>1290</v>
      </c>
      <c r="E70" s="8"/>
      <c r="F70" s="8"/>
      <c r="H70" s="8"/>
      <c r="I70" s="8" t="s">
        <v>1209</v>
      </c>
      <c r="J70" s="8" t="s">
        <v>12008</v>
      </c>
      <c r="K70" t="s">
        <v>12077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8" t="s">
        <v>470</v>
      </c>
      <c r="E71" s="8" t="s">
        <v>468</v>
      </c>
      <c r="F71" s="8" t="s">
        <v>1291</v>
      </c>
      <c r="H71" s="8"/>
      <c r="I71" s="8" t="s">
        <v>1211</v>
      </c>
      <c r="J71" s="8" t="s">
        <v>12008</v>
      </c>
      <c r="K71" t="s">
        <v>12078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8" t="s">
        <v>1273</v>
      </c>
      <c r="E72" s="8" t="s">
        <v>70</v>
      </c>
      <c r="F72" s="8" t="s">
        <v>51</v>
      </c>
      <c r="H72" s="8"/>
      <c r="I72" s="8" t="s">
        <v>1213</v>
      </c>
      <c r="J72" s="8" t="s">
        <v>12008</v>
      </c>
      <c r="K72" t="s">
        <v>12079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8" t="s">
        <v>403</v>
      </c>
      <c r="E73" s="8" t="s">
        <v>70</v>
      </c>
      <c r="F73" s="8" t="s">
        <v>58</v>
      </c>
      <c r="H73" s="8" t="s">
        <v>1287</v>
      </c>
      <c r="I73" s="8" t="s">
        <v>1215</v>
      </c>
      <c r="J73" s="8" t="s">
        <v>12008</v>
      </c>
      <c r="K73" t="s">
        <v>12080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8" t="s">
        <v>403</v>
      </c>
      <c r="E74" s="8" t="s">
        <v>70</v>
      </c>
      <c r="F74" s="8" t="s">
        <v>58</v>
      </c>
      <c r="H74" s="8" t="s">
        <v>1287</v>
      </c>
      <c r="I74" s="8" t="s">
        <v>1218</v>
      </c>
      <c r="J74" s="8" t="s">
        <v>12008</v>
      </c>
      <c r="K74" t="s">
        <v>12081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8" t="s">
        <v>4</v>
      </c>
      <c r="E75" s="8" t="s">
        <v>8</v>
      </c>
      <c r="F75" s="8"/>
      <c r="H75" s="8"/>
      <c r="I75" s="8" t="s">
        <v>1221</v>
      </c>
      <c r="J75" s="8" t="s">
        <v>12008</v>
      </c>
      <c r="K75" t="s">
        <v>12082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8" t="s">
        <v>137</v>
      </c>
      <c r="E76" s="8" t="s">
        <v>86</v>
      </c>
      <c r="F76" s="8" t="s">
        <v>60</v>
      </c>
      <c r="H76" s="8" t="s">
        <v>1272</v>
      </c>
      <c r="I76" s="8" t="s">
        <v>1223</v>
      </c>
      <c r="J76" s="8" t="s">
        <v>12008</v>
      </c>
      <c r="K76" t="s">
        <v>12083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8" t="s">
        <v>4</v>
      </c>
      <c r="E77" s="8" t="s">
        <v>8</v>
      </c>
      <c r="F77" s="8"/>
      <c r="H77" s="8" t="s">
        <v>1292</v>
      </c>
      <c r="I77" s="8" t="s">
        <v>1225</v>
      </c>
      <c r="J77" s="8" t="s">
        <v>12008</v>
      </c>
      <c r="K77" t="s">
        <v>12084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1227</v>
      </c>
      <c r="J78" s="8" t="s">
        <v>12008</v>
      </c>
      <c r="K78" t="s">
        <v>12085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8" t="s">
        <v>1290</v>
      </c>
      <c r="E79" s="8"/>
      <c r="F79" s="8"/>
      <c r="H79" s="8"/>
      <c r="I79" s="8" t="s">
        <v>1229</v>
      </c>
      <c r="J79" s="8" t="s">
        <v>12008</v>
      </c>
      <c r="K79" t="s">
        <v>12086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8" t="s">
        <v>137</v>
      </c>
      <c r="E80" s="8" t="s">
        <v>86</v>
      </c>
      <c r="F80" s="8" t="s">
        <v>165</v>
      </c>
      <c r="H80" s="8"/>
      <c r="I80" s="8" t="s">
        <v>1231</v>
      </c>
      <c r="J80" s="8" t="s">
        <v>12008</v>
      </c>
      <c r="K80" t="s">
        <v>12087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8" t="s">
        <v>137</v>
      </c>
      <c r="E81" s="8" t="s">
        <v>86</v>
      </c>
      <c r="F81" s="8" t="s">
        <v>165</v>
      </c>
      <c r="H81" s="8"/>
      <c r="I81" s="8" t="s">
        <v>1233</v>
      </c>
      <c r="J81" s="8" t="s">
        <v>12008</v>
      </c>
      <c r="K81" t="s">
        <v>12088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8" t="s">
        <v>137</v>
      </c>
      <c r="E82" s="8" t="s">
        <v>86</v>
      </c>
      <c r="F82" s="8" t="s">
        <v>165</v>
      </c>
      <c r="H82" s="8"/>
      <c r="I82" s="8" t="s">
        <v>1235</v>
      </c>
      <c r="J82" s="8" t="s">
        <v>12008</v>
      </c>
      <c r="K82" t="s">
        <v>12089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8" t="s">
        <v>4</v>
      </c>
      <c r="E83" s="8" t="s">
        <v>8</v>
      </c>
      <c r="F83" s="8"/>
      <c r="H83" s="8"/>
      <c r="I83" s="8" t="s">
        <v>1237</v>
      </c>
      <c r="J83" s="8" t="s">
        <v>12008</v>
      </c>
      <c r="K83" t="s">
        <v>12090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8" t="s">
        <v>137</v>
      </c>
      <c r="E84" s="8" t="s">
        <v>86</v>
      </c>
      <c r="F84" s="8" t="s">
        <v>60</v>
      </c>
      <c r="H84" s="8"/>
      <c r="I84" s="8" t="s">
        <v>1239</v>
      </c>
      <c r="J84" s="8" t="s">
        <v>12008</v>
      </c>
      <c r="K84" t="s">
        <v>12091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8" t="s">
        <v>137</v>
      </c>
      <c r="E85" s="8" t="s">
        <v>86</v>
      </c>
      <c r="F85" s="8" t="s">
        <v>165</v>
      </c>
      <c r="H85" s="8"/>
      <c r="I85" s="8" t="s">
        <v>1241</v>
      </c>
      <c r="J85" s="8" t="s">
        <v>12008</v>
      </c>
      <c r="K85" t="s">
        <v>12092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8" t="s">
        <v>137</v>
      </c>
      <c r="E86" s="8" t="s">
        <v>86</v>
      </c>
      <c r="F86" s="8" t="s">
        <v>165</v>
      </c>
      <c r="H86" s="8"/>
      <c r="I86" s="8" t="s">
        <v>1243</v>
      </c>
      <c r="J86" s="8" t="s">
        <v>12008</v>
      </c>
      <c r="K86" t="s">
        <v>12093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8" t="s">
        <v>137</v>
      </c>
      <c r="E87" s="8" t="s">
        <v>86</v>
      </c>
      <c r="F87" s="8" t="s">
        <v>165</v>
      </c>
      <c r="H87" s="8"/>
      <c r="I87" s="8" t="s">
        <v>1245</v>
      </c>
      <c r="J87" s="8" t="s">
        <v>12008</v>
      </c>
      <c r="K87" t="s">
        <v>12094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8" t="s">
        <v>137</v>
      </c>
      <c r="E88" s="8" t="s">
        <v>86</v>
      </c>
      <c r="F88" s="8" t="s">
        <v>87</v>
      </c>
      <c r="H88" s="8" t="s">
        <v>1293</v>
      </c>
      <c r="I88" s="8" t="s">
        <v>1247</v>
      </c>
      <c r="J88" s="8" t="s">
        <v>12008</v>
      </c>
      <c r="K88" t="s">
        <v>12095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8" t="s">
        <v>1290</v>
      </c>
      <c r="E89" s="8"/>
      <c r="F89" s="8"/>
      <c r="H89" s="8"/>
      <c r="I89" s="8" t="s">
        <v>1249</v>
      </c>
      <c r="J89" s="8" t="s">
        <v>12008</v>
      </c>
      <c r="K89" t="s">
        <v>12096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8" t="s">
        <v>4</v>
      </c>
      <c r="E90" s="8" t="s">
        <v>8</v>
      </c>
      <c r="F90" s="8"/>
      <c r="H90" s="8" t="s">
        <v>1292</v>
      </c>
      <c r="I90" s="8" t="s">
        <v>1251</v>
      </c>
      <c r="J90" s="8" t="s">
        <v>12008</v>
      </c>
      <c r="K90" t="s">
        <v>12097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1253</v>
      </c>
      <c r="J91" s="8" t="s">
        <v>12008</v>
      </c>
      <c r="K91" t="s">
        <v>12098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8" t="s">
        <v>1290</v>
      </c>
      <c r="E92" s="8"/>
      <c r="F92" s="8"/>
      <c r="H92" s="8"/>
      <c r="I92" s="8" t="s">
        <v>1255</v>
      </c>
      <c r="J92" s="8" t="s">
        <v>12008</v>
      </c>
      <c r="K92" t="s">
        <v>12099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8" t="s">
        <v>4</v>
      </c>
      <c r="E93" s="8" t="s">
        <v>8</v>
      </c>
      <c r="F93" s="8"/>
      <c r="H93" s="8"/>
      <c r="I93" s="8" t="s">
        <v>1257</v>
      </c>
      <c r="J93" s="8" t="s">
        <v>12008</v>
      </c>
      <c r="K93" t="s">
        <v>12100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8" t="s">
        <v>4</v>
      </c>
      <c r="E94" s="8" t="s">
        <v>8</v>
      </c>
      <c r="F94" s="8"/>
      <c r="H94" s="8" t="s">
        <v>1292</v>
      </c>
      <c r="I94" s="8" t="s">
        <v>1259</v>
      </c>
      <c r="J94" s="8" t="s">
        <v>12008</v>
      </c>
      <c r="K94" t="s">
        <v>12101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1261</v>
      </c>
      <c r="J95" s="8" t="s">
        <v>12008</v>
      </c>
      <c r="K95" t="s">
        <v>12102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8" t="s">
        <v>1290</v>
      </c>
      <c r="E96" s="8"/>
      <c r="F96" s="8"/>
      <c r="H96" s="8"/>
      <c r="I96" s="8" t="s">
        <v>1263</v>
      </c>
      <c r="J96" s="8" t="s">
        <v>12008</v>
      </c>
      <c r="K96" t="s">
        <v>12103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8" t="s">
        <v>4</v>
      </c>
      <c r="E97" s="8" t="s">
        <v>8</v>
      </c>
      <c r="F97" s="8"/>
      <c r="H97" s="8"/>
      <c r="I97" s="8" t="s">
        <v>1265</v>
      </c>
      <c r="J97" s="8" t="s">
        <v>12008</v>
      </c>
      <c r="K97" t="s">
        <v>12104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8" t="s">
        <v>4</v>
      </c>
      <c r="E98" s="8" t="s">
        <v>8</v>
      </c>
      <c r="F98" s="8"/>
      <c r="H98" s="8" t="s">
        <v>1292</v>
      </c>
      <c r="I98" s="8" t="s">
        <v>1267</v>
      </c>
      <c r="J98" s="8" t="s">
        <v>12008</v>
      </c>
      <c r="K98" t="s">
        <v>12105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8" t="s">
        <v>1290</v>
      </c>
      <c r="E99" s="8"/>
      <c r="F99" s="8"/>
      <c r="H99" s="8"/>
      <c r="I99" s="8" t="s">
        <v>1269</v>
      </c>
      <c r="J99" s="8" t="s">
        <v>12008</v>
      </c>
      <c r="K99" t="s">
        <v>12106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8" t="s">
        <v>470</v>
      </c>
      <c r="E100" s="8" t="s">
        <v>468</v>
      </c>
      <c r="F100" s="8" t="s">
        <v>58</v>
      </c>
      <c r="H100" s="8" t="s">
        <v>2364</v>
      </c>
      <c r="I100" s="8" t="s">
        <v>2104</v>
      </c>
      <c r="J100" s="8" t="s">
        <v>12008</v>
      </c>
      <c r="K100" t="s">
        <v>12107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8" t="s">
        <v>470</v>
      </c>
      <c r="E101" s="8" t="s">
        <v>468</v>
      </c>
      <c r="F101" s="8" t="s">
        <v>58</v>
      </c>
      <c r="H101" s="8" t="s">
        <v>2364</v>
      </c>
      <c r="I101" s="8" t="s">
        <v>2106</v>
      </c>
      <c r="J101" s="8" t="s">
        <v>12008</v>
      </c>
      <c r="K101" t="s">
        <v>12108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8" t="s">
        <v>470</v>
      </c>
      <c r="E102" s="8" t="s">
        <v>468</v>
      </c>
      <c r="F102" s="8" t="s">
        <v>58</v>
      </c>
      <c r="H102" s="8" t="s">
        <v>1287</v>
      </c>
      <c r="I102" s="8" t="s">
        <v>2108</v>
      </c>
      <c r="J102" s="8" t="s">
        <v>12008</v>
      </c>
      <c r="K102" t="s">
        <v>12109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8" t="s">
        <v>470</v>
      </c>
      <c r="E103" s="8" t="s">
        <v>468</v>
      </c>
      <c r="F103" s="8" t="s">
        <v>58</v>
      </c>
      <c r="H103" s="8" t="s">
        <v>1287</v>
      </c>
      <c r="I103" s="8" t="s">
        <v>2110</v>
      </c>
      <c r="J103" s="8" t="s">
        <v>12008</v>
      </c>
      <c r="K103" t="s">
        <v>12110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8" t="s">
        <v>470</v>
      </c>
      <c r="E104" s="8" t="s">
        <v>468</v>
      </c>
      <c r="F104" s="8" t="s">
        <v>58</v>
      </c>
      <c r="H104" s="8" t="s">
        <v>1278</v>
      </c>
      <c r="I104" s="8" t="s">
        <v>2112</v>
      </c>
      <c r="J104" s="8" t="s">
        <v>12008</v>
      </c>
      <c r="K104" t="s">
        <v>12111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8" t="s">
        <v>470</v>
      </c>
      <c r="E105" s="8" t="s">
        <v>468</v>
      </c>
      <c r="F105" s="8" t="s">
        <v>58</v>
      </c>
      <c r="H105" s="8" t="s">
        <v>1278</v>
      </c>
      <c r="I105" s="8" t="s">
        <v>2114</v>
      </c>
      <c r="J105" s="8" t="s">
        <v>12008</v>
      </c>
      <c r="K105" t="s">
        <v>12112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8" t="s">
        <v>470</v>
      </c>
      <c r="E106" s="8" t="s">
        <v>468</v>
      </c>
      <c r="F106" s="8" t="s">
        <v>58</v>
      </c>
      <c r="H106" s="8" t="s">
        <v>2365</v>
      </c>
      <c r="I106" s="8" t="s">
        <v>2116</v>
      </c>
      <c r="J106" s="8" t="s">
        <v>12008</v>
      </c>
      <c r="K106" t="s">
        <v>12113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8" t="s">
        <v>4</v>
      </c>
      <c r="E107" s="8" t="s">
        <v>8</v>
      </c>
      <c r="F107" s="8"/>
      <c r="H107" s="8"/>
      <c r="I107" s="8" t="s">
        <v>2118</v>
      </c>
      <c r="J107" s="8" t="s">
        <v>12008</v>
      </c>
      <c r="K107" t="s">
        <v>12114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8" t="s">
        <v>1273</v>
      </c>
      <c r="E108" s="8" t="s">
        <v>70</v>
      </c>
      <c r="F108" s="8" t="s">
        <v>51</v>
      </c>
      <c r="H108" s="8"/>
      <c r="I108" s="8" t="s">
        <v>2120</v>
      </c>
      <c r="J108" s="8" t="s">
        <v>12008</v>
      </c>
      <c r="K108" t="s">
        <v>12115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8" t="s">
        <v>226</v>
      </c>
      <c r="E109" s="8" t="s">
        <v>70</v>
      </c>
      <c r="F109" s="8" t="s">
        <v>58</v>
      </c>
      <c r="H109" s="8" t="s">
        <v>2372</v>
      </c>
      <c r="I109" s="8" t="s">
        <v>2122</v>
      </c>
      <c r="J109" s="8" t="s">
        <v>12008</v>
      </c>
      <c r="K109" t="s">
        <v>12116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8" t="s">
        <v>1602</v>
      </c>
      <c r="E110" s="8" t="s">
        <v>70</v>
      </c>
      <c r="F110" s="8" t="s">
        <v>58</v>
      </c>
      <c r="H110" s="8" t="s">
        <v>2372</v>
      </c>
      <c r="I110" s="8" t="s">
        <v>2125</v>
      </c>
      <c r="J110" s="8" t="s">
        <v>12008</v>
      </c>
      <c r="K110" t="s">
        <v>12117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8" t="s">
        <v>1602</v>
      </c>
      <c r="E111" s="8" t="s">
        <v>70</v>
      </c>
      <c r="F111" s="8" t="s">
        <v>58</v>
      </c>
      <c r="H111" s="8" t="s">
        <v>2372</v>
      </c>
      <c r="I111" s="8" t="s">
        <v>2128</v>
      </c>
      <c r="J111" s="8" t="s">
        <v>12008</v>
      </c>
      <c r="K111" t="s">
        <v>12118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8" t="s">
        <v>1602</v>
      </c>
      <c r="E112" s="8" t="s">
        <v>70</v>
      </c>
      <c r="F112" s="8" t="s">
        <v>58</v>
      </c>
      <c r="H112" s="8" t="s">
        <v>2372</v>
      </c>
      <c r="I112" s="8" t="s">
        <v>2131</v>
      </c>
      <c r="J112" s="8" t="s">
        <v>12008</v>
      </c>
      <c r="K112" t="s">
        <v>12119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8" t="s">
        <v>1602</v>
      </c>
      <c r="E113" s="8" t="s">
        <v>70</v>
      </c>
      <c r="F113" s="8" t="s">
        <v>58</v>
      </c>
      <c r="H113" s="8" t="s">
        <v>2372</v>
      </c>
      <c r="I113" s="8" t="s">
        <v>2134</v>
      </c>
      <c r="J113" s="8" t="s">
        <v>12008</v>
      </c>
      <c r="K113" t="s">
        <v>12120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8" t="s">
        <v>1602</v>
      </c>
      <c r="E114" s="8" t="s">
        <v>70</v>
      </c>
      <c r="F114" s="8" t="s">
        <v>2366</v>
      </c>
      <c r="H114" s="8" t="s">
        <v>2372</v>
      </c>
      <c r="I114" s="8" t="s">
        <v>2137</v>
      </c>
      <c r="J114" s="8" t="s">
        <v>12008</v>
      </c>
      <c r="K114" t="s">
        <v>12121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8" t="s">
        <v>1602</v>
      </c>
      <c r="E115" s="8" t="s">
        <v>70</v>
      </c>
      <c r="F115" s="8" t="s">
        <v>2367</v>
      </c>
      <c r="H115" s="8" t="s">
        <v>2372</v>
      </c>
      <c r="I115" s="8" t="s">
        <v>2140</v>
      </c>
      <c r="J115" s="8" t="s">
        <v>12008</v>
      </c>
      <c r="K115" t="s">
        <v>12122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8" t="s">
        <v>1602</v>
      </c>
      <c r="E116" s="8" t="s">
        <v>70</v>
      </c>
      <c r="F116" s="8" t="s">
        <v>2368</v>
      </c>
      <c r="H116" s="8" t="s">
        <v>2372</v>
      </c>
      <c r="I116" s="8" t="s">
        <v>2143</v>
      </c>
      <c r="J116" s="8" t="s">
        <v>12008</v>
      </c>
      <c r="K116" t="s">
        <v>12123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8" t="s">
        <v>2369</v>
      </c>
      <c r="E117" s="8" t="s">
        <v>70</v>
      </c>
      <c r="F117" s="8"/>
      <c r="H117" s="8"/>
      <c r="I117" s="8" t="s">
        <v>2146</v>
      </c>
      <c r="J117" s="8" t="s">
        <v>12008</v>
      </c>
      <c r="K117" t="s">
        <v>12124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8" t="s">
        <v>470</v>
      </c>
      <c r="E118" s="8" t="s">
        <v>1274</v>
      </c>
      <c r="F118" s="8" t="s">
        <v>58</v>
      </c>
      <c r="H118" s="8" t="s">
        <v>2370</v>
      </c>
      <c r="I118" s="8" t="s">
        <v>2148</v>
      </c>
      <c r="J118" s="8" t="s">
        <v>12008</v>
      </c>
      <c r="K118" t="s">
        <v>12125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8" t="s">
        <v>470</v>
      </c>
      <c r="E119" s="8" t="s">
        <v>1274</v>
      </c>
      <c r="F119" s="8" t="s">
        <v>58</v>
      </c>
      <c r="H119" s="8" t="s">
        <v>2370</v>
      </c>
      <c r="I119" s="8" t="s">
        <v>2150</v>
      </c>
      <c r="J119" s="8" t="s">
        <v>12008</v>
      </c>
      <c r="K119" t="s">
        <v>12126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8" t="s">
        <v>137</v>
      </c>
      <c r="E120" s="8" t="s">
        <v>2336</v>
      </c>
      <c r="F120" s="8"/>
      <c r="H120" s="8"/>
      <c r="I120" s="8" t="s">
        <v>2152</v>
      </c>
      <c r="J120" s="8" t="s">
        <v>12008</v>
      </c>
      <c r="K120" t="s">
        <v>12127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8" t="s">
        <v>1273</v>
      </c>
      <c r="E121" s="8" t="s">
        <v>2336</v>
      </c>
      <c r="F121" s="8"/>
      <c r="H121" s="8" t="s">
        <v>2371</v>
      </c>
      <c r="I121" s="8" t="s">
        <v>2154</v>
      </c>
      <c r="J121" s="8" t="s">
        <v>12008</v>
      </c>
      <c r="K121" t="s">
        <v>12128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8" t="s">
        <v>226</v>
      </c>
      <c r="E122" s="8" t="s">
        <v>2336</v>
      </c>
      <c r="F122" s="8" t="s">
        <v>58</v>
      </c>
      <c r="H122" s="8" t="s">
        <v>2373</v>
      </c>
      <c r="I122" s="8" t="s">
        <v>2156</v>
      </c>
      <c r="J122" s="8" t="s">
        <v>12008</v>
      </c>
      <c r="K122" t="s">
        <v>12129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8" t="s">
        <v>1602</v>
      </c>
      <c r="E123" s="8" t="s">
        <v>2336</v>
      </c>
      <c r="F123" s="8" t="s">
        <v>58</v>
      </c>
      <c r="H123" s="8" t="s">
        <v>2373</v>
      </c>
      <c r="I123" s="8" t="s">
        <v>2158</v>
      </c>
      <c r="J123" s="8" t="s">
        <v>12008</v>
      </c>
      <c r="K123" t="s">
        <v>12130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8" t="s">
        <v>1602</v>
      </c>
      <c r="E124" s="8" t="s">
        <v>2336</v>
      </c>
      <c r="F124" s="8" t="s">
        <v>58</v>
      </c>
      <c r="H124" s="8" t="s">
        <v>2373</v>
      </c>
      <c r="I124" s="8" t="s">
        <v>2160</v>
      </c>
      <c r="J124" s="8" t="s">
        <v>12008</v>
      </c>
      <c r="K124" t="s">
        <v>12131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8" t="s">
        <v>470</v>
      </c>
      <c r="E125" s="8" t="s">
        <v>1274</v>
      </c>
      <c r="F125" s="8" t="s">
        <v>58</v>
      </c>
      <c r="H125" s="8" t="s">
        <v>2374</v>
      </c>
      <c r="I125" s="8" t="s">
        <v>2163</v>
      </c>
      <c r="J125" s="8" t="s">
        <v>12008</v>
      </c>
      <c r="K125" t="s">
        <v>12132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8" t="s">
        <v>470</v>
      </c>
      <c r="E126" s="8" t="s">
        <v>1274</v>
      </c>
      <c r="F126" s="8" t="s">
        <v>58</v>
      </c>
      <c r="H126" s="8" t="s">
        <v>2374</v>
      </c>
      <c r="I126" s="8" t="s">
        <v>2165</v>
      </c>
      <c r="J126" s="8" t="s">
        <v>12008</v>
      </c>
      <c r="K126" t="s">
        <v>12133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8" t="s">
        <v>470</v>
      </c>
      <c r="E127" s="8" t="s">
        <v>1274</v>
      </c>
      <c r="F127" s="8" t="s">
        <v>58</v>
      </c>
      <c r="H127" s="8" t="s">
        <v>2374</v>
      </c>
      <c r="I127" s="8" t="s">
        <v>2167</v>
      </c>
      <c r="J127" s="8" t="s">
        <v>12008</v>
      </c>
      <c r="K127" t="s">
        <v>12134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8" t="s">
        <v>470</v>
      </c>
      <c r="E128" s="8" t="s">
        <v>1274</v>
      </c>
      <c r="F128" s="8" t="s">
        <v>58</v>
      </c>
      <c r="H128" s="8" t="s">
        <v>2370</v>
      </c>
      <c r="I128" s="8" t="s">
        <v>2375</v>
      </c>
      <c r="J128" s="8" t="s">
        <v>12008</v>
      </c>
      <c r="K128" t="s">
        <v>12135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8" t="s">
        <v>470</v>
      </c>
      <c r="E129" s="8" t="s">
        <v>1274</v>
      </c>
      <c r="F129" s="8" t="s">
        <v>58</v>
      </c>
      <c r="H129" s="8" t="s">
        <v>2370</v>
      </c>
      <c r="I129" s="8" t="s">
        <v>2169</v>
      </c>
      <c r="J129" s="8" t="s">
        <v>12008</v>
      </c>
      <c r="K129" t="s">
        <v>12136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8" t="s">
        <v>4</v>
      </c>
      <c r="E130" s="8" t="s">
        <v>8</v>
      </c>
      <c r="F130" s="8"/>
      <c r="H130" s="8"/>
      <c r="I130" s="8" t="s">
        <v>2171</v>
      </c>
      <c r="J130" s="8" t="s">
        <v>12008</v>
      </c>
      <c r="K130" t="s">
        <v>12137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8" t="s">
        <v>470</v>
      </c>
      <c r="E131" s="8" t="s">
        <v>1274</v>
      </c>
      <c r="F131" s="8" t="s">
        <v>2377</v>
      </c>
      <c r="H131" s="8" t="s">
        <v>2370</v>
      </c>
      <c r="I131" s="8" t="s">
        <v>2173</v>
      </c>
      <c r="J131" s="8" t="s">
        <v>12008</v>
      </c>
      <c r="K131" t="s">
        <v>12138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8" t="s">
        <v>470</v>
      </c>
      <c r="E132" s="8" t="s">
        <v>1274</v>
      </c>
      <c r="F132" s="8" t="s">
        <v>2377</v>
      </c>
      <c r="H132" s="8" t="s">
        <v>2370</v>
      </c>
      <c r="I132" s="8" t="s">
        <v>2175</v>
      </c>
      <c r="J132" s="8" t="s">
        <v>12008</v>
      </c>
      <c r="K132" t="s">
        <v>12139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8" t="s">
        <v>470</v>
      </c>
      <c r="E133" s="8" t="s">
        <v>1274</v>
      </c>
      <c r="F133" s="8" t="s">
        <v>2377</v>
      </c>
      <c r="H133" s="8" t="s">
        <v>2370</v>
      </c>
      <c r="I133" s="8" t="s">
        <v>2177</v>
      </c>
      <c r="J133" s="8" t="s">
        <v>12008</v>
      </c>
      <c r="K133" t="s">
        <v>12140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8" t="s">
        <v>1273</v>
      </c>
      <c r="E134" s="8" t="s">
        <v>70</v>
      </c>
      <c r="F134" s="8" t="s">
        <v>51</v>
      </c>
      <c r="H134" s="8"/>
      <c r="I134" s="8" t="s">
        <v>2179</v>
      </c>
      <c r="J134" s="8" t="s">
        <v>12008</v>
      </c>
      <c r="K134" t="s">
        <v>12141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8" t="s">
        <v>226</v>
      </c>
      <c r="E135" s="8" t="s">
        <v>70</v>
      </c>
      <c r="F135" s="8" t="s">
        <v>58</v>
      </c>
      <c r="H135" s="8" t="s">
        <v>2372</v>
      </c>
      <c r="I135" s="8" t="s">
        <v>2181</v>
      </c>
      <c r="J135" s="8" t="s">
        <v>12008</v>
      </c>
      <c r="K135" t="s">
        <v>12142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8" t="s">
        <v>1602</v>
      </c>
      <c r="E136" s="8" t="s">
        <v>70</v>
      </c>
      <c r="F136" s="8" t="s">
        <v>58</v>
      </c>
      <c r="H136" s="8" t="s">
        <v>2372</v>
      </c>
      <c r="I136" s="8" t="s">
        <v>2184</v>
      </c>
      <c r="J136" s="8" t="s">
        <v>12008</v>
      </c>
      <c r="K136" t="s">
        <v>12143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8" t="s">
        <v>1602</v>
      </c>
      <c r="E137" s="8" t="s">
        <v>70</v>
      </c>
      <c r="F137" s="8" t="s">
        <v>58</v>
      </c>
      <c r="H137" s="8" t="s">
        <v>2372</v>
      </c>
      <c r="I137" s="8" t="s">
        <v>2187</v>
      </c>
      <c r="J137" s="8" t="s">
        <v>12008</v>
      </c>
      <c r="K137" t="s">
        <v>12144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8" t="s">
        <v>1602</v>
      </c>
      <c r="E138" s="8" t="s">
        <v>70</v>
      </c>
      <c r="F138" s="8" t="s">
        <v>58</v>
      </c>
      <c r="H138" s="8" t="s">
        <v>2372</v>
      </c>
      <c r="I138" s="8" t="s">
        <v>2190</v>
      </c>
      <c r="J138" s="8" t="s">
        <v>12008</v>
      </c>
      <c r="K138" t="s">
        <v>12145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8" t="s">
        <v>1602</v>
      </c>
      <c r="E139" s="8" t="s">
        <v>70</v>
      </c>
      <c r="F139" s="8" t="s">
        <v>58</v>
      </c>
      <c r="H139" s="8" t="s">
        <v>2372</v>
      </c>
      <c r="I139" s="8" t="s">
        <v>2193</v>
      </c>
      <c r="J139" s="8" t="s">
        <v>12008</v>
      </c>
      <c r="K139" t="s">
        <v>12146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8" t="s">
        <v>1602</v>
      </c>
      <c r="E140" s="8" t="s">
        <v>70</v>
      </c>
      <c r="F140" s="8" t="s">
        <v>58</v>
      </c>
      <c r="H140" s="8" t="s">
        <v>2372</v>
      </c>
      <c r="I140" s="8" t="s">
        <v>2196</v>
      </c>
      <c r="J140" s="8" t="s">
        <v>12008</v>
      </c>
      <c r="K140" t="s">
        <v>12147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8" t="s">
        <v>1602</v>
      </c>
      <c r="E141" s="8" t="s">
        <v>70</v>
      </c>
      <c r="F141" s="8" t="s">
        <v>58</v>
      </c>
      <c r="H141" s="8" t="s">
        <v>2372</v>
      </c>
      <c r="I141" s="8" t="s">
        <v>2199</v>
      </c>
      <c r="J141" s="8" t="s">
        <v>12008</v>
      </c>
      <c r="K141" t="s">
        <v>12148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8" t="s">
        <v>1602</v>
      </c>
      <c r="E142" s="8" t="s">
        <v>70</v>
      </c>
      <c r="F142" s="8" t="s">
        <v>58</v>
      </c>
      <c r="H142" s="8" t="s">
        <v>2372</v>
      </c>
      <c r="I142" s="8" t="s">
        <v>2202</v>
      </c>
      <c r="J142" s="8" t="s">
        <v>12008</v>
      </c>
      <c r="K142" t="s">
        <v>12149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8" t="s">
        <v>1602</v>
      </c>
      <c r="E143" s="8" t="s">
        <v>70</v>
      </c>
      <c r="F143" s="8" t="s">
        <v>58</v>
      </c>
      <c r="H143" s="8" t="s">
        <v>2372</v>
      </c>
      <c r="I143" s="8" t="s">
        <v>2205</v>
      </c>
      <c r="J143" s="8" t="s">
        <v>12008</v>
      </c>
      <c r="K143" t="s">
        <v>12150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8" t="s">
        <v>1602</v>
      </c>
      <c r="E144" s="8" t="s">
        <v>70</v>
      </c>
      <c r="F144" s="8" t="s">
        <v>58</v>
      </c>
      <c r="H144" s="8" t="s">
        <v>2372</v>
      </c>
      <c r="I144" s="8" t="s">
        <v>2208</v>
      </c>
      <c r="J144" s="8" t="s">
        <v>12008</v>
      </c>
      <c r="K144" t="s">
        <v>12151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8" t="s">
        <v>1602</v>
      </c>
      <c r="E145" s="8" t="s">
        <v>70</v>
      </c>
      <c r="F145" s="8" t="s">
        <v>58</v>
      </c>
      <c r="H145" s="8" t="s">
        <v>2378</v>
      </c>
      <c r="I145" s="8" t="s">
        <v>2211</v>
      </c>
      <c r="J145" s="8" t="s">
        <v>12008</v>
      </c>
      <c r="K145" t="s">
        <v>12152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8" t="s">
        <v>1602</v>
      </c>
      <c r="E146" s="8" t="s">
        <v>70</v>
      </c>
      <c r="F146" s="8" t="s">
        <v>2377</v>
      </c>
      <c r="H146" s="8" t="s">
        <v>2372</v>
      </c>
      <c r="I146" s="8" t="s">
        <v>2214</v>
      </c>
      <c r="J146" s="8" t="s">
        <v>12008</v>
      </c>
      <c r="K146" t="s">
        <v>12153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8" t="s">
        <v>1602</v>
      </c>
      <c r="E147" s="8" t="s">
        <v>70</v>
      </c>
      <c r="F147" s="8" t="s">
        <v>58</v>
      </c>
      <c r="H147" s="8" t="s">
        <v>2378</v>
      </c>
      <c r="I147" s="8" t="s">
        <v>2217</v>
      </c>
      <c r="J147" s="8" t="s">
        <v>12008</v>
      </c>
      <c r="K147" t="s">
        <v>12154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8" t="s">
        <v>1602</v>
      </c>
      <c r="E148" s="8" t="s">
        <v>70</v>
      </c>
      <c r="F148" s="8" t="s">
        <v>58</v>
      </c>
      <c r="H148" s="8" t="s">
        <v>2378</v>
      </c>
      <c r="I148" s="8" t="s">
        <v>2220</v>
      </c>
      <c r="J148" s="8" t="s">
        <v>12008</v>
      </c>
      <c r="K148" t="s">
        <v>12155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8" t="s">
        <v>1602</v>
      </c>
      <c r="E149" s="8" t="s">
        <v>70</v>
      </c>
      <c r="F149" s="8" t="s">
        <v>58</v>
      </c>
      <c r="H149" s="8" t="s">
        <v>2378</v>
      </c>
      <c r="I149" s="8" t="s">
        <v>2223</v>
      </c>
      <c r="J149" s="8" t="s">
        <v>12008</v>
      </c>
      <c r="K149" t="s">
        <v>12156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8" t="s">
        <v>1602</v>
      </c>
      <c r="E150" s="8" t="s">
        <v>70</v>
      </c>
      <c r="F150" s="8" t="s">
        <v>58</v>
      </c>
      <c r="H150" s="8" t="s">
        <v>2373</v>
      </c>
      <c r="I150" s="8" t="s">
        <v>2226</v>
      </c>
      <c r="J150" s="8" t="s">
        <v>12008</v>
      </c>
      <c r="K150" t="s">
        <v>12157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8" t="s">
        <v>1602</v>
      </c>
      <c r="E151" s="8" t="s">
        <v>70</v>
      </c>
      <c r="F151" s="8" t="s">
        <v>2377</v>
      </c>
      <c r="H151" s="8" t="s">
        <v>2373</v>
      </c>
      <c r="I151" s="8" t="s">
        <v>2229</v>
      </c>
      <c r="J151" s="8" t="s">
        <v>12008</v>
      </c>
      <c r="K151" t="s">
        <v>12158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8" t="s">
        <v>1602</v>
      </c>
      <c r="E152" s="8" t="s">
        <v>70</v>
      </c>
      <c r="F152" s="8" t="s">
        <v>2377</v>
      </c>
      <c r="H152" s="8" t="s">
        <v>2373</v>
      </c>
      <c r="I152" s="8" t="s">
        <v>2232</v>
      </c>
      <c r="J152" s="8" t="s">
        <v>12008</v>
      </c>
      <c r="K152" t="s">
        <v>12159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8" t="s">
        <v>1602</v>
      </c>
      <c r="E153" s="8" t="s">
        <v>70</v>
      </c>
      <c r="F153" s="8" t="s">
        <v>2377</v>
      </c>
      <c r="H153" s="8" t="s">
        <v>2373</v>
      </c>
      <c r="I153" s="8" t="s">
        <v>2235</v>
      </c>
      <c r="J153" s="8" t="s">
        <v>12008</v>
      </c>
      <c r="K153" t="s">
        <v>12160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8" t="s">
        <v>1602</v>
      </c>
      <c r="E154" s="8" t="s">
        <v>70</v>
      </c>
      <c r="F154" s="8" t="s">
        <v>2377</v>
      </c>
      <c r="H154" s="8" t="s">
        <v>2373</v>
      </c>
      <c r="I154" s="8" t="s">
        <v>2238</v>
      </c>
      <c r="J154" s="8" t="s">
        <v>12008</v>
      </c>
      <c r="K154" t="s">
        <v>12161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8" t="s">
        <v>1602</v>
      </c>
      <c r="E155" s="8" t="s">
        <v>70</v>
      </c>
      <c r="F155" s="8" t="s">
        <v>2377</v>
      </c>
      <c r="H155" s="8" t="s">
        <v>2373</v>
      </c>
      <c r="I155" s="8" t="s">
        <v>2241</v>
      </c>
      <c r="J155" s="8" t="s">
        <v>12008</v>
      </c>
      <c r="K155" t="s">
        <v>12162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8" t="s">
        <v>2369</v>
      </c>
      <c r="E156" s="8" t="s">
        <v>70</v>
      </c>
      <c r="F156" s="8"/>
      <c r="H156" s="8"/>
      <c r="I156" s="8" t="s">
        <v>2244</v>
      </c>
      <c r="J156" s="8" t="s">
        <v>12008</v>
      </c>
      <c r="K156" t="s">
        <v>12163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8" t="s">
        <v>470</v>
      </c>
      <c r="E157" s="8" t="s">
        <v>1274</v>
      </c>
      <c r="F157" s="8" t="s">
        <v>58</v>
      </c>
      <c r="H157" s="8" t="s">
        <v>1278</v>
      </c>
      <c r="I157" s="8" t="s">
        <v>2246</v>
      </c>
      <c r="J157" s="8" t="s">
        <v>12008</v>
      </c>
      <c r="K157" t="s">
        <v>12164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8" t="s">
        <v>470</v>
      </c>
      <c r="E158" s="8" t="s">
        <v>1274</v>
      </c>
      <c r="F158" s="8" t="s">
        <v>58</v>
      </c>
      <c r="H158" s="8" t="s">
        <v>1278</v>
      </c>
      <c r="I158" s="8" t="s">
        <v>2248</v>
      </c>
      <c r="J158" s="8" t="s">
        <v>12008</v>
      </c>
      <c r="K158" t="s">
        <v>12165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8" t="s">
        <v>470</v>
      </c>
      <c r="E159" s="8" t="s">
        <v>1274</v>
      </c>
      <c r="F159" s="8" t="s">
        <v>58</v>
      </c>
      <c r="H159" s="8" t="s">
        <v>1278</v>
      </c>
      <c r="I159" s="8" t="s">
        <v>2250</v>
      </c>
      <c r="J159" s="8" t="s">
        <v>12008</v>
      </c>
      <c r="K159" t="s">
        <v>12166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8" t="s">
        <v>4</v>
      </c>
      <c r="E160" s="8" t="s">
        <v>8</v>
      </c>
      <c r="F160" s="8"/>
      <c r="H160" s="8"/>
      <c r="I160" s="8" t="s">
        <v>2252</v>
      </c>
      <c r="J160" s="8" t="s">
        <v>12008</v>
      </c>
      <c r="K160" t="s">
        <v>12167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8" t="s">
        <v>470</v>
      </c>
      <c r="E161" s="8" t="s">
        <v>1274</v>
      </c>
      <c r="F161" s="8" t="s">
        <v>2360</v>
      </c>
      <c r="H161" s="8" t="s">
        <v>2365</v>
      </c>
      <c r="I161" s="8" t="s">
        <v>2254</v>
      </c>
      <c r="J161" s="8" t="s">
        <v>12008</v>
      </c>
      <c r="K161" t="s">
        <v>12168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8" t="s">
        <v>470</v>
      </c>
      <c r="E162" s="8" t="s">
        <v>1274</v>
      </c>
      <c r="F162" s="8" t="s">
        <v>2360</v>
      </c>
      <c r="H162" s="8" t="s">
        <v>2365</v>
      </c>
      <c r="I162" s="8" t="s">
        <v>2256</v>
      </c>
      <c r="J162" s="8" t="s">
        <v>12008</v>
      </c>
      <c r="K162" t="s">
        <v>12169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8" t="s">
        <v>470</v>
      </c>
      <c r="E163" s="8" t="s">
        <v>468</v>
      </c>
      <c r="F163" s="8" t="s">
        <v>58</v>
      </c>
      <c r="H163" s="8" t="s">
        <v>2374</v>
      </c>
      <c r="I163" s="8" t="s">
        <v>2258</v>
      </c>
      <c r="J163" s="8" t="s">
        <v>12008</v>
      </c>
      <c r="K163" t="s">
        <v>12170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8" t="s">
        <v>470</v>
      </c>
      <c r="E164" s="8" t="s">
        <v>468</v>
      </c>
      <c r="F164" s="8" t="s">
        <v>58</v>
      </c>
      <c r="H164" s="8" t="s">
        <v>2374</v>
      </c>
      <c r="I164" s="8" t="s">
        <v>2260</v>
      </c>
      <c r="J164" s="8" t="s">
        <v>12008</v>
      </c>
      <c r="K164" t="s">
        <v>12171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8" t="s">
        <v>470</v>
      </c>
      <c r="E165" s="8" t="s">
        <v>468</v>
      </c>
      <c r="F165" s="8" t="s">
        <v>58</v>
      </c>
      <c r="H165" s="8" t="s">
        <v>2374</v>
      </c>
      <c r="I165" s="8" t="s">
        <v>2262</v>
      </c>
      <c r="J165" s="8" t="s">
        <v>12008</v>
      </c>
      <c r="K165" t="s">
        <v>12172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8" t="s">
        <v>470</v>
      </c>
      <c r="E166" s="8" t="s">
        <v>468</v>
      </c>
      <c r="F166" s="8" t="s">
        <v>2379</v>
      </c>
      <c r="H166" s="8" t="s">
        <v>2374</v>
      </c>
      <c r="I166" s="8" t="s">
        <v>2264</v>
      </c>
      <c r="J166" s="8" t="s">
        <v>12008</v>
      </c>
      <c r="K166" t="s">
        <v>12173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8" t="s">
        <v>470</v>
      </c>
      <c r="E167" s="8" t="s">
        <v>1274</v>
      </c>
      <c r="F167" s="8" t="s">
        <v>58</v>
      </c>
      <c r="H167" s="8" t="s">
        <v>2365</v>
      </c>
      <c r="I167" s="8" t="s">
        <v>2266</v>
      </c>
      <c r="J167" s="8" t="s">
        <v>12008</v>
      </c>
      <c r="K167" t="s">
        <v>12174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8" t="s">
        <v>470</v>
      </c>
      <c r="E168" s="8" t="s">
        <v>1274</v>
      </c>
      <c r="F168" s="8" t="s">
        <v>58</v>
      </c>
      <c r="H168" s="8" t="s">
        <v>2365</v>
      </c>
      <c r="I168" s="8" t="s">
        <v>2268</v>
      </c>
      <c r="J168" s="8" t="s">
        <v>12008</v>
      </c>
      <c r="K168" t="s">
        <v>12175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8" t="s">
        <v>2380</v>
      </c>
      <c r="E169" s="8"/>
      <c r="F169" s="8"/>
      <c r="H169" s="8"/>
      <c r="I169" s="8" t="s">
        <v>2270</v>
      </c>
      <c r="J169" s="8" t="s">
        <v>12008</v>
      </c>
      <c r="K169" t="s">
        <v>12176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8" t="s">
        <v>2380</v>
      </c>
      <c r="E170" s="8"/>
      <c r="F170" s="8"/>
      <c r="H170" s="8"/>
      <c r="I170" s="8" t="s">
        <v>2272</v>
      </c>
      <c r="J170" s="8" t="s">
        <v>12008</v>
      </c>
      <c r="K170" t="s">
        <v>12177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8" t="s">
        <v>4</v>
      </c>
      <c r="E171" s="8" t="s">
        <v>8</v>
      </c>
      <c r="F171" s="8"/>
      <c r="H171" s="9" t="s">
        <v>2382</v>
      </c>
      <c r="I171" s="8" t="s">
        <v>2274</v>
      </c>
      <c r="J171" s="8" t="s">
        <v>12008</v>
      </c>
      <c r="K171" t="s">
        <v>12178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8" t="s">
        <v>470</v>
      </c>
      <c r="E172" s="8" t="s">
        <v>468</v>
      </c>
      <c r="F172" s="8" t="s">
        <v>58</v>
      </c>
      <c r="H172" s="8" t="s">
        <v>2370</v>
      </c>
      <c r="I172" s="8" t="s">
        <v>2276</v>
      </c>
      <c r="J172" s="8" t="s">
        <v>12008</v>
      </c>
      <c r="K172" t="s">
        <v>12179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8" t="s">
        <v>470</v>
      </c>
      <c r="E173" s="8" t="s">
        <v>468</v>
      </c>
      <c r="F173" s="8" t="s">
        <v>58</v>
      </c>
      <c r="H173" s="8" t="s">
        <v>2370</v>
      </c>
      <c r="I173" s="8" t="s">
        <v>2278</v>
      </c>
      <c r="J173" s="8" t="s">
        <v>12008</v>
      </c>
      <c r="K173" t="s">
        <v>12180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8" t="s">
        <v>470</v>
      </c>
      <c r="E174" s="8" t="s">
        <v>468</v>
      </c>
      <c r="F174" s="8" t="s">
        <v>58</v>
      </c>
      <c r="H174" s="8" t="s">
        <v>2370</v>
      </c>
      <c r="I174" s="8" t="s">
        <v>2280</v>
      </c>
      <c r="J174" s="8" t="s">
        <v>12008</v>
      </c>
      <c r="K174" t="s">
        <v>12181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8" t="s">
        <v>4</v>
      </c>
      <c r="E175" s="8" t="s">
        <v>8</v>
      </c>
      <c r="F175" s="8"/>
      <c r="H175" s="8" t="s">
        <v>2352</v>
      </c>
      <c r="I175" s="8" t="s">
        <v>2282</v>
      </c>
      <c r="J175" s="8" t="s">
        <v>12008</v>
      </c>
      <c r="K175" t="s">
        <v>12182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8" t="s">
        <v>4</v>
      </c>
      <c r="E176" s="8" t="s">
        <v>8</v>
      </c>
      <c r="F176" s="8"/>
      <c r="H176" s="9" t="s">
        <v>2382</v>
      </c>
      <c r="I176" s="8" t="s">
        <v>2284</v>
      </c>
      <c r="J176" s="8" t="s">
        <v>12008</v>
      </c>
      <c r="K176" t="s">
        <v>12183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8" t="s">
        <v>470</v>
      </c>
      <c r="E177" s="8" t="s">
        <v>1274</v>
      </c>
      <c r="F177" s="8" t="s">
        <v>58</v>
      </c>
      <c r="H177" s="8" t="s">
        <v>2374</v>
      </c>
      <c r="I177" s="8" t="s">
        <v>2286</v>
      </c>
      <c r="J177" s="8" t="s">
        <v>12008</v>
      </c>
      <c r="K177" t="s">
        <v>12184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8" t="s">
        <v>2381</v>
      </c>
      <c r="E178" s="8" t="s">
        <v>1274</v>
      </c>
      <c r="F178" s="8" t="s">
        <v>58</v>
      </c>
      <c r="H178" s="8" t="s">
        <v>2374</v>
      </c>
      <c r="I178" s="8" t="s">
        <v>2288</v>
      </c>
      <c r="J178" s="8" t="s">
        <v>12008</v>
      </c>
      <c r="K178" t="s">
        <v>12185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8" t="s">
        <v>470</v>
      </c>
      <c r="E179" s="8" t="s">
        <v>1274</v>
      </c>
      <c r="F179" s="8" t="s">
        <v>58</v>
      </c>
      <c r="H179" s="8" t="s">
        <v>2370</v>
      </c>
      <c r="I179" s="8" t="s">
        <v>2290</v>
      </c>
      <c r="J179" s="8" t="s">
        <v>12008</v>
      </c>
      <c r="K179" t="s">
        <v>12186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8" t="s">
        <v>2381</v>
      </c>
      <c r="E180" s="8" t="s">
        <v>1274</v>
      </c>
      <c r="F180" s="8" t="s">
        <v>58</v>
      </c>
      <c r="H180" s="8" t="s">
        <v>2370</v>
      </c>
      <c r="I180" s="8" t="s">
        <v>2292</v>
      </c>
      <c r="J180" s="8" t="s">
        <v>12008</v>
      </c>
      <c r="K180" t="s">
        <v>12187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8" t="s">
        <v>2381</v>
      </c>
      <c r="E181" s="8" t="s">
        <v>1274</v>
      </c>
      <c r="F181" s="8" t="s">
        <v>58</v>
      </c>
      <c r="H181" s="8" t="s">
        <v>2370</v>
      </c>
      <c r="I181" s="8" t="s">
        <v>2294</v>
      </c>
      <c r="J181" s="8" t="s">
        <v>12008</v>
      </c>
      <c r="K181" t="s">
        <v>12188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8" t="s">
        <v>2381</v>
      </c>
      <c r="E182" s="8" t="s">
        <v>1274</v>
      </c>
      <c r="F182" s="8" t="s">
        <v>58</v>
      </c>
      <c r="H182" s="8" t="s">
        <v>2370</v>
      </c>
      <c r="I182" s="8" t="s">
        <v>2296</v>
      </c>
      <c r="J182" s="8" t="s">
        <v>12008</v>
      </c>
      <c r="K182" t="s">
        <v>12189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8" t="s">
        <v>470</v>
      </c>
      <c r="E183" s="8" t="s">
        <v>1274</v>
      </c>
      <c r="F183" s="8" t="s">
        <v>58</v>
      </c>
      <c r="H183" s="8" t="s">
        <v>1278</v>
      </c>
      <c r="I183" s="8" t="s">
        <v>2298</v>
      </c>
      <c r="J183" s="8" t="s">
        <v>12008</v>
      </c>
      <c r="K183" t="s">
        <v>12190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8" t="s">
        <v>470</v>
      </c>
      <c r="E184" s="8" t="s">
        <v>1274</v>
      </c>
      <c r="F184" s="8" t="s">
        <v>58</v>
      </c>
      <c r="H184" s="8" t="s">
        <v>1278</v>
      </c>
      <c r="I184" s="8" t="s">
        <v>2300</v>
      </c>
      <c r="J184" s="8" t="s">
        <v>12008</v>
      </c>
      <c r="K184" t="s">
        <v>12191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8" t="s">
        <v>4</v>
      </c>
      <c r="E185" s="8" t="s">
        <v>8</v>
      </c>
      <c r="F185" s="8"/>
      <c r="H185" s="8"/>
      <c r="I185" s="8" t="s">
        <v>2302</v>
      </c>
      <c r="J185" s="8" t="s">
        <v>12008</v>
      </c>
      <c r="K185" t="s">
        <v>12192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8" t="s">
        <v>4</v>
      </c>
      <c r="E186" s="8" t="s">
        <v>8</v>
      </c>
      <c r="F186" s="8"/>
      <c r="H186" s="8"/>
      <c r="I186" s="8" t="s">
        <v>2304</v>
      </c>
      <c r="J186" s="8" t="s">
        <v>12008</v>
      </c>
      <c r="K186" t="s">
        <v>12193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8" t="s">
        <v>1607</v>
      </c>
      <c r="E187" s="8"/>
      <c r="F187" s="8"/>
      <c r="H187" s="8"/>
      <c r="I187" s="8" t="s">
        <v>2306</v>
      </c>
      <c r="J187" s="8" t="s">
        <v>12008</v>
      </c>
      <c r="K187" t="s">
        <v>12194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8" t="s">
        <v>4</v>
      </c>
      <c r="E188" s="8" t="s">
        <v>8</v>
      </c>
      <c r="F188" s="8"/>
      <c r="H188" s="8"/>
      <c r="I188" s="8" t="s">
        <v>2308</v>
      </c>
      <c r="J188" s="8" t="s">
        <v>12008</v>
      </c>
      <c r="K188" t="s">
        <v>12195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8" t="s">
        <v>1607</v>
      </c>
      <c r="E189" s="8"/>
      <c r="F189" s="8"/>
      <c r="H189" s="8"/>
      <c r="I189" s="8" t="s">
        <v>2310</v>
      </c>
      <c r="J189" s="8" t="s">
        <v>12008</v>
      </c>
      <c r="K189" t="s">
        <v>12196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8" t="s">
        <v>3388</v>
      </c>
      <c r="E190" s="8" t="s">
        <v>86</v>
      </c>
      <c r="F190" s="8" t="s">
        <v>165</v>
      </c>
      <c r="H190" s="8" t="s">
        <v>3389</v>
      </c>
      <c r="I190" s="8" t="s">
        <v>3092</v>
      </c>
      <c r="J190" s="8" t="s">
        <v>12008</v>
      </c>
      <c r="K190" t="s">
        <v>12197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8" t="s">
        <v>3390</v>
      </c>
      <c r="E191" s="8" t="s">
        <v>86</v>
      </c>
      <c r="F191" s="8"/>
      <c r="H191" s="8"/>
      <c r="I191" s="8" t="s">
        <v>3094</v>
      </c>
      <c r="J191" s="8" t="s">
        <v>12008</v>
      </c>
      <c r="K191" t="s">
        <v>12198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8" t="s">
        <v>3388</v>
      </c>
      <c r="E192" s="8" t="s">
        <v>86</v>
      </c>
      <c r="F192" s="8" t="s">
        <v>165</v>
      </c>
      <c r="H192" s="8" t="s">
        <v>1272</v>
      </c>
      <c r="I192" s="8" t="s">
        <v>3096</v>
      </c>
      <c r="J192" s="8" t="s">
        <v>12008</v>
      </c>
      <c r="K192" t="s">
        <v>12199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8" t="s">
        <v>1273</v>
      </c>
      <c r="E193" s="8" t="s">
        <v>70</v>
      </c>
      <c r="F193" s="8" t="s">
        <v>1276</v>
      </c>
      <c r="H193" s="8"/>
      <c r="I193" s="8" t="s">
        <v>3098</v>
      </c>
      <c r="J193" s="8" t="s">
        <v>12008</v>
      </c>
      <c r="K193" t="s">
        <v>12200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8" t="s">
        <v>3391</v>
      </c>
      <c r="E194" s="8" t="s">
        <v>70</v>
      </c>
      <c r="F194" s="8" t="s">
        <v>58</v>
      </c>
      <c r="H194" s="8"/>
      <c r="I194" s="8" t="s">
        <v>3100</v>
      </c>
      <c r="J194" s="8" t="s">
        <v>12008</v>
      </c>
      <c r="K194" t="s">
        <v>12201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8" t="s">
        <v>587</v>
      </c>
      <c r="E195" s="8" t="s">
        <v>70</v>
      </c>
      <c r="F195" s="8"/>
      <c r="H195" s="8"/>
      <c r="I195" s="8" t="s">
        <v>3102</v>
      </c>
      <c r="J195" s="8" t="s">
        <v>12008</v>
      </c>
      <c r="K195" t="s">
        <v>12202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8" t="s">
        <v>4</v>
      </c>
      <c r="E196" s="8" t="s">
        <v>8</v>
      </c>
      <c r="F196" s="8"/>
      <c r="H196" s="8"/>
      <c r="I196" s="8" t="s">
        <v>3104</v>
      </c>
      <c r="J196" s="8" t="s">
        <v>12008</v>
      </c>
      <c r="K196" t="s">
        <v>12203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8" t="s">
        <v>3392</v>
      </c>
      <c r="E197" s="8" t="s">
        <v>3393</v>
      </c>
      <c r="F197" s="8" t="s">
        <v>58</v>
      </c>
      <c r="H197" s="8" t="s">
        <v>3394</v>
      </c>
      <c r="I197" s="8" t="s">
        <v>3106</v>
      </c>
      <c r="J197" s="8" t="s">
        <v>12008</v>
      </c>
      <c r="K197" t="s">
        <v>12204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8" t="s">
        <v>4</v>
      </c>
      <c r="E198" s="8" t="s">
        <v>8</v>
      </c>
      <c r="F198" s="8"/>
      <c r="H198" s="8"/>
      <c r="I198" s="8" t="s">
        <v>3108</v>
      </c>
      <c r="J198" s="8" t="s">
        <v>12008</v>
      </c>
      <c r="K198" t="s">
        <v>12205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8" t="s">
        <v>4</v>
      </c>
      <c r="E199" s="8" t="s">
        <v>8</v>
      </c>
      <c r="F199" s="8"/>
      <c r="H199" s="8" t="s">
        <v>2352</v>
      </c>
      <c r="I199" s="8" t="s">
        <v>3110</v>
      </c>
      <c r="J199" s="8" t="s">
        <v>12008</v>
      </c>
      <c r="K199" t="s">
        <v>12206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8" t="s">
        <v>4</v>
      </c>
      <c r="E200" s="8" t="s">
        <v>8</v>
      </c>
      <c r="F200" s="8"/>
      <c r="H200" s="8" t="s">
        <v>2352</v>
      </c>
      <c r="I200" s="8" t="s">
        <v>3112</v>
      </c>
      <c r="J200" s="8" t="s">
        <v>12008</v>
      </c>
      <c r="K200" t="s">
        <v>12207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8" t="s">
        <v>3388</v>
      </c>
      <c r="E201" s="8" t="s">
        <v>86</v>
      </c>
      <c r="F201" s="8" t="s">
        <v>465</v>
      </c>
      <c r="H201" s="8" t="s">
        <v>1272</v>
      </c>
      <c r="I201" s="8" t="s">
        <v>3114</v>
      </c>
      <c r="J201" s="8" t="s">
        <v>12008</v>
      </c>
      <c r="K201" t="s">
        <v>12208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8" t="s">
        <v>1273</v>
      </c>
      <c r="E202" s="8" t="s">
        <v>70</v>
      </c>
      <c r="F202" s="8" t="s">
        <v>1276</v>
      </c>
      <c r="H202" s="8"/>
      <c r="I202" s="8" t="s">
        <v>3116</v>
      </c>
      <c r="J202" s="8" t="s">
        <v>12008</v>
      </c>
      <c r="K202" t="s">
        <v>12209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8" t="s">
        <v>4</v>
      </c>
      <c r="E203" s="8" t="s">
        <v>70</v>
      </c>
      <c r="F203" s="8"/>
      <c r="H203" s="8" t="s">
        <v>3395</v>
      </c>
      <c r="I203" s="8" t="s">
        <v>3118</v>
      </c>
      <c r="J203" s="8" t="s">
        <v>12008</v>
      </c>
      <c r="K203" t="s">
        <v>12210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8" t="s">
        <v>470</v>
      </c>
      <c r="E204" s="8" t="s">
        <v>1274</v>
      </c>
      <c r="F204" s="8" t="s">
        <v>58</v>
      </c>
      <c r="H204" s="8" t="s">
        <v>1272</v>
      </c>
      <c r="I204" s="8" t="s">
        <v>3120</v>
      </c>
      <c r="J204" s="8" t="s">
        <v>12008</v>
      </c>
      <c r="K204" t="s">
        <v>12211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8" t="s">
        <v>470</v>
      </c>
      <c r="E205" s="8" t="s">
        <v>1274</v>
      </c>
      <c r="F205" s="8" t="s">
        <v>58</v>
      </c>
      <c r="H205" s="8" t="s">
        <v>1272</v>
      </c>
      <c r="I205" s="8" t="s">
        <v>3122</v>
      </c>
      <c r="J205" s="8" t="s">
        <v>12008</v>
      </c>
      <c r="K205" t="s">
        <v>12212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8" t="s">
        <v>227</v>
      </c>
      <c r="E206" s="8" t="s">
        <v>70</v>
      </c>
      <c r="F206" s="8" t="s">
        <v>3396</v>
      </c>
      <c r="H206" s="8" t="s">
        <v>1278</v>
      </c>
      <c r="I206" s="8" t="s">
        <v>3124</v>
      </c>
      <c r="J206" s="8" t="s">
        <v>12008</v>
      </c>
      <c r="K206" t="s">
        <v>12213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8" t="s">
        <v>227</v>
      </c>
      <c r="E207" s="8" t="s">
        <v>70</v>
      </c>
      <c r="F207" s="8" t="s">
        <v>3396</v>
      </c>
      <c r="H207" s="8" t="s">
        <v>2352</v>
      </c>
      <c r="I207" s="8" t="s">
        <v>3126</v>
      </c>
      <c r="J207" s="8" t="s">
        <v>12008</v>
      </c>
      <c r="K207" t="s">
        <v>12214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8" t="s">
        <v>227</v>
      </c>
      <c r="E208" s="8" t="s">
        <v>70</v>
      </c>
      <c r="F208" s="8" t="s">
        <v>3396</v>
      </c>
      <c r="H208" s="8" t="s">
        <v>1278</v>
      </c>
      <c r="I208" s="8" t="s">
        <v>3128</v>
      </c>
      <c r="J208" s="8" t="s">
        <v>12008</v>
      </c>
      <c r="K208" t="s">
        <v>12215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8" t="s">
        <v>227</v>
      </c>
      <c r="E209" s="8" t="s">
        <v>70</v>
      </c>
      <c r="F209" s="8" t="s">
        <v>3396</v>
      </c>
      <c r="H209" s="8" t="s">
        <v>2370</v>
      </c>
      <c r="I209" s="8" t="s">
        <v>3130</v>
      </c>
      <c r="J209" s="8" t="s">
        <v>12008</v>
      </c>
      <c r="K209" t="s">
        <v>12216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8" t="s">
        <v>226</v>
      </c>
      <c r="E210" s="8" t="s">
        <v>70</v>
      </c>
      <c r="F210" s="8" t="s">
        <v>58</v>
      </c>
      <c r="H210" s="8" t="s">
        <v>1287</v>
      </c>
      <c r="I210" s="8" t="s">
        <v>3132</v>
      </c>
      <c r="J210" s="8" t="s">
        <v>12008</v>
      </c>
      <c r="K210" t="s">
        <v>12217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8" t="s">
        <v>226</v>
      </c>
      <c r="E211" s="8" t="s">
        <v>70</v>
      </c>
      <c r="F211" s="8" t="s">
        <v>58</v>
      </c>
      <c r="H211" s="8" t="s">
        <v>2352</v>
      </c>
      <c r="I211" s="8" t="s">
        <v>3135</v>
      </c>
      <c r="J211" s="8" t="s">
        <v>12008</v>
      </c>
      <c r="K211" t="s">
        <v>12218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8" t="s">
        <v>226</v>
      </c>
      <c r="E212" s="8" t="s">
        <v>70</v>
      </c>
      <c r="F212" s="8" t="s">
        <v>58</v>
      </c>
      <c r="H212" s="8" t="s">
        <v>2352</v>
      </c>
      <c r="I212" s="8" t="s">
        <v>3138</v>
      </c>
      <c r="J212" s="8" t="s">
        <v>12008</v>
      </c>
      <c r="K212" t="s">
        <v>12219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8" t="s">
        <v>226</v>
      </c>
      <c r="E213" s="8" t="s">
        <v>70</v>
      </c>
      <c r="F213" s="8" t="s">
        <v>58</v>
      </c>
      <c r="H213" s="8" t="s">
        <v>2352</v>
      </c>
      <c r="I213" s="8" t="s">
        <v>3141</v>
      </c>
      <c r="J213" s="8" t="s">
        <v>12008</v>
      </c>
      <c r="K213" t="s">
        <v>12220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8" t="s">
        <v>226</v>
      </c>
      <c r="E214" s="8" t="s">
        <v>70</v>
      </c>
      <c r="F214" s="8" t="s">
        <v>58</v>
      </c>
      <c r="H214" s="8" t="s">
        <v>2352</v>
      </c>
      <c r="I214" s="8" t="s">
        <v>3144</v>
      </c>
      <c r="J214" s="8" t="s">
        <v>12008</v>
      </c>
      <c r="K214" t="s">
        <v>12221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8" t="s">
        <v>226</v>
      </c>
      <c r="E215" s="8" t="s">
        <v>70</v>
      </c>
      <c r="F215" s="8" t="s">
        <v>58</v>
      </c>
      <c r="H215" s="8" t="s">
        <v>2352</v>
      </c>
      <c r="I215" s="8" t="s">
        <v>3147</v>
      </c>
      <c r="J215" s="8" t="s">
        <v>12008</v>
      </c>
      <c r="K215" t="s">
        <v>12222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8" t="s">
        <v>226</v>
      </c>
      <c r="E216" s="8" t="s">
        <v>70</v>
      </c>
      <c r="F216" s="8" t="s">
        <v>58</v>
      </c>
      <c r="H216" s="8" t="s">
        <v>2352</v>
      </c>
      <c r="I216" s="8" t="s">
        <v>3150</v>
      </c>
      <c r="J216" s="8" t="s">
        <v>12008</v>
      </c>
      <c r="K216" t="s">
        <v>12223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8" t="s">
        <v>226</v>
      </c>
      <c r="E217" s="8" t="s">
        <v>70</v>
      </c>
      <c r="F217" s="8" t="s">
        <v>58</v>
      </c>
      <c r="H217" s="8" t="s">
        <v>2352</v>
      </c>
      <c r="I217" s="8" t="s">
        <v>3153</v>
      </c>
      <c r="J217" s="8" t="s">
        <v>12008</v>
      </c>
      <c r="K217" t="s">
        <v>12224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8" t="s">
        <v>3397</v>
      </c>
      <c r="E218" s="8" t="s">
        <v>70</v>
      </c>
      <c r="F218" s="8" t="s">
        <v>58</v>
      </c>
      <c r="H218" s="8"/>
      <c r="I218" s="8" t="s">
        <v>3156</v>
      </c>
      <c r="J218" s="8" t="s">
        <v>12008</v>
      </c>
      <c r="K218" t="s">
        <v>12225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8" t="s">
        <v>226</v>
      </c>
      <c r="E219" s="8" t="s">
        <v>70</v>
      </c>
      <c r="F219" s="8" t="s">
        <v>3398</v>
      </c>
      <c r="H219" s="8" t="s">
        <v>1285</v>
      </c>
      <c r="I219" s="8" t="s">
        <v>3158</v>
      </c>
      <c r="J219" s="8" t="s">
        <v>12008</v>
      </c>
      <c r="K219" t="s">
        <v>12226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8" t="s">
        <v>3400</v>
      </c>
      <c r="E220" s="8" t="s">
        <v>70</v>
      </c>
      <c r="F220" s="8" t="s">
        <v>3398</v>
      </c>
      <c r="H220" s="8"/>
      <c r="I220" s="8" t="s">
        <v>3161</v>
      </c>
      <c r="J220" s="8" t="s">
        <v>12008</v>
      </c>
      <c r="K220" t="s">
        <v>12227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8" t="s">
        <v>1273</v>
      </c>
      <c r="E221" s="8" t="s">
        <v>3357</v>
      </c>
      <c r="F221" s="8"/>
      <c r="H221" s="8"/>
      <c r="I221" s="8" t="s">
        <v>3164</v>
      </c>
      <c r="J221" s="8" t="s">
        <v>12008</v>
      </c>
      <c r="K221" t="s">
        <v>12228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8" t="s">
        <v>226</v>
      </c>
      <c r="E222" s="8" t="s">
        <v>3357</v>
      </c>
      <c r="F222" s="8" t="s">
        <v>58</v>
      </c>
      <c r="H222" s="8" t="s">
        <v>1287</v>
      </c>
      <c r="I222" s="8" t="s">
        <v>3166</v>
      </c>
      <c r="J222" s="8" t="s">
        <v>12008</v>
      </c>
      <c r="K222" t="s">
        <v>12229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8" t="s">
        <v>226</v>
      </c>
      <c r="E223" s="8" t="s">
        <v>3357</v>
      </c>
      <c r="F223" s="8" t="s">
        <v>58</v>
      </c>
      <c r="H223" s="8" t="s">
        <v>2352</v>
      </c>
      <c r="I223" s="8" t="s">
        <v>3169</v>
      </c>
      <c r="J223" s="8" t="s">
        <v>12008</v>
      </c>
      <c r="K223" t="s">
        <v>12230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8" t="s">
        <v>226</v>
      </c>
      <c r="E224" s="8" t="s">
        <v>3357</v>
      </c>
      <c r="F224" s="8" t="s">
        <v>58</v>
      </c>
      <c r="H224" s="8" t="s">
        <v>2352</v>
      </c>
      <c r="I224" s="8" t="s">
        <v>3172</v>
      </c>
      <c r="J224" s="8" t="s">
        <v>12008</v>
      </c>
      <c r="K224" t="s">
        <v>12231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8" t="s">
        <v>226</v>
      </c>
      <c r="E225" s="8" t="s">
        <v>3357</v>
      </c>
      <c r="F225" s="8" t="s">
        <v>58</v>
      </c>
      <c r="H225" s="8" t="s">
        <v>2352</v>
      </c>
      <c r="I225" s="8" t="s">
        <v>3175</v>
      </c>
      <c r="J225" s="8" t="s">
        <v>12008</v>
      </c>
      <c r="K225" t="s">
        <v>12232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8" t="s">
        <v>226</v>
      </c>
      <c r="E226" s="8" t="s">
        <v>3357</v>
      </c>
      <c r="F226" s="8" t="s">
        <v>58</v>
      </c>
      <c r="H226" s="8" t="s">
        <v>2352</v>
      </c>
      <c r="I226" s="8" t="s">
        <v>3178</v>
      </c>
      <c r="J226" s="8" t="s">
        <v>12008</v>
      </c>
      <c r="K226" t="s">
        <v>12233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8" t="s">
        <v>226</v>
      </c>
      <c r="E227" s="8" t="s">
        <v>3357</v>
      </c>
      <c r="F227" s="8" t="s">
        <v>58</v>
      </c>
      <c r="H227" s="8" t="s">
        <v>2352</v>
      </c>
      <c r="I227" s="8" t="s">
        <v>3181</v>
      </c>
      <c r="J227" s="8" t="s">
        <v>12008</v>
      </c>
      <c r="K227" t="s">
        <v>12234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8" t="s">
        <v>226</v>
      </c>
      <c r="E228" s="8" t="s">
        <v>3357</v>
      </c>
      <c r="F228" s="8" t="s">
        <v>58</v>
      </c>
      <c r="H228" s="8" t="s">
        <v>2352</v>
      </c>
      <c r="I228" s="8" t="s">
        <v>3184</v>
      </c>
      <c r="J228" s="8" t="s">
        <v>12008</v>
      </c>
      <c r="K228" t="s">
        <v>12235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8" t="s">
        <v>1616</v>
      </c>
      <c r="E229" s="8" t="s">
        <v>3357</v>
      </c>
      <c r="F229" s="8"/>
      <c r="H229" s="8" t="s">
        <v>3401</v>
      </c>
      <c r="I229" s="8" t="s">
        <v>3187</v>
      </c>
      <c r="J229" s="8" t="s">
        <v>12008</v>
      </c>
      <c r="K229" t="s">
        <v>12236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8" t="s">
        <v>226</v>
      </c>
      <c r="E230" s="8" t="s">
        <v>3357</v>
      </c>
      <c r="F230" s="8" t="s">
        <v>58</v>
      </c>
      <c r="H230" s="8"/>
      <c r="I230" s="8" t="s">
        <v>3189</v>
      </c>
      <c r="J230" s="8" t="s">
        <v>12008</v>
      </c>
      <c r="K230" t="s">
        <v>12237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8" t="s">
        <v>226</v>
      </c>
      <c r="E231" s="8" t="s">
        <v>3357</v>
      </c>
      <c r="F231" s="8" t="s">
        <v>58</v>
      </c>
      <c r="H231" s="8" t="s">
        <v>2352</v>
      </c>
      <c r="I231" s="8" t="s">
        <v>3192</v>
      </c>
      <c r="J231" s="8" t="s">
        <v>12008</v>
      </c>
      <c r="K231" t="s">
        <v>12238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8" t="s">
        <v>226</v>
      </c>
      <c r="E232" s="8" t="s">
        <v>3357</v>
      </c>
      <c r="F232" s="8" t="s">
        <v>58</v>
      </c>
      <c r="H232" s="8" t="s">
        <v>2352</v>
      </c>
      <c r="I232" s="8" t="s">
        <v>3195</v>
      </c>
      <c r="J232" s="8" t="s">
        <v>12008</v>
      </c>
      <c r="K232" t="s">
        <v>12239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8" t="s">
        <v>3397</v>
      </c>
      <c r="E233" s="8" t="s">
        <v>3357</v>
      </c>
      <c r="F233" s="8" t="s">
        <v>58</v>
      </c>
      <c r="H233" s="8"/>
      <c r="I233" s="8" t="s">
        <v>3198</v>
      </c>
      <c r="J233" s="8" t="s">
        <v>12008</v>
      </c>
      <c r="K233" t="s">
        <v>12240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8" t="s">
        <v>1616</v>
      </c>
      <c r="E234" s="8" t="s">
        <v>3357</v>
      </c>
      <c r="F234" s="8"/>
      <c r="H234" s="8" t="s">
        <v>3402</v>
      </c>
      <c r="I234" s="8" t="s">
        <v>3200</v>
      </c>
      <c r="J234" s="8" t="s">
        <v>12008</v>
      </c>
      <c r="K234" t="s">
        <v>12241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8" t="s">
        <v>226</v>
      </c>
      <c r="E235" s="8" t="s">
        <v>3357</v>
      </c>
      <c r="F235" s="8" t="s">
        <v>58</v>
      </c>
      <c r="H235" s="8"/>
      <c r="I235" s="8" t="s">
        <v>3202</v>
      </c>
      <c r="J235" s="8" t="s">
        <v>12008</v>
      </c>
      <c r="K235" t="s">
        <v>12242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8" t="s">
        <v>226</v>
      </c>
      <c r="E236" s="8" t="s">
        <v>3357</v>
      </c>
      <c r="F236" s="8" t="s">
        <v>58</v>
      </c>
      <c r="H236" s="8" t="s">
        <v>2352</v>
      </c>
      <c r="I236" s="8" t="s">
        <v>3205</v>
      </c>
      <c r="J236" s="8" t="s">
        <v>12008</v>
      </c>
      <c r="K236" t="s">
        <v>12243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8" t="s">
        <v>226</v>
      </c>
      <c r="E237" s="8" t="s">
        <v>3357</v>
      </c>
      <c r="F237" s="8" t="s">
        <v>58</v>
      </c>
      <c r="H237" s="8" t="s">
        <v>2352</v>
      </c>
      <c r="I237" s="8" t="s">
        <v>3208</v>
      </c>
      <c r="J237" s="8" t="s">
        <v>12008</v>
      </c>
      <c r="K237" t="s">
        <v>12244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8" t="s">
        <v>226</v>
      </c>
      <c r="E238" s="8" t="s">
        <v>3357</v>
      </c>
      <c r="F238" s="8" t="s">
        <v>58</v>
      </c>
      <c r="H238" s="8" t="s">
        <v>2352</v>
      </c>
      <c r="I238" s="8" t="s">
        <v>3211</v>
      </c>
      <c r="J238" s="8" t="s">
        <v>12008</v>
      </c>
      <c r="K238" t="s">
        <v>12245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8" t="s">
        <v>3400</v>
      </c>
      <c r="E239" s="8" t="s">
        <v>3357</v>
      </c>
      <c r="F239" s="8" t="s">
        <v>58</v>
      </c>
      <c r="H239" s="8"/>
      <c r="I239" s="8" t="s">
        <v>3214</v>
      </c>
      <c r="J239" s="8" t="s">
        <v>12008</v>
      </c>
      <c r="K239" t="s">
        <v>12246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8" t="s">
        <v>4</v>
      </c>
      <c r="E240" s="8" t="s">
        <v>86</v>
      </c>
      <c r="F240" s="8" t="s">
        <v>3403</v>
      </c>
      <c r="H240" s="8" t="s">
        <v>3404</v>
      </c>
      <c r="I240" s="8" t="s">
        <v>3216</v>
      </c>
      <c r="J240" s="8" t="s">
        <v>12008</v>
      </c>
      <c r="K240" t="s">
        <v>12247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8" t="s">
        <v>226</v>
      </c>
      <c r="E241" s="8" t="s">
        <v>86</v>
      </c>
      <c r="F241" s="8" t="s">
        <v>3405</v>
      </c>
      <c r="H241" s="8"/>
      <c r="I241" s="8" t="s">
        <v>3218</v>
      </c>
      <c r="J241" s="8" t="s">
        <v>12008</v>
      </c>
      <c r="K241" t="s">
        <v>12248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8" t="s">
        <v>3406</v>
      </c>
      <c r="E242" s="8" t="s">
        <v>86</v>
      </c>
      <c r="F242" s="8" t="s">
        <v>3405</v>
      </c>
      <c r="H242" s="8" t="s">
        <v>3401</v>
      </c>
      <c r="I242" s="8" t="s">
        <v>3220</v>
      </c>
      <c r="J242" s="8" t="s">
        <v>12008</v>
      </c>
      <c r="K242" t="s">
        <v>12249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8" t="s">
        <v>2459</v>
      </c>
      <c r="E243" s="8" t="s">
        <v>86</v>
      </c>
      <c r="F243" s="8" t="s">
        <v>58</v>
      </c>
      <c r="H243" s="8" t="s">
        <v>1287</v>
      </c>
      <c r="I243" s="8" t="s">
        <v>3222</v>
      </c>
      <c r="J243" s="8" t="s">
        <v>12008</v>
      </c>
      <c r="K243" t="s">
        <v>12250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8" t="s">
        <v>887</v>
      </c>
      <c r="E244" s="8" t="s">
        <v>86</v>
      </c>
      <c r="F244" s="8" t="s">
        <v>58</v>
      </c>
      <c r="H244" s="8" t="s">
        <v>2370</v>
      </c>
      <c r="I244" s="8" t="s">
        <v>3224</v>
      </c>
      <c r="J244" s="8" t="s">
        <v>12008</v>
      </c>
      <c r="K244" t="s">
        <v>12251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8" t="s">
        <v>470</v>
      </c>
      <c r="E245" s="8" t="s">
        <v>1274</v>
      </c>
      <c r="F245" s="8" t="s">
        <v>58</v>
      </c>
      <c r="H245" s="8" t="s">
        <v>2374</v>
      </c>
      <c r="I245" s="8" t="s">
        <v>3226</v>
      </c>
      <c r="J245" s="8" t="s">
        <v>12008</v>
      </c>
      <c r="K245" t="s">
        <v>12252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8" t="s">
        <v>470</v>
      </c>
      <c r="E246" s="8" t="s">
        <v>1274</v>
      </c>
      <c r="F246" s="8" t="s">
        <v>58</v>
      </c>
      <c r="H246" s="8" t="s">
        <v>2374</v>
      </c>
      <c r="I246" s="8" t="s">
        <v>3228</v>
      </c>
      <c r="J246" s="8" t="s">
        <v>12008</v>
      </c>
      <c r="K246" t="s">
        <v>12253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8" t="s">
        <v>470</v>
      </c>
      <c r="E247" s="8" t="s">
        <v>1274</v>
      </c>
      <c r="F247" s="8" t="s">
        <v>58</v>
      </c>
      <c r="H247" s="8" t="s">
        <v>2374</v>
      </c>
      <c r="I247" s="8" t="s">
        <v>3230</v>
      </c>
      <c r="J247" s="8" t="s">
        <v>12008</v>
      </c>
      <c r="K247" t="s">
        <v>12254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8" t="s">
        <v>470</v>
      </c>
      <c r="E248" s="8" t="s">
        <v>1274</v>
      </c>
      <c r="F248" s="8" t="s">
        <v>58</v>
      </c>
      <c r="H248" s="8" t="s">
        <v>2374</v>
      </c>
      <c r="I248" s="8" t="s">
        <v>3232</v>
      </c>
      <c r="J248" s="8" t="s">
        <v>12008</v>
      </c>
      <c r="K248" t="s">
        <v>12255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8" t="s">
        <v>470</v>
      </c>
      <c r="E249" s="8" t="s">
        <v>1274</v>
      </c>
      <c r="F249" s="8" t="s">
        <v>58</v>
      </c>
      <c r="H249" s="8" t="s">
        <v>2374</v>
      </c>
      <c r="I249" s="8" t="s">
        <v>3234</v>
      </c>
      <c r="J249" s="8" t="s">
        <v>12008</v>
      </c>
      <c r="K249" t="s">
        <v>12256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8" t="s">
        <v>470</v>
      </c>
      <c r="E250" s="8" t="s">
        <v>1274</v>
      </c>
      <c r="F250" s="8" t="s">
        <v>58</v>
      </c>
      <c r="H250" s="8" t="s">
        <v>2374</v>
      </c>
      <c r="I250" s="8" t="s">
        <v>3236</v>
      </c>
      <c r="J250" s="8" t="s">
        <v>12008</v>
      </c>
      <c r="K250" t="s">
        <v>12257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8" t="s">
        <v>470</v>
      </c>
      <c r="E251" s="8" t="s">
        <v>1274</v>
      </c>
      <c r="F251" s="8" t="s">
        <v>58</v>
      </c>
      <c r="H251" s="8" t="s">
        <v>2374</v>
      </c>
      <c r="I251" s="8" t="s">
        <v>3238</v>
      </c>
      <c r="J251" s="8" t="s">
        <v>12008</v>
      </c>
      <c r="K251" t="s">
        <v>12258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8" t="s">
        <v>470</v>
      </c>
      <c r="E252" s="8" t="s">
        <v>1274</v>
      </c>
      <c r="F252" s="8" t="s">
        <v>58</v>
      </c>
      <c r="H252" s="8" t="s">
        <v>2374</v>
      </c>
      <c r="I252" s="8" t="s">
        <v>3240</v>
      </c>
      <c r="J252" s="8" t="s">
        <v>12008</v>
      </c>
      <c r="K252" t="s">
        <v>12259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8" t="s">
        <v>470</v>
      </c>
      <c r="E253" s="8" t="s">
        <v>1274</v>
      </c>
      <c r="F253" s="8" t="s">
        <v>58</v>
      </c>
      <c r="H253" s="8" t="s">
        <v>2374</v>
      </c>
      <c r="I253" s="8" t="s">
        <v>3242</v>
      </c>
      <c r="J253" s="8" t="s">
        <v>12008</v>
      </c>
      <c r="K253" t="s">
        <v>12260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8" t="s">
        <v>470</v>
      </c>
      <c r="E254" s="8" t="s">
        <v>1274</v>
      </c>
      <c r="F254" s="8" t="s">
        <v>58</v>
      </c>
      <c r="H254" s="8" t="s">
        <v>2374</v>
      </c>
      <c r="I254" s="8" t="s">
        <v>3244</v>
      </c>
      <c r="J254" s="8" t="s">
        <v>12008</v>
      </c>
      <c r="K254" t="s">
        <v>12261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8" t="s">
        <v>470</v>
      </c>
      <c r="E255" s="8" t="s">
        <v>1274</v>
      </c>
      <c r="F255" s="8" t="s">
        <v>58</v>
      </c>
      <c r="H255" s="8" t="s">
        <v>2374</v>
      </c>
      <c r="I255" s="8" t="s">
        <v>3246</v>
      </c>
      <c r="J255" s="8" t="s">
        <v>12008</v>
      </c>
      <c r="K255" t="s">
        <v>12262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8" t="s">
        <v>470</v>
      </c>
      <c r="E256" s="8" t="s">
        <v>1274</v>
      </c>
      <c r="F256" s="8" t="s">
        <v>892</v>
      </c>
      <c r="H256" s="8" t="s">
        <v>1287</v>
      </c>
      <c r="I256" s="8" t="s">
        <v>3248</v>
      </c>
      <c r="J256" s="8" t="s">
        <v>12008</v>
      </c>
      <c r="K256" t="s">
        <v>12263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8" t="s">
        <v>1607</v>
      </c>
      <c r="E257" s="8"/>
      <c r="F257" s="8"/>
      <c r="H257" s="8"/>
      <c r="I257" s="8" t="s">
        <v>3444</v>
      </c>
      <c r="J257" s="8" t="s">
        <v>12008</v>
      </c>
      <c r="K257" t="s">
        <v>12264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8" t="s">
        <v>470</v>
      </c>
      <c r="E258" s="8" t="s">
        <v>1274</v>
      </c>
      <c r="F258" s="8" t="s">
        <v>892</v>
      </c>
      <c r="H258" s="8" t="s">
        <v>1287</v>
      </c>
      <c r="I258" s="8" t="s">
        <v>3855</v>
      </c>
      <c r="J258" s="8" t="s">
        <v>12008</v>
      </c>
      <c r="K258" t="s">
        <v>12265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8" t="s">
        <v>4</v>
      </c>
      <c r="E259" s="8" t="s">
        <v>8</v>
      </c>
      <c r="F259" s="8"/>
      <c r="H259" s="8"/>
      <c r="I259" s="8" t="s">
        <v>3857</v>
      </c>
      <c r="J259" s="8" t="s">
        <v>12008</v>
      </c>
      <c r="K259" t="s">
        <v>12266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8" t="s">
        <v>470</v>
      </c>
      <c r="E260" s="8" t="s">
        <v>468</v>
      </c>
      <c r="F260" s="8" t="s">
        <v>58</v>
      </c>
      <c r="H260" s="8" t="s">
        <v>3401</v>
      </c>
      <c r="I260" s="8" t="s">
        <v>3859</v>
      </c>
      <c r="J260" s="8" t="s">
        <v>12008</v>
      </c>
      <c r="K260" t="s">
        <v>12267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8" t="s">
        <v>4</v>
      </c>
      <c r="E261" s="8" t="s">
        <v>8</v>
      </c>
      <c r="F261" s="8"/>
      <c r="H261" s="8"/>
      <c r="I261" s="8" t="s">
        <v>3861</v>
      </c>
      <c r="J261" s="8" t="s">
        <v>12008</v>
      </c>
      <c r="K261" t="s">
        <v>12268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8" t="s">
        <v>470</v>
      </c>
      <c r="E262" s="8" t="s">
        <v>468</v>
      </c>
      <c r="F262" s="8" t="s">
        <v>58</v>
      </c>
      <c r="H262" s="8" t="s">
        <v>3401</v>
      </c>
      <c r="I262" s="8" t="s">
        <v>3863</v>
      </c>
      <c r="J262" s="8" t="s">
        <v>12008</v>
      </c>
      <c r="K262" t="s">
        <v>12269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8" t="s">
        <v>226</v>
      </c>
      <c r="E263" s="8" t="s">
        <v>86</v>
      </c>
      <c r="F263" s="8" t="s">
        <v>3405</v>
      </c>
      <c r="H263" s="8"/>
      <c r="I263" s="8" t="s">
        <v>3865</v>
      </c>
      <c r="J263" s="8" t="s">
        <v>12008</v>
      </c>
      <c r="K263" t="s">
        <v>12270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8" t="s">
        <v>226</v>
      </c>
      <c r="E264" s="8" t="s">
        <v>86</v>
      </c>
      <c r="F264" s="8" t="s">
        <v>3405</v>
      </c>
      <c r="H264" s="8" t="s">
        <v>2352</v>
      </c>
      <c r="I264" s="8" t="s">
        <v>3867</v>
      </c>
      <c r="J264" s="8" t="s">
        <v>12008</v>
      </c>
      <c r="K264" t="s">
        <v>12271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8" t="s">
        <v>226</v>
      </c>
      <c r="E265" s="8" t="s">
        <v>86</v>
      </c>
      <c r="F265" s="8" t="s">
        <v>3405</v>
      </c>
      <c r="H265" s="8"/>
      <c r="I265" s="8" t="s">
        <v>3869</v>
      </c>
      <c r="J265" s="8" t="s">
        <v>12008</v>
      </c>
      <c r="K265" t="s">
        <v>12272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8" t="s">
        <v>3406</v>
      </c>
      <c r="E266" s="8" t="s">
        <v>86</v>
      </c>
      <c r="F266" s="8" t="s">
        <v>3405</v>
      </c>
      <c r="H266" s="8" t="s">
        <v>3401</v>
      </c>
      <c r="I266" s="8" t="s">
        <v>3871</v>
      </c>
      <c r="J266" s="8" t="s">
        <v>12008</v>
      </c>
      <c r="K266" t="s">
        <v>12273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8" t="s">
        <v>470</v>
      </c>
      <c r="E267" s="8" t="s">
        <v>468</v>
      </c>
      <c r="F267" s="8" t="s">
        <v>58</v>
      </c>
      <c r="H267" s="8" t="s">
        <v>3401</v>
      </c>
      <c r="I267" s="8" t="s">
        <v>3873</v>
      </c>
      <c r="J267" s="8" t="s">
        <v>12008</v>
      </c>
      <c r="K267" t="s">
        <v>12274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8" t="s">
        <v>470</v>
      </c>
      <c r="E268" s="8" t="s">
        <v>468</v>
      </c>
      <c r="F268" s="8" t="s">
        <v>58</v>
      </c>
      <c r="H268" s="8" t="s">
        <v>3401</v>
      </c>
      <c r="I268" s="8" t="s">
        <v>3875</v>
      </c>
      <c r="J268" s="8" t="s">
        <v>12008</v>
      </c>
      <c r="K268" t="s">
        <v>12275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8" t="s">
        <v>470</v>
      </c>
      <c r="E269" s="8" t="s">
        <v>468</v>
      </c>
      <c r="F269" s="8" t="s">
        <v>58</v>
      </c>
      <c r="H269" s="8" t="s">
        <v>3401</v>
      </c>
      <c r="I269" s="8" t="s">
        <v>3877</v>
      </c>
      <c r="J269" s="8" t="s">
        <v>12008</v>
      </c>
      <c r="K269" t="s">
        <v>12276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8" t="s">
        <v>226</v>
      </c>
      <c r="E270" s="8" t="s">
        <v>86</v>
      </c>
      <c r="F270" s="8" t="s">
        <v>3405</v>
      </c>
      <c r="H270" s="8"/>
      <c r="I270" s="8" t="s">
        <v>3879</v>
      </c>
      <c r="J270" s="8" t="s">
        <v>12008</v>
      </c>
      <c r="K270" t="s">
        <v>12277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8" t="s">
        <v>3406</v>
      </c>
      <c r="E271" s="8" t="s">
        <v>86</v>
      </c>
      <c r="F271" s="8" t="s">
        <v>3405</v>
      </c>
      <c r="H271" s="8" t="s">
        <v>3401</v>
      </c>
      <c r="I271" s="8" t="s">
        <v>3881</v>
      </c>
      <c r="J271" s="8" t="s">
        <v>12008</v>
      </c>
      <c r="K271" t="s">
        <v>12278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8" t="s">
        <v>470</v>
      </c>
      <c r="E272" s="8" t="s">
        <v>468</v>
      </c>
      <c r="F272" s="8" t="s">
        <v>58</v>
      </c>
      <c r="H272" s="8" t="s">
        <v>3401</v>
      </c>
      <c r="I272" s="8" t="s">
        <v>3883</v>
      </c>
      <c r="J272" s="8" t="s">
        <v>12008</v>
      </c>
      <c r="K272" t="s">
        <v>12279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8" t="s">
        <v>470</v>
      </c>
      <c r="E273" s="8" t="s">
        <v>468</v>
      </c>
      <c r="F273" s="8" t="s">
        <v>58</v>
      </c>
      <c r="H273" s="8" t="s">
        <v>3401</v>
      </c>
      <c r="I273" s="8" t="s">
        <v>3885</v>
      </c>
      <c r="J273" s="8" t="s">
        <v>12008</v>
      </c>
      <c r="K273" t="s">
        <v>12280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8" t="s">
        <v>226</v>
      </c>
      <c r="E274" s="8" t="s">
        <v>86</v>
      </c>
      <c r="F274" s="8" t="s">
        <v>3405</v>
      </c>
      <c r="H274" s="8"/>
      <c r="I274" s="8" t="s">
        <v>3887</v>
      </c>
      <c r="J274" s="8" t="s">
        <v>12008</v>
      </c>
      <c r="K274" t="s">
        <v>12281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8" t="s">
        <v>3406</v>
      </c>
      <c r="E275" s="8" t="s">
        <v>86</v>
      </c>
      <c r="F275" s="8" t="s">
        <v>3405</v>
      </c>
      <c r="H275" s="8" t="s">
        <v>3401</v>
      </c>
      <c r="I275" s="8" t="s">
        <v>3889</v>
      </c>
      <c r="J275" s="8" t="s">
        <v>12008</v>
      </c>
      <c r="K275" t="s">
        <v>12282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8" t="s">
        <v>470</v>
      </c>
      <c r="E276" s="8" t="s">
        <v>468</v>
      </c>
      <c r="F276" s="8" t="s">
        <v>892</v>
      </c>
      <c r="H276" s="8" t="s">
        <v>3401</v>
      </c>
      <c r="I276" s="8" t="s">
        <v>3891</v>
      </c>
      <c r="J276" s="8" t="s">
        <v>12008</v>
      </c>
      <c r="K276" t="s">
        <v>12283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8" t="s">
        <v>470</v>
      </c>
      <c r="E277" s="8" t="s">
        <v>468</v>
      </c>
      <c r="F277" s="8" t="s">
        <v>58</v>
      </c>
      <c r="H277" s="8" t="s">
        <v>3401</v>
      </c>
      <c r="I277" s="8" t="s">
        <v>3893</v>
      </c>
      <c r="J277" s="8" t="s">
        <v>12008</v>
      </c>
      <c r="K277" t="s">
        <v>12284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8" t="s">
        <v>3392</v>
      </c>
      <c r="E278" s="8" t="s">
        <v>468</v>
      </c>
      <c r="F278" s="8" t="s">
        <v>3398</v>
      </c>
      <c r="H278" s="8" t="s">
        <v>2373</v>
      </c>
      <c r="I278" s="8" t="s">
        <v>3895</v>
      </c>
      <c r="J278" s="8" t="s">
        <v>12008</v>
      </c>
      <c r="K278" t="s">
        <v>12285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8" t="s">
        <v>4</v>
      </c>
      <c r="E279" s="8" t="s">
        <v>8</v>
      </c>
      <c r="F279" s="8"/>
      <c r="H279" s="8"/>
      <c r="I279" s="8" t="s">
        <v>3897</v>
      </c>
      <c r="J279" s="8" t="s">
        <v>12008</v>
      </c>
      <c r="K279" t="s">
        <v>12286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8" t="s">
        <v>1607</v>
      </c>
      <c r="E280" s="8" t="s">
        <v>8</v>
      </c>
      <c r="F280" s="8"/>
      <c r="H280" s="8"/>
      <c r="I280" s="8" t="s">
        <v>3899</v>
      </c>
      <c r="J280" s="8" t="s">
        <v>12008</v>
      </c>
      <c r="K280" t="s">
        <v>12287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8" t="s">
        <v>4</v>
      </c>
      <c r="E281" s="8" t="s">
        <v>8</v>
      </c>
      <c r="F281" s="8"/>
      <c r="H281" s="8"/>
      <c r="I281" s="8" t="s">
        <v>4173</v>
      </c>
      <c r="J281" s="8" t="s">
        <v>12008</v>
      </c>
      <c r="K281" t="s">
        <v>12288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8" t="s">
        <v>1273</v>
      </c>
      <c r="E282" s="8" t="s">
        <v>4236</v>
      </c>
      <c r="F282" s="8" t="s">
        <v>51</v>
      </c>
      <c r="H282" s="8"/>
      <c r="I282" s="8" t="s">
        <v>4175</v>
      </c>
      <c r="J282" s="8" t="s">
        <v>12008</v>
      </c>
      <c r="K282" t="s">
        <v>12289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8" t="s">
        <v>226</v>
      </c>
      <c r="E283" s="8" t="s">
        <v>4236</v>
      </c>
      <c r="F283" s="8" t="s">
        <v>3398</v>
      </c>
      <c r="H283" s="8"/>
      <c r="I283" s="8" t="s">
        <v>4177</v>
      </c>
      <c r="J283" s="8" t="s">
        <v>12008</v>
      </c>
      <c r="K283" t="s">
        <v>12290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8" t="s">
        <v>226</v>
      </c>
      <c r="E284" s="8" t="s">
        <v>4236</v>
      </c>
      <c r="F284" s="8" t="s">
        <v>3398</v>
      </c>
      <c r="H284" s="8" t="s">
        <v>2352</v>
      </c>
      <c r="I284" s="8" t="s">
        <v>4180</v>
      </c>
      <c r="J284" s="8" t="s">
        <v>12008</v>
      </c>
      <c r="K284" t="s">
        <v>12291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8" t="s">
        <v>3397</v>
      </c>
      <c r="E285" s="8" t="s">
        <v>4236</v>
      </c>
      <c r="F285" s="8" t="s">
        <v>3398</v>
      </c>
      <c r="H285" s="8"/>
      <c r="I285" s="8" t="s">
        <v>4183</v>
      </c>
      <c r="J285" s="8" t="s">
        <v>12008</v>
      </c>
      <c r="K285" t="s">
        <v>12292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8" t="s">
        <v>226</v>
      </c>
      <c r="E286" s="8" t="s">
        <v>86</v>
      </c>
      <c r="F286" s="8" t="s">
        <v>3405</v>
      </c>
      <c r="H286" s="8"/>
      <c r="I286" s="8" t="s">
        <v>4326</v>
      </c>
      <c r="J286" s="8" t="s">
        <v>12008</v>
      </c>
      <c r="K286" t="s">
        <v>12293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8" t="s">
        <v>3406</v>
      </c>
      <c r="E287" s="8" t="s">
        <v>86</v>
      </c>
      <c r="F287" s="8" t="s">
        <v>3405</v>
      </c>
      <c r="H287" s="8"/>
      <c r="I287" s="8" t="s">
        <v>4328</v>
      </c>
      <c r="J287" s="8" t="s">
        <v>12008</v>
      </c>
      <c r="K287" t="s">
        <v>12294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8" t="s">
        <v>470</v>
      </c>
      <c r="E288" s="8" t="s">
        <v>468</v>
      </c>
      <c r="F288" s="8" t="s">
        <v>892</v>
      </c>
      <c r="H288" s="8" t="s">
        <v>1287</v>
      </c>
      <c r="I288" s="8" t="s">
        <v>4330</v>
      </c>
      <c r="J288" s="8" t="s">
        <v>12008</v>
      </c>
      <c r="K288" t="s">
        <v>12295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8" t="s">
        <v>4</v>
      </c>
      <c r="E289" s="8" t="s">
        <v>8</v>
      </c>
      <c r="F289" s="8"/>
      <c r="H289" s="8"/>
      <c r="I289" s="8" t="s">
        <v>4332</v>
      </c>
      <c r="J289" s="8" t="s">
        <v>12008</v>
      </c>
      <c r="K289" t="s">
        <v>12296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8" t="s">
        <v>470</v>
      </c>
      <c r="E290" s="8" t="s">
        <v>468</v>
      </c>
      <c r="F290" s="8" t="s">
        <v>58</v>
      </c>
      <c r="H290" s="8" t="s">
        <v>3401</v>
      </c>
      <c r="I290" s="8" t="s">
        <v>4333</v>
      </c>
      <c r="J290" s="8" t="s">
        <v>12008</v>
      </c>
      <c r="K290" t="s">
        <v>12297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8" t="s">
        <v>470</v>
      </c>
      <c r="E291" s="8" t="s">
        <v>468</v>
      </c>
      <c r="F291" s="8" t="s">
        <v>58</v>
      </c>
      <c r="H291" s="8" t="s">
        <v>3401</v>
      </c>
      <c r="I291" s="8" t="s">
        <v>4335</v>
      </c>
      <c r="J291" s="8" t="s">
        <v>12008</v>
      </c>
      <c r="K291" t="s">
        <v>12298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8" t="s">
        <v>470</v>
      </c>
      <c r="E292" s="8" t="s">
        <v>468</v>
      </c>
      <c r="F292" s="8" t="s">
        <v>58</v>
      </c>
      <c r="H292" s="8" t="s">
        <v>3401</v>
      </c>
      <c r="I292" s="8" t="s">
        <v>4337</v>
      </c>
      <c r="J292" s="8" t="s">
        <v>12008</v>
      </c>
      <c r="K292" t="s">
        <v>12299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8" t="s">
        <v>470</v>
      </c>
      <c r="E293" s="8" t="s">
        <v>468</v>
      </c>
      <c r="F293" s="8" t="s">
        <v>58</v>
      </c>
      <c r="H293" s="8" t="s">
        <v>3401</v>
      </c>
      <c r="I293" s="8" t="s">
        <v>4339</v>
      </c>
      <c r="J293" s="8" t="s">
        <v>12008</v>
      </c>
      <c r="K293" t="s">
        <v>12300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8" t="s">
        <v>470</v>
      </c>
      <c r="E294" s="8" t="s">
        <v>468</v>
      </c>
      <c r="F294" s="8" t="s">
        <v>58</v>
      </c>
      <c r="H294" s="8" t="s">
        <v>3401</v>
      </c>
      <c r="I294" s="8" t="s">
        <v>4341</v>
      </c>
      <c r="J294" s="8" t="s">
        <v>12008</v>
      </c>
      <c r="K294" t="s">
        <v>12301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8" t="s">
        <v>3388</v>
      </c>
      <c r="E295" s="8" t="s">
        <v>86</v>
      </c>
      <c r="F295" s="8" t="s">
        <v>58</v>
      </c>
      <c r="H295" s="8"/>
      <c r="I295" s="8" t="s">
        <v>4343</v>
      </c>
      <c r="J295" s="8" t="s">
        <v>12008</v>
      </c>
      <c r="K295" t="s">
        <v>12302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8" t="s">
        <v>3388</v>
      </c>
      <c r="E296" s="8" t="s">
        <v>86</v>
      </c>
      <c r="F296" s="8" t="s">
        <v>58</v>
      </c>
      <c r="H296" s="8" t="s">
        <v>2370</v>
      </c>
      <c r="I296" s="8" t="s">
        <v>4345</v>
      </c>
      <c r="J296" s="8" t="s">
        <v>12008</v>
      </c>
      <c r="K296" t="s">
        <v>12303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8" t="s">
        <v>3388</v>
      </c>
      <c r="E297" s="8" t="s">
        <v>86</v>
      </c>
      <c r="F297" s="8" t="s">
        <v>58</v>
      </c>
      <c r="H297" s="8"/>
      <c r="I297" s="8" t="s">
        <v>4347</v>
      </c>
      <c r="J297" s="8" t="s">
        <v>12008</v>
      </c>
      <c r="K297" t="s">
        <v>12304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8" t="s">
        <v>3388</v>
      </c>
      <c r="E298" s="8" t="s">
        <v>86</v>
      </c>
      <c r="F298" s="8" t="s">
        <v>58</v>
      </c>
      <c r="H298" s="8" t="s">
        <v>2370</v>
      </c>
      <c r="I298" s="8" t="s">
        <v>4349</v>
      </c>
      <c r="J298" s="8" t="s">
        <v>12008</v>
      </c>
      <c r="K298" t="s">
        <v>12305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8" t="s">
        <v>3388</v>
      </c>
      <c r="E299" s="8" t="s">
        <v>86</v>
      </c>
      <c r="F299" s="8" t="s">
        <v>58</v>
      </c>
      <c r="H299" s="8"/>
      <c r="I299" s="8" t="s">
        <v>4351</v>
      </c>
      <c r="J299" s="8" t="s">
        <v>12008</v>
      </c>
      <c r="K299" t="s">
        <v>12306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8" t="s">
        <v>3388</v>
      </c>
      <c r="E300" s="8" t="s">
        <v>86</v>
      </c>
      <c r="F300" s="8" t="s">
        <v>58</v>
      </c>
      <c r="H300" s="8" t="s">
        <v>2352</v>
      </c>
      <c r="I300" s="8" t="s">
        <v>4353</v>
      </c>
      <c r="J300" s="8" t="s">
        <v>12008</v>
      </c>
      <c r="K300" t="s">
        <v>12307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8" t="s">
        <v>3388</v>
      </c>
      <c r="E301" s="8" t="s">
        <v>86</v>
      </c>
      <c r="F301" s="8" t="s">
        <v>58</v>
      </c>
      <c r="H301" s="8" t="s">
        <v>3401</v>
      </c>
      <c r="I301" s="8" t="s">
        <v>4355</v>
      </c>
      <c r="J301" s="8" t="s">
        <v>12008</v>
      </c>
      <c r="K301" t="s">
        <v>12308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8" t="s">
        <v>3388</v>
      </c>
      <c r="E302" s="8" t="s">
        <v>86</v>
      </c>
      <c r="F302" s="8" t="s">
        <v>58</v>
      </c>
      <c r="H302" s="8"/>
      <c r="I302" s="8" t="s">
        <v>4357</v>
      </c>
      <c r="J302" s="8" t="s">
        <v>12008</v>
      </c>
      <c r="K302" t="s">
        <v>12309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8" t="s">
        <v>3388</v>
      </c>
      <c r="E303" s="8" t="s">
        <v>86</v>
      </c>
      <c r="F303" s="8" t="s">
        <v>58</v>
      </c>
      <c r="H303" s="8" t="s">
        <v>2370</v>
      </c>
      <c r="I303" s="8" t="s">
        <v>4359</v>
      </c>
      <c r="J303" s="8" t="s">
        <v>12008</v>
      </c>
      <c r="K303" t="s">
        <v>12310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8" t="s">
        <v>470</v>
      </c>
      <c r="E304" s="8" t="s">
        <v>468</v>
      </c>
      <c r="F304" s="8" t="s">
        <v>58</v>
      </c>
      <c r="H304" s="8" t="s">
        <v>3401</v>
      </c>
      <c r="I304" s="8" t="s">
        <v>4361</v>
      </c>
      <c r="J304" s="8" t="s">
        <v>12008</v>
      </c>
      <c r="K304" t="s">
        <v>12311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8" t="s">
        <v>470</v>
      </c>
      <c r="E305" s="8" t="s">
        <v>468</v>
      </c>
      <c r="F305" s="8" t="s">
        <v>58</v>
      </c>
      <c r="H305" s="8" t="s">
        <v>3401</v>
      </c>
      <c r="I305" s="8" t="s">
        <v>4363</v>
      </c>
      <c r="J305" s="8" t="s">
        <v>12008</v>
      </c>
      <c r="K305" t="s">
        <v>12312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8" t="s">
        <v>3388</v>
      </c>
      <c r="E306" s="8" t="s">
        <v>86</v>
      </c>
      <c r="F306" s="8" t="s">
        <v>165</v>
      </c>
      <c r="H306" s="8" t="s">
        <v>1272</v>
      </c>
      <c r="I306" s="8" t="s">
        <v>4365</v>
      </c>
      <c r="J306" s="8" t="s">
        <v>12008</v>
      </c>
      <c r="K306" t="s">
        <v>12313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8" t="s">
        <v>3388</v>
      </c>
      <c r="E307" s="8" t="s">
        <v>86</v>
      </c>
      <c r="F307" s="8" t="s">
        <v>165</v>
      </c>
      <c r="H307" s="8" t="s">
        <v>1272</v>
      </c>
      <c r="I307" s="8" t="s">
        <v>4367</v>
      </c>
      <c r="J307" s="8" t="s">
        <v>12008</v>
      </c>
      <c r="K307" t="s">
        <v>12314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8" t="s">
        <v>4</v>
      </c>
      <c r="E308" s="8" t="s">
        <v>8</v>
      </c>
      <c r="F308" s="8"/>
      <c r="H308" s="8"/>
      <c r="I308" s="8" t="s">
        <v>4369</v>
      </c>
      <c r="J308" s="8" t="s">
        <v>12008</v>
      </c>
      <c r="K308" t="s">
        <v>12315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8" t="s">
        <v>4</v>
      </c>
      <c r="E309" s="8" t="s">
        <v>8</v>
      </c>
      <c r="F309" s="8"/>
      <c r="H309" s="8"/>
      <c r="I309" s="8" t="s">
        <v>4595</v>
      </c>
      <c r="J309" s="8" t="s">
        <v>12008</v>
      </c>
      <c r="K309" t="s">
        <v>12316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8" t="s">
        <v>3388</v>
      </c>
      <c r="E310" s="8" t="s">
        <v>86</v>
      </c>
      <c r="F310" s="8" t="s">
        <v>5697</v>
      </c>
      <c r="H310" s="8"/>
      <c r="I310" s="8" t="s">
        <v>4597</v>
      </c>
      <c r="J310" s="8" t="s">
        <v>12008</v>
      </c>
      <c r="K310" t="s">
        <v>12317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8" t="s">
        <v>470</v>
      </c>
      <c r="E311" s="8" t="s">
        <v>468</v>
      </c>
      <c r="F311" s="8" t="s">
        <v>58</v>
      </c>
      <c r="H311" s="8" t="s">
        <v>3401</v>
      </c>
      <c r="I311" s="8" t="s">
        <v>4599</v>
      </c>
      <c r="J311" s="8" t="s">
        <v>12008</v>
      </c>
      <c r="K311" t="s">
        <v>12318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8" t="s">
        <v>136</v>
      </c>
      <c r="E312" s="8" t="s">
        <v>86</v>
      </c>
      <c r="F312" s="8" t="s">
        <v>465</v>
      </c>
      <c r="G312">
        <v>1</v>
      </c>
      <c r="H312" s="8" t="s">
        <v>1272</v>
      </c>
      <c r="I312" s="8" t="s">
        <v>4601</v>
      </c>
      <c r="J312" s="8" t="s">
        <v>12008</v>
      </c>
      <c r="K312" t="s">
        <v>12319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8" t="s">
        <v>136</v>
      </c>
      <c r="E313" s="8" t="s">
        <v>86</v>
      </c>
      <c r="F313" s="8" t="s">
        <v>465</v>
      </c>
      <c r="G313">
        <v>1</v>
      </c>
      <c r="H313" s="8" t="s">
        <v>1272</v>
      </c>
      <c r="I313" s="8" t="s">
        <v>4603</v>
      </c>
      <c r="J313" s="8" t="s">
        <v>12008</v>
      </c>
      <c r="K313" t="s">
        <v>12320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8" t="s">
        <v>136</v>
      </c>
      <c r="E314" s="8" t="s">
        <v>86</v>
      </c>
      <c r="F314" s="8" t="s">
        <v>465</v>
      </c>
      <c r="G314">
        <v>1</v>
      </c>
      <c r="H314" s="8" t="s">
        <v>1272</v>
      </c>
      <c r="I314" s="8" t="s">
        <v>4605</v>
      </c>
      <c r="J314" s="8" t="s">
        <v>12008</v>
      </c>
      <c r="K314" t="s">
        <v>12321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8" t="s">
        <v>470</v>
      </c>
      <c r="E315" s="8" t="s">
        <v>468</v>
      </c>
      <c r="F315" s="8" t="s">
        <v>2360</v>
      </c>
      <c r="H315" s="8" t="s">
        <v>1287</v>
      </c>
      <c r="I315" s="8" t="s">
        <v>4607</v>
      </c>
      <c r="J315" s="8" t="s">
        <v>12008</v>
      </c>
      <c r="K315" t="s">
        <v>12322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8" t="s">
        <v>3388</v>
      </c>
      <c r="E316" s="8" t="s">
        <v>86</v>
      </c>
      <c r="F316" s="8" t="s">
        <v>4933</v>
      </c>
      <c r="H316" s="8"/>
      <c r="I316" s="8" t="s">
        <v>4609</v>
      </c>
      <c r="J316" s="8" t="s">
        <v>12008</v>
      </c>
      <c r="K316" t="s">
        <v>12323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8" t="s">
        <v>3388</v>
      </c>
      <c r="E317" s="8" t="s">
        <v>86</v>
      </c>
      <c r="F317" s="8" t="s">
        <v>4933</v>
      </c>
      <c r="H317" s="8" t="s">
        <v>2352</v>
      </c>
      <c r="I317" s="8" t="s">
        <v>4611</v>
      </c>
      <c r="J317" s="8" t="s">
        <v>12008</v>
      </c>
      <c r="K317" t="s">
        <v>12324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8" t="s">
        <v>470</v>
      </c>
      <c r="E318" s="8" t="s">
        <v>468</v>
      </c>
      <c r="F318" s="8" t="s">
        <v>2360</v>
      </c>
      <c r="H318" s="8" t="s">
        <v>1287</v>
      </c>
      <c r="I318" s="8" t="s">
        <v>4613</v>
      </c>
      <c r="J318" s="8" t="s">
        <v>12008</v>
      </c>
      <c r="K318" t="s">
        <v>12325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8" t="s">
        <v>3388</v>
      </c>
      <c r="E319" s="8" t="s">
        <v>86</v>
      </c>
      <c r="F319" s="8" t="s">
        <v>4933</v>
      </c>
      <c r="H319" s="8"/>
      <c r="I319" s="8" t="s">
        <v>4615</v>
      </c>
      <c r="J319" s="8" t="s">
        <v>12008</v>
      </c>
      <c r="K319" t="s">
        <v>12326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8" t="s">
        <v>226</v>
      </c>
      <c r="E320" s="8" t="s">
        <v>86</v>
      </c>
      <c r="F320" s="8" t="s">
        <v>5697</v>
      </c>
      <c r="H320" s="8"/>
      <c r="I320" s="8" t="s">
        <v>4617</v>
      </c>
      <c r="J320" s="8" t="s">
        <v>12008</v>
      </c>
      <c r="K320" t="s">
        <v>12327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8" t="s">
        <v>587</v>
      </c>
      <c r="E321" s="8" t="s">
        <v>86</v>
      </c>
      <c r="F321" s="8" t="s">
        <v>5697</v>
      </c>
      <c r="H321" s="8"/>
      <c r="I321" s="8" t="s">
        <v>4619</v>
      </c>
      <c r="J321" s="8" t="s">
        <v>12008</v>
      </c>
      <c r="K321" t="s">
        <v>12328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8" t="s">
        <v>470</v>
      </c>
      <c r="E322" s="8" t="s">
        <v>468</v>
      </c>
      <c r="F322" s="8" t="s">
        <v>58</v>
      </c>
      <c r="H322" s="8" t="s">
        <v>3401</v>
      </c>
      <c r="I322" s="8" t="s">
        <v>4621</v>
      </c>
      <c r="J322" s="8" t="s">
        <v>12008</v>
      </c>
      <c r="K322" t="s">
        <v>12329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8" t="s">
        <v>136</v>
      </c>
      <c r="E323" s="8" t="s">
        <v>86</v>
      </c>
      <c r="F323" s="8" t="s">
        <v>465</v>
      </c>
      <c r="G323">
        <v>1</v>
      </c>
      <c r="H323" s="8" t="s">
        <v>1272</v>
      </c>
      <c r="I323" s="8" t="s">
        <v>4623</v>
      </c>
      <c r="J323" s="8" t="s">
        <v>12008</v>
      </c>
      <c r="K323" t="s">
        <v>12330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8" t="s">
        <v>136</v>
      </c>
      <c r="E324" s="8" t="s">
        <v>86</v>
      </c>
      <c r="F324" s="8" t="s">
        <v>465</v>
      </c>
      <c r="G324">
        <v>1</v>
      </c>
      <c r="H324" s="8" t="s">
        <v>1272</v>
      </c>
      <c r="I324" s="8" t="s">
        <v>4625</v>
      </c>
      <c r="J324" s="8" t="s">
        <v>12008</v>
      </c>
      <c r="K324" t="s">
        <v>12331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8" t="s">
        <v>4</v>
      </c>
      <c r="E325" s="8" t="s">
        <v>8</v>
      </c>
      <c r="F325" s="8"/>
      <c r="H325" s="8"/>
      <c r="I325" s="8" t="s">
        <v>4627</v>
      </c>
      <c r="J325" s="8" t="s">
        <v>12008</v>
      </c>
      <c r="K325" t="s">
        <v>12332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8" t="s">
        <v>4</v>
      </c>
      <c r="E326" s="8" t="s">
        <v>8</v>
      </c>
      <c r="F326" s="8"/>
      <c r="H326" s="8"/>
      <c r="I326" s="8" t="s">
        <v>4629</v>
      </c>
      <c r="J326" s="8" t="s">
        <v>12008</v>
      </c>
      <c r="K326" t="s">
        <v>12333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8" t="s">
        <v>4</v>
      </c>
      <c r="E327" s="8" t="s">
        <v>8</v>
      </c>
      <c r="F327" s="8"/>
      <c r="H327" s="8"/>
      <c r="I327" s="8" t="s">
        <v>4631</v>
      </c>
      <c r="J327" s="8" t="s">
        <v>12008</v>
      </c>
      <c r="K327" t="s">
        <v>12334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8" t="s">
        <v>4</v>
      </c>
      <c r="E328" s="8" t="s">
        <v>8</v>
      </c>
      <c r="F328" s="8"/>
      <c r="H328" s="8"/>
      <c r="I328" s="8" t="s">
        <v>4696</v>
      </c>
      <c r="J328" s="8" t="s">
        <v>12008</v>
      </c>
      <c r="K328" t="s">
        <v>12335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8" t="s">
        <v>4</v>
      </c>
      <c r="E329" s="8" t="s">
        <v>86</v>
      </c>
      <c r="F329" s="8" t="s">
        <v>3405</v>
      </c>
      <c r="H329" s="8" t="s">
        <v>1287</v>
      </c>
      <c r="I329" s="8" t="s">
        <v>4698</v>
      </c>
      <c r="J329" s="8" t="s">
        <v>12008</v>
      </c>
      <c r="K329" t="s">
        <v>12336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8" t="s">
        <v>3388</v>
      </c>
      <c r="E330" s="8" t="s">
        <v>86</v>
      </c>
      <c r="F330" s="8" t="s">
        <v>4922</v>
      </c>
      <c r="H330" s="8"/>
      <c r="I330" s="8" t="s">
        <v>4700</v>
      </c>
      <c r="J330" s="8" t="s">
        <v>12008</v>
      </c>
      <c r="K330" t="s">
        <v>12337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8" t="s">
        <v>3386</v>
      </c>
      <c r="E331" s="8" t="s">
        <v>86</v>
      </c>
      <c r="F331" s="8" t="s">
        <v>58</v>
      </c>
      <c r="H331" s="8" t="s">
        <v>1287</v>
      </c>
      <c r="I331" s="8" t="s">
        <v>4702</v>
      </c>
      <c r="J331" s="8" t="s">
        <v>12008</v>
      </c>
      <c r="K331" t="s">
        <v>12338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8" t="s">
        <v>3386</v>
      </c>
      <c r="E332" s="8" t="s">
        <v>86</v>
      </c>
      <c r="F332" s="8" t="s">
        <v>58</v>
      </c>
      <c r="H332" s="8" t="s">
        <v>2352</v>
      </c>
      <c r="I332" s="8" t="s">
        <v>4704</v>
      </c>
      <c r="J332" s="8" t="s">
        <v>12008</v>
      </c>
      <c r="K332" t="s">
        <v>12339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8" t="s">
        <v>470</v>
      </c>
      <c r="E333" s="8" t="s">
        <v>468</v>
      </c>
      <c r="F333" s="8" t="s">
        <v>892</v>
      </c>
      <c r="H333" s="8" t="s">
        <v>1287</v>
      </c>
      <c r="I333" s="8" t="s">
        <v>4706</v>
      </c>
      <c r="J333" s="8" t="s">
        <v>12008</v>
      </c>
      <c r="K333" t="s">
        <v>12340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8" t="s">
        <v>470</v>
      </c>
      <c r="E334" s="8" t="s">
        <v>468</v>
      </c>
      <c r="F334" s="8" t="s">
        <v>892</v>
      </c>
      <c r="H334" s="8" t="s">
        <v>1287</v>
      </c>
      <c r="I334" s="8" t="s">
        <v>4708</v>
      </c>
      <c r="J334" s="8" t="s">
        <v>12008</v>
      </c>
      <c r="K334" t="s">
        <v>12341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8" t="s">
        <v>3388</v>
      </c>
      <c r="E335" s="8" t="s">
        <v>86</v>
      </c>
      <c r="F335" s="8" t="s">
        <v>165</v>
      </c>
      <c r="H335" s="8"/>
      <c r="I335" s="8" t="s">
        <v>4710</v>
      </c>
      <c r="J335" s="8" t="s">
        <v>12008</v>
      </c>
      <c r="K335" t="s">
        <v>12342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8" t="s">
        <v>3388</v>
      </c>
      <c r="E336" s="8" t="s">
        <v>86</v>
      </c>
      <c r="F336" s="8" t="s">
        <v>165</v>
      </c>
      <c r="H336" s="8"/>
      <c r="I336" s="8" t="s">
        <v>4712</v>
      </c>
      <c r="J336" s="8" t="s">
        <v>12008</v>
      </c>
      <c r="K336" t="s">
        <v>12343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8" t="s">
        <v>3388</v>
      </c>
      <c r="E337" s="8" t="s">
        <v>86</v>
      </c>
      <c r="F337" s="8" t="s">
        <v>165</v>
      </c>
      <c r="H337" s="8"/>
      <c r="I337" s="8" t="s">
        <v>4714</v>
      </c>
      <c r="J337" s="8" t="s">
        <v>12008</v>
      </c>
      <c r="K337" t="s">
        <v>12344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8" t="s">
        <v>3388</v>
      </c>
      <c r="E338" s="8" t="s">
        <v>86</v>
      </c>
      <c r="F338" s="8" t="s">
        <v>165</v>
      </c>
      <c r="H338" s="8"/>
      <c r="I338" s="8" t="s">
        <v>4716</v>
      </c>
      <c r="J338" s="8" t="s">
        <v>12008</v>
      </c>
      <c r="K338" t="s">
        <v>12345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8" t="s">
        <v>3388</v>
      </c>
      <c r="E339" s="8" t="s">
        <v>86</v>
      </c>
      <c r="F339" s="8" t="s">
        <v>165</v>
      </c>
      <c r="H339" s="8"/>
      <c r="I339" s="8" t="s">
        <v>4718</v>
      </c>
      <c r="J339" s="8" t="s">
        <v>12008</v>
      </c>
      <c r="K339" t="s">
        <v>12346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8" t="s">
        <v>3388</v>
      </c>
      <c r="E340" s="8" t="s">
        <v>86</v>
      </c>
      <c r="F340" s="8" t="s">
        <v>165</v>
      </c>
      <c r="H340" s="8"/>
      <c r="I340" s="8" t="s">
        <v>4720</v>
      </c>
      <c r="J340" s="8" t="s">
        <v>12008</v>
      </c>
      <c r="K340" t="s">
        <v>12347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8" t="s">
        <v>3388</v>
      </c>
      <c r="E341" s="8" t="s">
        <v>86</v>
      </c>
      <c r="F341" s="8" t="s">
        <v>165</v>
      </c>
      <c r="H341" s="8"/>
      <c r="I341" s="8" t="s">
        <v>4722</v>
      </c>
      <c r="J341" s="8" t="s">
        <v>12008</v>
      </c>
      <c r="K341" t="s">
        <v>12348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8" t="s">
        <v>4</v>
      </c>
      <c r="E342" s="8" t="s">
        <v>8</v>
      </c>
      <c r="F342" s="8"/>
      <c r="H342" s="8"/>
      <c r="I342" s="8" t="s">
        <v>4724</v>
      </c>
      <c r="J342" s="8" t="s">
        <v>12008</v>
      </c>
      <c r="K342" t="s">
        <v>12349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8" t="s">
        <v>4</v>
      </c>
      <c r="E343" s="8" t="s">
        <v>4917</v>
      </c>
      <c r="F343" s="8"/>
      <c r="H343" s="8"/>
      <c r="I343" s="8" t="s">
        <v>4859</v>
      </c>
      <c r="J343" s="8" t="s">
        <v>12008</v>
      </c>
      <c r="K343" t="s">
        <v>12350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8" t="s">
        <v>4</v>
      </c>
      <c r="E344" s="8" t="s">
        <v>8</v>
      </c>
      <c r="F344" s="8"/>
      <c r="H344" s="8"/>
      <c r="I344" s="8" t="s">
        <v>4861</v>
      </c>
      <c r="J344" s="8" t="s">
        <v>12008</v>
      </c>
      <c r="K344" t="s">
        <v>12351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8" t="s">
        <v>4</v>
      </c>
      <c r="E345" s="8" t="s">
        <v>4917</v>
      </c>
      <c r="F345" s="8"/>
      <c r="H345" s="8"/>
      <c r="I345" s="8" t="s">
        <v>4863</v>
      </c>
      <c r="J345" s="8" t="s">
        <v>12008</v>
      </c>
      <c r="K345" t="s">
        <v>12352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8" t="s">
        <v>4</v>
      </c>
      <c r="E346" s="8" t="s">
        <v>8</v>
      </c>
      <c r="F346" s="8"/>
      <c r="H346" s="8"/>
      <c r="I346" s="8" t="s">
        <v>4865</v>
      </c>
      <c r="J346" s="8" t="s">
        <v>12008</v>
      </c>
      <c r="K346" t="s">
        <v>12353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8" t="s">
        <v>1607</v>
      </c>
      <c r="E347" s="8" t="s">
        <v>8</v>
      </c>
      <c r="F347" s="8"/>
      <c r="H347" s="8"/>
      <c r="I347" s="8" t="s">
        <v>4983</v>
      </c>
      <c r="J347" s="8" t="s">
        <v>12008</v>
      </c>
      <c r="K347" t="s">
        <v>12354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8" t="s">
        <v>3388</v>
      </c>
      <c r="E348" s="8" t="s">
        <v>86</v>
      </c>
      <c r="F348" s="8" t="s">
        <v>3405</v>
      </c>
      <c r="H348" s="8" t="s">
        <v>5209</v>
      </c>
      <c r="I348" s="8" t="s">
        <v>5092</v>
      </c>
      <c r="J348" s="8" t="s">
        <v>12008</v>
      </c>
      <c r="K348" t="s">
        <v>12355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8" t="s">
        <v>3388</v>
      </c>
      <c r="E349" s="8" t="s">
        <v>86</v>
      </c>
      <c r="F349" s="8" t="s">
        <v>5210</v>
      </c>
      <c r="H349" s="8"/>
      <c r="I349" s="8" t="s">
        <v>5095</v>
      </c>
      <c r="J349" s="8" t="s">
        <v>12008</v>
      </c>
      <c r="K349" t="s">
        <v>12356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8" t="s">
        <v>3388</v>
      </c>
      <c r="E350" s="8" t="s">
        <v>86</v>
      </c>
      <c r="F350" s="8" t="s">
        <v>5210</v>
      </c>
      <c r="H350" s="8"/>
      <c r="I350" s="8" t="s">
        <v>5097</v>
      </c>
      <c r="J350" s="8" t="s">
        <v>12008</v>
      </c>
      <c r="K350" t="s">
        <v>12357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8" t="s">
        <v>1273</v>
      </c>
      <c r="E351" s="8" t="s">
        <v>5045</v>
      </c>
      <c r="F351" s="8"/>
      <c r="H351" s="8"/>
      <c r="I351" s="8" t="s">
        <v>5099</v>
      </c>
      <c r="J351" s="8" t="s">
        <v>12008</v>
      </c>
      <c r="K351" t="s">
        <v>12358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8" t="s">
        <v>226</v>
      </c>
      <c r="E352" s="8" t="s">
        <v>5045</v>
      </c>
      <c r="F352" s="8" t="s">
        <v>58</v>
      </c>
      <c r="H352" s="8" t="s">
        <v>1287</v>
      </c>
      <c r="I352" s="8" t="s">
        <v>5101</v>
      </c>
      <c r="J352" s="8" t="s">
        <v>12008</v>
      </c>
      <c r="K352" t="s">
        <v>12359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8" t="s">
        <v>226</v>
      </c>
      <c r="E353" s="8" t="s">
        <v>5045</v>
      </c>
      <c r="F353" s="8" t="s">
        <v>58</v>
      </c>
      <c r="H353" s="8" t="s">
        <v>2352</v>
      </c>
      <c r="I353" s="8" t="s">
        <v>5104</v>
      </c>
      <c r="J353" s="8" t="s">
        <v>12008</v>
      </c>
      <c r="K353" t="s">
        <v>12360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8" t="s">
        <v>226</v>
      </c>
      <c r="E354" s="8" t="s">
        <v>5045</v>
      </c>
      <c r="F354" s="8" t="s">
        <v>58</v>
      </c>
      <c r="H354" s="8" t="s">
        <v>2352</v>
      </c>
      <c r="I354" s="8" t="s">
        <v>5107</v>
      </c>
      <c r="J354" s="8" t="s">
        <v>12008</v>
      </c>
      <c r="K354" t="s">
        <v>12361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8" t="s">
        <v>226</v>
      </c>
      <c r="E355" s="8" t="s">
        <v>5045</v>
      </c>
      <c r="F355" s="8" t="s">
        <v>58</v>
      </c>
      <c r="H355" s="8" t="s">
        <v>2352</v>
      </c>
      <c r="I355" s="8" t="s">
        <v>5110</v>
      </c>
      <c r="J355" s="8" t="s">
        <v>12008</v>
      </c>
      <c r="K355" t="s">
        <v>12362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8" t="s">
        <v>226</v>
      </c>
      <c r="E356" s="8" t="s">
        <v>5045</v>
      </c>
      <c r="F356" s="8" t="s">
        <v>58</v>
      </c>
      <c r="H356" s="8" t="s">
        <v>2352</v>
      </c>
      <c r="I356" s="8" t="s">
        <v>5113</v>
      </c>
      <c r="J356" s="8" t="s">
        <v>12008</v>
      </c>
      <c r="K356" t="s">
        <v>12363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8" t="s">
        <v>226</v>
      </c>
      <c r="E357" s="8" t="s">
        <v>5045</v>
      </c>
      <c r="F357" s="8" t="s">
        <v>58</v>
      </c>
      <c r="H357" s="8" t="s">
        <v>2352</v>
      </c>
      <c r="I357" s="8" t="s">
        <v>5116</v>
      </c>
      <c r="J357" s="8" t="s">
        <v>12008</v>
      </c>
      <c r="K357" t="s">
        <v>12364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8" t="s">
        <v>226</v>
      </c>
      <c r="E358" s="8" t="s">
        <v>5045</v>
      </c>
      <c r="F358" s="8" t="s">
        <v>58</v>
      </c>
      <c r="H358" s="8" t="s">
        <v>2352</v>
      </c>
      <c r="I358" s="8" t="s">
        <v>5119</v>
      </c>
      <c r="J358" s="8" t="s">
        <v>12008</v>
      </c>
      <c r="K358" t="s">
        <v>12365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8" t="s">
        <v>226</v>
      </c>
      <c r="E359" s="8" t="s">
        <v>5045</v>
      </c>
      <c r="F359" s="8" t="s">
        <v>58</v>
      </c>
      <c r="H359" s="8" t="s">
        <v>2352</v>
      </c>
      <c r="I359" s="8" t="s">
        <v>5122</v>
      </c>
      <c r="J359" s="8" t="s">
        <v>12008</v>
      </c>
      <c r="K359" t="s">
        <v>12366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8" t="s">
        <v>226</v>
      </c>
      <c r="E360" s="8" t="s">
        <v>5045</v>
      </c>
      <c r="F360" s="8" t="s">
        <v>58</v>
      </c>
      <c r="H360" s="8" t="s">
        <v>2352</v>
      </c>
      <c r="I360" s="8" t="s">
        <v>5125</v>
      </c>
      <c r="J360" s="8" t="s">
        <v>12008</v>
      </c>
      <c r="K360" t="s">
        <v>12367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8" t="s">
        <v>226</v>
      </c>
      <c r="E361" s="8" t="s">
        <v>5045</v>
      </c>
      <c r="F361" s="8" t="s">
        <v>58</v>
      </c>
      <c r="H361" s="8" t="s">
        <v>2352</v>
      </c>
      <c r="I361" s="8" t="s">
        <v>5128</v>
      </c>
      <c r="J361" s="8" t="s">
        <v>12008</v>
      </c>
      <c r="K361" t="s">
        <v>12368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8" t="s">
        <v>226</v>
      </c>
      <c r="E362" s="8" t="s">
        <v>5045</v>
      </c>
      <c r="F362" s="8" t="s">
        <v>58</v>
      </c>
      <c r="H362" s="8" t="s">
        <v>2352</v>
      </c>
      <c r="I362" s="8" t="s">
        <v>5131</v>
      </c>
      <c r="J362" s="8" t="s">
        <v>12008</v>
      </c>
      <c r="K362" t="s">
        <v>12369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8" t="s">
        <v>226</v>
      </c>
      <c r="E363" s="8" t="s">
        <v>5045</v>
      </c>
      <c r="F363" s="8" t="s">
        <v>58</v>
      </c>
      <c r="H363" s="8" t="s">
        <v>2352</v>
      </c>
      <c r="I363" s="8" t="s">
        <v>5134</v>
      </c>
      <c r="J363" s="8" t="s">
        <v>12008</v>
      </c>
      <c r="K363" t="s">
        <v>12370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8" t="s">
        <v>226</v>
      </c>
      <c r="E364" s="8" t="s">
        <v>5045</v>
      </c>
      <c r="F364" s="8" t="s">
        <v>58</v>
      </c>
      <c r="H364" s="8" t="s">
        <v>2352</v>
      </c>
      <c r="I364" s="8" t="s">
        <v>5137</v>
      </c>
      <c r="J364" s="8" t="s">
        <v>12008</v>
      </c>
      <c r="K364" t="s">
        <v>12371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8" t="s">
        <v>226</v>
      </c>
      <c r="E365" s="8" t="s">
        <v>5045</v>
      </c>
      <c r="F365" s="8" t="s">
        <v>58</v>
      </c>
      <c r="H365" s="8" t="s">
        <v>2352</v>
      </c>
      <c r="I365" s="8" t="s">
        <v>5140</v>
      </c>
      <c r="J365" s="8" t="s">
        <v>12008</v>
      </c>
      <c r="K365" t="s">
        <v>12372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8" t="s">
        <v>226</v>
      </c>
      <c r="E366" s="8" t="s">
        <v>5045</v>
      </c>
      <c r="F366" s="8" t="s">
        <v>58</v>
      </c>
      <c r="H366" s="8" t="s">
        <v>5211</v>
      </c>
      <c r="I366" s="8" t="s">
        <v>5143</v>
      </c>
      <c r="J366" s="8" t="s">
        <v>12008</v>
      </c>
      <c r="K366" t="s">
        <v>12373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8" t="s">
        <v>226</v>
      </c>
      <c r="E367" s="8" t="s">
        <v>5045</v>
      </c>
      <c r="F367" s="8" t="s">
        <v>58</v>
      </c>
      <c r="H367" s="8" t="s">
        <v>2352</v>
      </c>
      <c r="I367" s="8" t="s">
        <v>5146</v>
      </c>
      <c r="J367" s="8" t="s">
        <v>12008</v>
      </c>
      <c r="K367" t="s">
        <v>12374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8" t="s">
        <v>226</v>
      </c>
      <c r="E368" s="8" t="s">
        <v>5045</v>
      </c>
      <c r="F368" s="8" t="s">
        <v>58</v>
      </c>
      <c r="H368" s="8" t="s">
        <v>2352</v>
      </c>
      <c r="I368" s="8" t="s">
        <v>5149</v>
      </c>
      <c r="J368" s="8" t="s">
        <v>12008</v>
      </c>
      <c r="K368" t="s">
        <v>12375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8" t="s">
        <v>226</v>
      </c>
      <c r="E369" s="8" t="s">
        <v>5045</v>
      </c>
      <c r="F369" s="8" t="s">
        <v>58</v>
      </c>
      <c r="H369" s="8" t="s">
        <v>2352</v>
      </c>
      <c r="I369" s="8" t="s">
        <v>5152</v>
      </c>
      <c r="J369" s="8" t="s">
        <v>12008</v>
      </c>
      <c r="K369" t="s">
        <v>12376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8" t="s">
        <v>226</v>
      </c>
      <c r="E370" s="8" t="s">
        <v>5045</v>
      </c>
      <c r="F370" s="8" t="s">
        <v>58</v>
      </c>
      <c r="H370" s="8" t="s">
        <v>1287</v>
      </c>
      <c r="I370" s="8" t="s">
        <v>5155</v>
      </c>
      <c r="J370" s="8" t="s">
        <v>12008</v>
      </c>
      <c r="K370" t="s">
        <v>12377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8" t="s">
        <v>226</v>
      </c>
      <c r="E371" s="8" t="s">
        <v>5045</v>
      </c>
      <c r="F371" s="8" t="s">
        <v>58</v>
      </c>
      <c r="H371" s="8" t="s">
        <v>2352</v>
      </c>
      <c r="I371" s="8" t="s">
        <v>5158</v>
      </c>
      <c r="J371" s="8" t="s">
        <v>12008</v>
      </c>
      <c r="K371" t="s">
        <v>12378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8" t="s">
        <v>226</v>
      </c>
      <c r="E372" s="8" t="s">
        <v>5045</v>
      </c>
      <c r="F372" s="8" t="s">
        <v>58</v>
      </c>
      <c r="H372" s="8" t="s">
        <v>2352</v>
      </c>
      <c r="I372" s="8" t="s">
        <v>5161</v>
      </c>
      <c r="J372" s="8" t="s">
        <v>12008</v>
      </c>
      <c r="K372" t="s">
        <v>12379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8" t="s">
        <v>226</v>
      </c>
      <c r="E373" s="8" t="s">
        <v>5045</v>
      </c>
      <c r="F373" s="8" t="s">
        <v>58</v>
      </c>
      <c r="H373" s="8" t="s">
        <v>2352</v>
      </c>
      <c r="I373" s="8" t="s">
        <v>5164</v>
      </c>
      <c r="J373" s="8" t="s">
        <v>12008</v>
      </c>
      <c r="K373" t="s">
        <v>12380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8" t="s">
        <v>587</v>
      </c>
      <c r="E374" s="8" t="s">
        <v>5045</v>
      </c>
      <c r="F374" s="8" t="s">
        <v>58</v>
      </c>
      <c r="H374" s="8"/>
      <c r="I374" s="8" t="s">
        <v>5167</v>
      </c>
      <c r="J374" s="8" t="s">
        <v>12008</v>
      </c>
      <c r="K374" t="s">
        <v>12381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8" t="s">
        <v>1273</v>
      </c>
      <c r="E375" s="8" t="s">
        <v>5212</v>
      </c>
      <c r="F375" s="8"/>
      <c r="H375" s="8"/>
      <c r="I375" s="8" t="s">
        <v>5169</v>
      </c>
      <c r="J375" s="8" t="s">
        <v>12008</v>
      </c>
      <c r="K375" t="s">
        <v>12382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8" t="s">
        <v>4</v>
      </c>
      <c r="E376" s="8" t="s">
        <v>5213</v>
      </c>
      <c r="F376" s="8"/>
      <c r="H376" s="8"/>
      <c r="I376" s="8" t="s">
        <v>5171</v>
      </c>
      <c r="J376" s="8" t="s">
        <v>12008</v>
      </c>
      <c r="K376" t="s">
        <v>12383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8" t="s">
        <v>226</v>
      </c>
      <c r="E377" s="8" t="s">
        <v>5212</v>
      </c>
      <c r="F377" s="8" t="s">
        <v>892</v>
      </c>
      <c r="G377">
        <v>2</v>
      </c>
      <c r="H377" s="8"/>
      <c r="I377" s="8" t="s">
        <v>5173</v>
      </c>
      <c r="J377" s="8" t="s">
        <v>12008</v>
      </c>
      <c r="K377" t="s">
        <v>12384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8" t="s">
        <v>587</v>
      </c>
      <c r="E378" s="8" t="s">
        <v>5212</v>
      </c>
      <c r="F378" s="8" t="s">
        <v>892</v>
      </c>
      <c r="H378" s="8"/>
      <c r="I378" s="8" t="s">
        <v>5176</v>
      </c>
      <c r="J378" s="8" t="s">
        <v>12008</v>
      </c>
      <c r="K378" t="s">
        <v>12385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8" t="s">
        <v>3388</v>
      </c>
      <c r="E379" s="8" t="s">
        <v>86</v>
      </c>
      <c r="F379" s="8" t="s">
        <v>465</v>
      </c>
      <c r="H379" s="8" t="s">
        <v>4098</v>
      </c>
      <c r="I379" s="8" t="s">
        <v>5178</v>
      </c>
      <c r="J379" s="8" t="s">
        <v>12008</v>
      </c>
      <c r="K379" t="s">
        <v>12386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8" t="s">
        <v>3388</v>
      </c>
      <c r="E380" s="8" t="s">
        <v>86</v>
      </c>
      <c r="F380" s="8" t="s">
        <v>465</v>
      </c>
      <c r="H380" s="8" t="s">
        <v>4098</v>
      </c>
      <c r="I380" s="8" t="s">
        <v>5180</v>
      </c>
      <c r="J380" s="8" t="s">
        <v>12008</v>
      </c>
      <c r="K380" t="s">
        <v>12387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8" t="s">
        <v>3388</v>
      </c>
      <c r="E381" s="8" t="s">
        <v>86</v>
      </c>
      <c r="F381" s="8" t="s">
        <v>1288</v>
      </c>
      <c r="H381" s="8" t="s">
        <v>4098</v>
      </c>
      <c r="I381" s="8" t="s">
        <v>5182</v>
      </c>
      <c r="J381" s="8" t="s">
        <v>12008</v>
      </c>
      <c r="K381" t="s">
        <v>12388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8" t="s">
        <v>4</v>
      </c>
      <c r="E382" s="8" t="s">
        <v>5214</v>
      </c>
      <c r="F382" s="8"/>
      <c r="H382" s="8"/>
      <c r="I382" s="8" t="s">
        <v>5184</v>
      </c>
      <c r="J382" s="8" t="s">
        <v>12008</v>
      </c>
      <c r="K382" t="s">
        <v>12389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8" t="s">
        <v>4</v>
      </c>
      <c r="E383" s="8" t="s">
        <v>5215</v>
      </c>
      <c r="F383" s="8"/>
      <c r="H383" s="8" t="s">
        <v>5216</v>
      </c>
      <c r="I383" s="8" t="s">
        <v>5186</v>
      </c>
      <c r="J383" s="8" t="s">
        <v>12008</v>
      </c>
      <c r="K383" t="s">
        <v>12390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8" t="s">
        <v>470</v>
      </c>
      <c r="E384" s="8" t="s">
        <v>468</v>
      </c>
      <c r="F384" s="8" t="s">
        <v>58</v>
      </c>
      <c r="H384" s="8" t="s">
        <v>3401</v>
      </c>
      <c r="I384" s="8" t="s">
        <v>5273</v>
      </c>
      <c r="J384" s="8" t="s">
        <v>12008</v>
      </c>
      <c r="K384" t="s">
        <v>12391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8" t="s">
        <v>470</v>
      </c>
      <c r="E385" s="8" t="s">
        <v>468</v>
      </c>
      <c r="F385" s="8" t="s">
        <v>58</v>
      </c>
      <c r="H385" s="8" t="s">
        <v>3401</v>
      </c>
      <c r="I385" s="8" t="s">
        <v>5275</v>
      </c>
      <c r="J385" s="8" t="s">
        <v>12008</v>
      </c>
      <c r="K385" t="s">
        <v>12392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8" t="s">
        <v>4</v>
      </c>
      <c r="E386" s="8" t="s">
        <v>8</v>
      </c>
      <c r="F386" s="8"/>
      <c r="H386" s="8"/>
      <c r="I386" s="8" t="s">
        <v>5277</v>
      </c>
      <c r="J386" s="8" t="s">
        <v>12008</v>
      </c>
      <c r="K386" t="s">
        <v>12393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8" t="s">
        <v>4</v>
      </c>
      <c r="E387" s="8" t="s">
        <v>8</v>
      </c>
      <c r="F387" s="8"/>
      <c r="H387" s="8"/>
      <c r="I387" s="8" t="s">
        <v>5279</v>
      </c>
      <c r="J387" s="8" t="s">
        <v>12008</v>
      </c>
      <c r="K387" t="s">
        <v>12394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8" t="s">
        <v>4</v>
      </c>
      <c r="E388" s="8" t="s">
        <v>8</v>
      </c>
      <c r="F388" s="8"/>
      <c r="H388" s="8"/>
      <c r="I388" s="8" t="s">
        <v>5281</v>
      </c>
      <c r="J388" s="8" t="s">
        <v>12008</v>
      </c>
      <c r="K388" t="s">
        <v>12395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8" t="s">
        <v>4</v>
      </c>
      <c r="E389" s="8" t="s">
        <v>8</v>
      </c>
      <c r="F389" s="8"/>
      <c r="H389" s="8"/>
      <c r="I389" s="8" t="s">
        <v>5283</v>
      </c>
      <c r="J389" s="8" t="s">
        <v>12008</v>
      </c>
      <c r="K389" t="s">
        <v>12396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8" t="s">
        <v>4</v>
      </c>
      <c r="E390" s="8" t="s">
        <v>8</v>
      </c>
      <c r="F390" s="8"/>
      <c r="H390" s="8"/>
      <c r="I390" s="8" t="s">
        <v>5285</v>
      </c>
      <c r="J390" s="8" t="s">
        <v>12008</v>
      </c>
      <c r="K390" t="s">
        <v>12397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8" t="s">
        <v>470</v>
      </c>
      <c r="E391" s="8" t="s">
        <v>468</v>
      </c>
      <c r="F391" s="8" t="s">
        <v>892</v>
      </c>
      <c r="H391" s="8"/>
      <c r="I391" s="8" t="s">
        <v>5287</v>
      </c>
      <c r="J391" s="8" t="s">
        <v>12008</v>
      </c>
      <c r="K391" t="s">
        <v>12398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8" t="s">
        <v>4</v>
      </c>
      <c r="E392" s="8" t="s">
        <v>8</v>
      </c>
      <c r="F392" s="8"/>
      <c r="H392" s="8"/>
      <c r="I392" s="8" t="s">
        <v>5289</v>
      </c>
      <c r="J392" s="8" t="s">
        <v>12008</v>
      </c>
      <c r="K392" t="s">
        <v>12399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8" t="s">
        <v>4</v>
      </c>
      <c r="E393" s="8" t="s">
        <v>8</v>
      </c>
      <c r="F393" s="8"/>
      <c r="H393" s="8"/>
      <c r="I393" s="8" t="s">
        <v>5291</v>
      </c>
      <c r="J393" s="8" t="s">
        <v>12008</v>
      </c>
      <c r="K393" t="s">
        <v>12400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8" t="s">
        <v>470</v>
      </c>
      <c r="E394" s="8" t="s">
        <v>468</v>
      </c>
      <c r="F394" s="8" t="s">
        <v>58</v>
      </c>
      <c r="H394" s="8" t="s">
        <v>3401</v>
      </c>
      <c r="I394" s="8" t="s">
        <v>5399</v>
      </c>
      <c r="J394" s="8" t="s">
        <v>12008</v>
      </c>
      <c r="K394" t="s">
        <v>12401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8" t="s">
        <v>470</v>
      </c>
      <c r="E395" s="8" t="s">
        <v>468</v>
      </c>
      <c r="F395" s="8" t="s">
        <v>5475</v>
      </c>
      <c r="H395" s="8" t="s">
        <v>3401</v>
      </c>
      <c r="I395" s="8" t="s">
        <v>5401</v>
      </c>
      <c r="J395" s="8" t="s">
        <v>12008</v>
      </c>
      <c r="K395" t="s">
        <v>12402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8" t="s">
        <v>470</v>
      </c>
      <c r="E396" s="8" t="s">
        <v>468</v>
      </c>
      <c r="F396" s="8" t="s">
        <v>58</v>
      </c>
      <c r="H396" s="8" t="s">
        <v>3401</v>
      </c>
      <c r="I396" s="8" t="s">
        <v>5403</v>
      </c>
      <c r="J396" s="8" t="s">
        <v>12008</v>
      </c>
      <c r="K396" t="s">
        <v>12403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8" t="s">
        <v>470</v>
      </c>
      <c r="E397" s="8" t="s">
        <v>468</v>
      </c>
      <c r="F397" s="8" t="s">
        <v>892</v>
      </c>
      <c r="H397" s="8" t="s">
        <v>3401</v>
      </c>
      <c r="I397" s="8" t="s">
        <v>5405</v>
      </c>
      <c r="J397" s="8" t="s">
        <v>12008</v>
      </c>
      <c r="K397" t="s">
        <v>12404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8" t="s">
        <v>470</v>
      </c>
      <c r="E398" s="8" t="s">
        <v>468</v>
      </c>
      <c r="F398" s="8" t="s">
        <v>58</v>
      </c>
      <c r="H398" s="8" t="s">
        <v>3401</v>
      </c>
      <c r="I398" s="8" t="s">
        <v>5407</v>
      </c>
      <c r="J398" s="8" t="s">
        <v>12008</v>
      </c>
      <c r="K398" t="s">
        <v>12405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8" t="s">
        <v>470</v>
      </c>
      <c r="E399" s="8" t="s">
        <v>468</v>
      </c>
      <c r="F399" s="8" t="s">
        <v>892</v>
      </c>
      <c r="H399" s="8" t="s">
        <v>3401</v>
      </c>
      <c r="I399" s="8" t="s">
        <v>5409</v>
      </c>
      <c r="J399" s="8" t="s">
        <v>12008</v>
      </c>
      <c r="K399" t="s">
        <v>12406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8" t="s">
        <v>470</v>
      </c>
      <c r="E400" s="8" t="s">
        <v>468</v>
      </c>
      <c r="F400" s="8" t="s">
        <v>58</v>
      </c>
      <c r="H400" s="8" t="s">
        <v>3401</v>
      </c>
      <c r="I400" s="8" t="s">
        <v>5411</v>
      </c>
      <c r="J400" s="8" t="s">
        <v>12008</v>
      </c>
      <c r="K400" t="s">
        <v>12407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8" t="s">
        <v>470</v>
      </c>
      <c r="E401" s="8" t="s">
        <v>468</v>
      </c>
      <c r="F401" s="8" t="s">
        <v>58</v>
      </c>
      <c r="H401" s="8" t="s">
        <v>3401</v>
      </c>
      <c r="I401" s="8" t="s">
        <v>5413</v>
      </c>
      <c r="J401" s="8" t="s">
        <v>12008</v>
      </c>
      <c r="K401" t="s">
        <v>12408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8" t="s">
        <v>470</v>
      </c>
      <c r="E402" s="8" t="s">
        <v>468</v>
      </c>
      <c r="F402" s="8" t="s">
        <v>892</v>
      </c>
      <c r="H402" s="8" t="s">
        <v>3401</v>
      </c>
      <c r="I402" s="8" t="s">
        <v>5415</v>
      </c>
      <c r="J402" s="8" t="s">
        <v>12008</v>
      </c>
      <c r="K402" t="s">
        <v>12409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8" t="s">
        <v>470</v>
      </c>
      <c r="E403" s="8" t="s">
        <v>468</v>
      </c>
      <c r="F403" s="8" t="s">
        <v>892</v>
      </c>
      <c r="H403" s="8" t="s">
        <v>3401</v>
      </c>
      <c r="I403" s="8" t="s">
        <v>5417</v>
      </c>
      <c r="J403" s="8" t="s">
        <v>12008</v>
      </c>
      <c r="K403" t="s">
        <v>12410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8" t="s">
        <v>470</v>
      </c>
      <c r="E404" s="8" t="s">
        <v>468</v>
      </c>
      <c r="F404" s="8" t="s">
        <v>5697</v>
      </c>
      <c r="H404" s="8" t="s">
        <v>5055</v>
      </c>
      <c r="I404" s="8" t="s">
        <v>5419</v>
      </c>
      <c r="J404" s="8" t="s">
        <v>12008</v>
      </c>
      <c r="K404" t="s">
        <v>12411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8" t="s">
        <v>4</v>
      </c>
      <c r="E405" s="8" t="s">
        <v>8</v>
      </c>
      <c r="F405" s="8"/>
      <c r="H405" s="8"/>
      <c r="I405" s="8" t="s">
        <v>5421</v>
      </c>
      <c r="J405" s="8" t="s">
        <v>12008</v>
      </c>
      <c r="K405" t="s">
        <v>12412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8" t="s">
        <v>470</v>
      </c>
      <c r="E406" s="8" t="s">
        <v>468</v>
      </c>
      <c r="F406" s="8" t="s">
        <v>58</v>
      </c>
      <c r="H406" s="8" t="s">
        <v>3401</v>
      </c>
      <c r="I406" s="8" t="s">
        <v>5423</v>
      </c>
      <c r="J406" s="8" t="s">
        <v>12008</v>
      </c>
      <c r="K406" t="s">
        <v>12413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8" t="s">
        <v>4</v>
      </c>
      <c r="E407" s="8" t="s">
        <v>8</v>
      </c>
      <c r="F407" s="8"/>
      <c r="H407" s="8"/>
      <c r="I407" s="8" t="s">
        <v>5587</v>
      </c>
      <c r="J407" s="8" t="s">
        <v>12008</v>
      </c>
      <c r="K407" t="s">
        <v>12414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8" t="s">
        <v>470</v>
      </c>
      <c r="E408" s="8" t="s">
        <v>468</v>
      </c>
      <c r="F408" s="8" t="s">
        <v>58</v>
      </c>
      <c r="H408" s="8" t="s">
        <v>2365</v>
      </c>
      <c r="I408" s="8" t="s">
        <v>5589</v>
      </c>
      <c r="J408" s="8" t="s">
        <v>12008</v>
      </c>
      <c r="K408" t="s">
        <v>12415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8" t="s">
        <v>470</v>
      </c>
      <c r="E409" s="8" t="s">
        <v>468</v>
      </c>
      <c r="F409" s="8" t="s">
        <v>58</v>
      </c>
      <c r="H409" s="8" t="s">
        <v>2352</v>
      </c>
      <c r="I409" s="8" t="s">
        <v>5591</v>
      </c>
      <c r="J409" s="8" t="s">
        <v>12008</v>
      </c>
      <c r="K409" t="s">
        <v>12416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8" t="s">
        <v>470</v>
      </c>
      <c r="E410" s="8" t="s">
        <v>468</v>
      </c>
      <c r="F410" s="8" t="s">
        <v>58</v>
      </c>
      <c r="H410" s="8" t="s">
        <v>3401</v>
      </c>
      <c r="I410" s="8" t="s">
        <v>5593</v>
      </c>
      <c r="J410" s="8" t="s">
        <v>12008</v>
      </c>
      <c r="K410" t="s">
        <v>12417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8" t="s">
        <v>3388</v>
      </c>
      <c r="E411" s="8" t="s">
        <v>4396</v>
      </c>
      <c r="F411" s="8" t="s">
        <v>2360</v>
      </c>
      <c r="H411" s="8"/>
      <c r="I411" s="8" t="s">
        <v>5595</v>
      </c>
      <c r="J411" s="8" t="s">
        <v>12008</v>
      </c>
      <c r="K411" t="s">
        <v>12418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8" t="s">
        <v>136</v>
      </c>
      <c r="E412" s="8" t="s">
        <v>86</v>
      </c>
      <c r="F412" s="8" t="s">
        <v>2360</v>
      </c>
      <c r="H412" s="8" t="s">
        <v>2370</v>
      </c>
      <c r="I412" s="8" t="s">
        <v>5597</v>
      </c>
      <c r="J412" s="8" t="s">
        <v>12008</v>
      </c>
      <c r="K412" t="s">
        <v>12419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8" t="s">
        <v>3388</v>
      </c>
      <c r="E413" s="8" t="s">
        <v>4396</v>
      </c>
      <c r="F413" s="8" t="s">
        <v>465</v>
      </c>
      <c r="H413" s="8"/>
      <c r="I413" s="8" t="s">
        <v>5599</v>
      </c>
      <c r="J413" s="8" t="s">
        <v>12008</v>
      </c>
      <c r="K413" t="s">
        <v>12420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8" t="s">
        <v>470</v>
      </c>
      <c r="E414" s="8" t="s">
        <v>468</v>
      </c>
      <c r="F414" s="8" t="s">
        <v>58</v>
      </c>
      <c r="H414" s="8" t="s">
        <v>3401</v>
      </c>
      <c r="I414" s="8" t="s">
        <v>5601</v>
      </c>
      <c r="J414" s="8" t="s">
        <v>12008</v>
      </c>
      <c r="K414" t="s">
        <v>12421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8" t="s">
        <v>470</v>
      </c>
      <c r="E415" s="8" t="s">
        <v>468</v>
      </c>
      <c r="F415" s="8" t="s">
        <v>58</v>
      </c>
      <c r="H415" s="8" t="s">
        <v>3401</v>
      </c>
      <c r="I415" s="8" t="s">
        <v>5603</v>
      </c>
      <c r="J415" s="8" t="s">
        <v>12008</v>
      </c>
      <c r="K415" t="s">
        <v>12422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8" t="s">
        <v>470</v>
      </c>
      <c r="E416" s="8" t="s">
        <v>468</v>
      </c>
      <c r="F416" s="8" t="s">
        <v>5475</v>
      </c>
      <c r="H416" s="8" t="s">
        <v>3401</v>
      </c>
      <c r="I416" s="8" t="s">
        <v>5605</v>
      </c>
      <c r="J416" s="8" t="s">
        <v>12008</v>
      </c>
      <c r="K416" t="s">
        <v>12423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8" t="s">
        <v>136</v>
      </c>
      <c r="E417" s="8" t="s">
        <v>468</v>
      </c>
      <c r="F417" s="8" t="s">
        <v>5475</v>
      </c>
      <c r="H417" s="8" t="s">
        <v>3401</v>
      </c>
      <c r="I417" s="8" t="s">
        <v>5607</v>
      </c>
      <c r="J417" s="8" t="s">
        <v>12008</v>
      </c>
      <c r="K417" t="s">
        <v>12424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8" t="s">
        <v>470</v>
      </c>
      <c r="E418" s="8" t="s">
        <v>468</v>
      </c>
      <c r="F418" s="8" t="s">
        <v>2360</v>
      </c>
      <c r="H418" s="8" t="s">
        <v>3401</v>
      </c>
      <c r="I418" s="8" t="s">
        <v>5609</v>
      </c>
      <c r="J418" s="8" t="s">
        <v>12008</v>
      </c>
      <c r="K418" t="s">
        <v>12425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8" t="s">
        <v>470</v>
      </c>
      <c r="E419" s="8" t="s">
        <v>468</v>
      </c>
      <c r="F419" s="8" t="s">
        <v>5698</v>
      </c>
      <c r="H419" s="8"/>
      <c r="I419" s="8" t="s">
        <v>5611</v>
      </c>
      <c r="J419" s="8" t="s">
        <v>12008</v>
      </c>
      <c r="K419" t="s">
        <v>12426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8" t="s">
        <v>470</v>
      </c>
      <c r="E420" s="8" t="s">
        <v>468</v>
      </c>
      <c r="F420" s="8" t="s">
        <v>5697</v>
      </c>
      <c r="H420" s="8" t="s">
        <v>5055</v>
      </c>
      <c r="I420" s="8" t="s">
        <v>5613</v>
      </c>
      <c r="J420" s="8" t="s">
        <v>12008</v>
      </c>
      <c r="K420" t="s">
        <v>12427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8" t="s">
        <v>3386</v>
      </c>
      <c r="E421" s="8" t="s">
        <v>86</v>
      </c>
      <c r="F421" s="8" t="s">
        <v>58</v>
      </c>
      <c r="H421" s="8" t="s">
        <v>1287</v>
      </c>
      <c r="I421" s="8" t="s">
        <v>5615</v>
      </c>
      <c r="J421" s="8" t="s">
        <v>12008</v>
      </c>
      <c r="K421" t="s">
        <v>12428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8" t="s">
        <v>136</v>
      </c>
      <c r="E422" s="8" t="s">
        <v>86</v>
      </c>
      <c r="F422" s="8" t="s">
        <v>58</v>
      </c>
      <c r="H422" s="8" t="s">
        <v>2370</v>
      </c>
      <c r="I422" s="8" t="s">
        <v>5617</v>
      </c>
      <c r="J422" s="8" t="s">
        <v>12008</v>
      </c>
      <c r="K422" t="s">
        <v>12429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8" t="s">
        <v>3386</v>
      </c>
      <c r="E423" s="8" t="s">
        <v>86</v>
      </c>
      <c r="F423" s="8" t="s">
        <v>2377</v>
      </c>
      <c r="H423" s="8" t="s">
        <v>1287</v>
      </c>
      <c r="I423" s="8" t="s">
        <v>5619</v>
      </c>
      <c r="J423" s="8" t="s">
        <v>12008</v>
      </c>
      <c r="K423" t="s">
        <v>12430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8" t="s">
        <v>3386</v>
      </c>
      <c r="E424" s="8" t="s">
        <v>86</v>
      </c>
      <c r="F424" s="8" t="s">
        <v>2377</v>
      </c>
      <c r="H424" s="8" t="s">
        <v>2352</v>
      </c>
      <c r="I424" s="8" t="s">
        <v>5621</v>
      </c>
      <c r="J424" s="8" t="s">
        <v>12008</v>
      </c>
      <c r="K424" t="s">
        <v>12431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8" t="s">
        <v>3386</v>
      </c>
      <c r="E425" s="8" t="s">
        <v>86</v>
      </c>
      <c r="F425" s="8" t="s">
        <v>2377</v>
      </c>
      <c r="H425" s="8" t="s">
        <v>2352</v>
      </c>
      <c r="I425" s="8" t="s">
        <v>5623</v>
      </c>
      <c r="J425" s="8" t="s">
        <v>12008</v>
      </c>
      <c r="K425" t="s">
        <v>12432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8" t="s">
        <v>470</v>
      </c>
      <c r="E426" s="8" t="s">
        <v>468</v>
      </c>
      <c r="F426" s="8" t="s">
        <v>5697</v>
      </c>
      <c r="H426" s="8" t="s">
        <v>5055</v>
      </c>
      <c r="I426" s="8" t="s">
        <v>5625</v>
      </c>
      <c r="J426" s="8" t="s">
        <v>12008</v>
      </c>
      <c r="K426" t="s">
        <v>12433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8" t="s">
        <v>470</v>
      </c>
      <c r="E427" s="8" t="s">
        <v>468</v>
      </c>
      <c r="F427" s="8" t="s">
        <v>58</v>
      </c>
      <c r="H427" s="8" t="s">
        <v>2370</v>
      </c>
      <c r="I427" s="8" t="s">
        <v>5627</v>
      </c>
      <c r="J427" s="8" t="s">
        <v>12008</v>
      </c>
      <c r="K427" t="s">
        <v>12434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8" t="s">
        <v>470</v>
      </c>
      <c r="E428" s="8" t="s">
        <v>468</v>
      </c>
      <c r="F428" s="8" t="s">
        <v>58</v>
      </c>
      <c r="H428" s="8" t="s">
        <v>2352</v>
      </c>
      <c r="I428" s="8" t="s">
        <v>5629</v>
      </c>
      <c r="J428" s="8" t="s">
        <v>12008</v>
      </c>
      <c r="K428" t="s">
        <v>12435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8" t="s">
        <v>470</v>
      </c>
      <c r="E429" s="8" t="s">
        <v>468</v>
      </c>
      <c r="F429" s="8" t="s">
        <v>58</v>
      </c>
      <c r="H429" s="8" t="s">
        <v>2370</v>
      </c>
      <c r="I429" s="8" t="s">
        <v>5631</v>
      </c>
      <c r="J429" s="8" t="s">
        <v>12008</v>
      </c>
      <c r="K429" t="s">
        <v>12436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8" t="s">
        <v>470</v>
      </c>
      <c r="E430" s="8" t="s">
        <v>468</v>
      </c>
      <c r="F430" s="8" t="s">
        <v>5696</v>
      </c>
      <c r="H430" s="8" t="s">
        <v>3401</v>
      </c>
      <c r="I430" s="8" t="s">
        <v>5633</v>
      </c>
      <c r="J430" s="8" t="s">
        <v>12008</v>
      </c>
      <c r="K430" t="s">
        <v>12437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8" t="s">
        <v>470</v>
      </c>
      <c r="E431" s="8" t="s">
        <v>468</v>
      </c>
      <c r="F431" s="8" t="s">
        <v>2462</v>
      </c>
      <c r="H431" s="8" t="s">
        <v>3401</v>
      </c>
      <c r="I431" s="8" t="s">
        <v>5635</v>
      </c>
      <c r="J431" s="8" t="s">
        <v>12008</v>
      </c>
      <c r="K431" t="s">
        <v>12438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8" t="s">
        <v>4</v>
      </c>
      <c r="E432" s="8" t="s">
        <v>8</v>
      </c>
      <c r="F432" s="8"/>
      <c r="H432" s="8"/>
      <c r="I432" s="8" t="s">
        <v>5637</v>
      </c>
      <c r="J432" s="8" t="s">
        <v>12008</v>
      </c>
      <c r="K432" t="s">
        <v>12439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8" t="s">
        <v>1607</v>
      </c>
      <c r="E433" s="8" t="s">
        <v>8</v>
      </c>
      <c r="F433" s="8"/>
      <c r="H433" s="8"/>
      <c r="I433" s="8" t="s">
        <v>5639</v>
      </c>
      <c r="J433" s="8" t="s">
        <v>12008</v>
      </c>
      <c r="K433" t="s">
        <v>12440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8" t="s">
        <v>1607</v>
      </c>
      <c r="E434" s="8" t="s">
        <v>8</v>
      </c>
      <c r="F434" s="8"/>
      <c r="H434" s="8"/>
      <c r="I434" s="8" t="s">
        <v>5723</v>
      </c>
      <c r="J434" s="8" t="s">
        <v>12008</v>
      </c>
      <c r="K434" t="s">
        <v>12441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8" t="s">
        <v>1607</v>
      </c>
      <c r="E435" s="8" t="s">
        <v>8</v>
      </c>
      <c r="F435" s="8"/>
      <c r="H435" s="8"/>
      <c r="I435" s="8" t="s">
        <v>5798</v>
      </c>
      <c r="J435" s="8" t="s">
        <v>12008</v>
      </c>
      <c r="K435" t="s">
        <v>12442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8" t="s">
        <v>1607</v>
      </c>
      <c r="E436" s="8" t="s">
        <v>8</v>
      </c>
      <c r="F436" s="8"/>
      <c r="H436" s="8"/>
      <c r="I436" s="8" t="s">
        <v>5800</v>
      </c>
      <c r="J436" s="8" t="s">
        <v>12008</v>
      </c>
      <c r="K436" t="s">
        <v>12443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8" t="s">
        <v>1607</v>
      </c>
      <c r="E437" s="8" t="s">
        <v>8</v>
      </c>
      <c r="F437" s="8"/>
      <c r="H437" s="8"/>
      <c r="I437" s="8" t="s">
        <v>5959</v>
      </c>
      <c r="J437" s="8" t="s">
        <v>12008</v>
      </c>
      <c r="K437" t="s">
        <v>12444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8" t="s">
        <v>6159</v>
      </c>
      <c r="E438" s="8" t="s">
        <v>1274</v>
      </c>
      <c r="F438" s="8"/>
      <c r="H438" s="8"/>
      <c r="I438" s="8" t="s">
        <v>5961</v>
      </c>
      <c r="J438" s="8" t="s">
        <v>12008</v>
      </c>
      <c r="K438" t="s">
        <v>12445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8" t="s">
        <v>6159</v>
      </c>
      <c r="E439" s="8" t="s">
        <v>1274</v>
      </c>
      <c r="F439" s="8"/>
      <c r="H439" s="8"/>
      <c r="I439" s="8" t="s">
        <v>5963</v>
      </c>
      <c r="J439" s="8" t="s">
        <v>12008</v>
      </c>
      <c r="K439" t="s">
        <v>12446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8" t="s">
        <v>1607</v>
      </c>
      <c r="E440" s="8" t="s">
        <v>8</v>
      </c>
      <c r="F440" s="8"/>
      <c r="H440" s="8"/>
      <c r="I440" s="8" t="s">
        <v>5965</v>
      </c>
      <c r="J440" s="8" t="s">
        <v>12008</v>
      </c>
      <c r="K440" t="s">
        <v>12447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8" t="s">
        <v>226</v>
      </c>
      <c r="E441" s="8" t="s">
        <v>70</v>
      </c>
      <c r="F441" s="8" t="s">
        <v>58</v>
      </c>
      <c r="H441" s="8" t="s">
        <v>1285</v>
      </c>
      <c r="I441" s="8" t="s">
        <v>5967</v>
      </c>
      <c r="J441" s="8" t="s">
        <v>12008</v>
      </c>
      <c r="K441" t="s">
        <v>12448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8" t="s">
        <v>226</v>
      </c>
      <c r="E442" s="8" t="s">
        <v>70</v>
      </c>
      <c r="F442" s="8" t="s">
        <v>58</v>
      </c>
      <c r="H442" s="8" t="s">
        <v>2352</v>
      </c>
      <c r="I442" s="8" t="s">
        <v>5970</v>
      </c>
      <c r="J442" s="8" t="s">
        <v>12008</v>
      </c>
      <c r="K442" t="s">
        <v>12449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8" t="s">
        <v>226</v>
      </c>
      <c r="E443" s="8" t="s">
        <v>70</v>
      </c>
      <c r="F443" s="8" t="s">
        <v>58</v>
      </c>
      <c r="H443" s="8" t="s">
        <v>2352</v>
      </c>
      <c r="I443" s="8" t="s">
        <v>5973</v>
      </c>
      <c r="J443" s="8" t="s">
        <v>12008</v>
      </c>
      <c r="K443" t="s">
        <v>12450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8" t="s">
        <v>226</v>
      </c>
      <c r="E444" s="8" t="s">
        <v>70</v>
      </c>
      <c r="F444" s="8" t="s">
        <v>58</v>
      </c>
      <c r="H444" s="8" t="s">
        <v>2352</v>
      </c>
      <c r="I444" s="8" t="s">
        <v>5976</v>
      </c>
      <c r="J444" s="8" t="s">
        <v>12008</v>
      </c>
      <c r="K444" t="s">
        <v>12451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8" t="s">
        <v>226</v>
      </c>
      <c r="E445" s="8" t="s">
        <v>70</v>
      </c>
      <c r="F445" s="8" t="s">
        <v>58</v>
      </c>
      <c r="H445" s="8" t="s">
        <v>2352</v>
      </c>
      <c r="I445" s="8" t="s">
        <v>5979</v>
      </c>
      <c r="J445" s="8" t="s">
        <v>12008</v>
      </c>
      <c r="K445" t="s">
        <v>12452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8" t="s">
        <v>587</v>
      </c>
      <c r="E446" s="8" t="s">
        <v>70</v>
      </c>
      <c r="F446" s="8" t="s">
        <v>58</v>
      </c>
      <c r="H446" s="8"/>
      <c r="I446" s="8" t="s">
        <v>5982</v>
      </c>
      <c r="J446" s="8" t="s">
        <v>12008</v>
      </c>
      <c r="K446" t="s">
        <v>12453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8" t="s">
        <v>6160</v>
      </c>
      <c r="E447" s="8" t="s">
        <v>468</v>
      </c>
      <c r="F447" s="8"/>
      <c r="H447" s="8"/>
      <c r="I447" s="8" t="s">
        <v>5984</v>
      </c>
      <c r="J447" s="8" t="s">
        <v>12008</v>
      </c>
      <c r="K447" t="s">
        <v>12454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8" t="s">
        <v>3388</v>
      </c>
      <c r="E448" s="8" t="s">
        <v>86</v>
      </c>
      <c r="F448" s="8" t="s">
        <v>6161</v>
      </c>
      <c r="H448" s="8"/>
      <c r="I448" s="8" t="s">
        <v>5986</v>
      </c>
      <c r="J448" s="8" t="s">
        <v>12008</v>
      </c>
      <c r="K448" t="s">
        <v>12455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8" t="s">
        <v>3388</v>
      </c>
      <c r="E449" s="8" t="s">
        <v>86</v>
      </c>
      <c r="F449" s="8" t="s">
        <v>6161</v>
      </c>
      <c r="H449" s="8" t="s">
        <v>2352</v>
      </c>
      <c r="I449" s="8" t="s">
        <v>5988</v>
      </c>
      <c r="J449" s="8" t="s">
        <v>12008</v>
      </c>
      <c r="K449" t="s">
        <v>12456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8" t="s">
        <v>3388</v>
      </c>
      <c r="E450" s="8" t="s">
        <v>86</v>
      </c>
      <c r="F450" s="8" t="s">
        <v>6161</v>
      </c>
      <c r="H450" s="8"/>
      <c r="I450" s="8" t="s">
        <v>5990</v>
      </c>
      <c r="J450" s="8" t="s">
        <v>12008</v>
      </c>
      <c r="K450" t="s">
        <v>12457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8" t="s">
        <v>1607</v>
      </c>
      <c r="E451" s="8" t="s">
        <v>8</v>
      </c>
      <c r="F451" s="8"/>
      <c r="H451" s="8"/>
      <c r="I451" s="8" t="s">
        <v>5992</v>
      </c>
      <c r="J451" s="8" t="s">
        <v>12008</v>
      </c>
      <c r="K451" t="s">
        <v>12458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8" t="s">
        <v>1607</v>
      </c>
      <c r="E452" s="8" t="s">
        <v>8</v>
      </c>
      <c r="F452" s="8"/>
      <c r="H452" s="8"/>
      <c r="I452" s="8" t="s">
        <v>5994</v>
      </c>
      <c r="J452" s="8" t="s">
        <v>12008</v>
      </c>
      <c r="K452" t="s">
        <v>12459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8" t="s">
        <v>1607</v>
      </c>
      <c r="E453" s="8" t="s">
        <v>8</v>
      </c>
      <c r="F453" s="8"/>
      <c r="H453" s="8"/>
      <c r="I453" s="8" t="s">
        <v>6184</v>
      </c>
      <c r="J453" s="8" t="s">
        <v>12008</v>
      </c>
      <c r="K453" t="s">
        <v>12460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8" t="s">
        <v>1273</v>
      </c>
      <c r="E454" s="8" t="s">
        <v>5310</v>
      </c>
      <c r="F454" s="8" t="s">
        <v>4070</v>
      </c>
      <c r="H454" s="8"/>
      <c r="I454" s="8" t="s">
        <v>6426</v>
      </c>
      <c r="J454" s="8" t="s">
        <v>12008</v>
      </c>
      <c r="K454" t="s">
        <v>12461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8" t="s">
        <v>6436</v>
      </c>
      <c r="E455" s="8" t="s">
        <v>5310</v>
      </c>
      <c r="F455" s="8" t="s">
        <v>4070</v>
      </c>
      <c r="H455" s="8" t="s">
        <v>6446</v>
      </c>
      <c r="I455" s="8" t="s">
        <v>6428</v>
      </c>
      <c r="J455" s="8" t="s">
        <v>12008</v>
      </c>
      <c r="K455" t="s">
        <v>12462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8" t="s">
        <v>587</v>
      </c>
      <c r="E456" s="8" t="s">
        <v>5310</v>
      </c>
      <c r="F456" s="8" t="s">
        <v>4070</v>
      </c>
      <c r="H456" s="8"/>
      <c r="I456" s="8" t="s">
        <v>6430</v>
      </c>
      <c r="J456" s="8" t="s">
        <v>12008</v>
      </c>
      <c r="K456" t="s">
        <v>12463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8" t="s">
        <v>4</v>
      </c>
      <c r="E457" s="8" t="s">
        <v>1274</v>
      </c>
      <c r="F457" s="8" t="s">
        <v>6447</v>
      </c>
      <c r="H457" s="8"/>
      <c r="I457" s="8" t="s">
        <v>6432</v>
      </c>
      <c r="J457" s="8" t="s">
        <v>12008</v>
      </c>
      <c r="K457" t="s">
        <v>12464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8" t="s">
        <v>1273</v>
      </c>
      <c r="E458" s="8" t="s">
        <v>70</v>
      </c>
      <c r="F458" s="8"/>
      <c r="H458" s="8"/>
      <c r="I458" s="8" t="s">
        <v>6550</v>
      </c>
      <c r="J458" s="8" t="s">
        <v>12008</v>
      </c>
      <c r="K458" t="s">
        <v>12465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8" t="s">
        <v>227</v>
      </c>
      <c r="E459" s="8" t="s">
        <v>70</v>
      </c>
      <c r="F459" s="8" t="s">
        <v>4087</v>
      </c>
      <c r="H459" s="8" t="s">
        <v>2365</v>
      </c>
      <c r="I459" s="8" t="s">
        <v>6552</v>
      </c>
      <c r="J459" s="8" t="s">
        <v>12008</v>
      </c>
      <c r="K459" t="s">
        <v>12466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8" t="s">
        <v>227</v>
      </c>
      <c r="E460" s="8" t="s">
        <v>70</v>
      </c>
      <c r="F460" s="8" t="s">
        <v>4087</v>
      </c>
      <c r="H460" s="8" t="s">
        <v>2365</v>
      </c>
      <c r="I460" s="8" t="s">
        <v>6554</v>
      </c>
      <c r="J460" s="8" t="s">
        <v>12008</v>
      </c>
      <c r="K460" t="s">
        <v>12467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8" t="s">
        <v>227</v>
      </c>
      <c r="E461" s="8" t="s">
        <v>70</v>
      </c>
      <c r="F461" s="8" t="s">
        <v>4087</v>
      </c>
      <c r="H461" s="8" t="s">
        <v>2365</v>
      </c>
      <c r="I461" s="8" t="s">
        <v>6556</v>
      </c>
      <c r="J461" s="8" t="s">
        <v>12008</v>
      </c>
      <c r="K461" t="s">
        <v>12468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8" t="s">
        <v>587</v>
      </c>
      <c r="E462" s="8" t="s">
        <v>70</v>
      </c>
      <c r="F462" s="8"/>
      <c r="H462" s="8"/>
      <c r="I462" s="8" t="s">
        <v>6558</v>
      </c>
      <c r="J462" s="8" t="s">
        <v>12008</v>
      </c>
      <c r="K462" t="s">
        <v>12469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8" t="s">
        <v>470</v>
      </c>
      <c r="E463" s="8" t="s">
        <v>468</v>
      </c>
      <c r="F463" s="8" t="s">
        <v>6677</v>
      </c>
      <c r="H463" s="8"/>
      <c r="I463" s="8" t="s">
        <v>6560</v>
      </c>
      <c r="J463" s="8" t="s">
        <v>12008</v>
      </c>
      <c r="K463" t="s">
        <v>12470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8" t="s">
        <v>4</v>
      </c>
      <c r="E464" s="8" t="s">
        <v>468</v>
      </c>
      <c r="F464" s="8"/>
      <c r="H464" s="8"/>
      <c r="I464" s="8" t="s">
        <v>6562</v>
      </c>
      <c r="J464" s="8" t="s">
        <v>12008</v>
      </c>
      <c r="K464" t="s">
        <v>12471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8" t="s">
        <v>4</v>
      </c>
      <c r="E465" s="8" t="s">
        <v>6678</v>
      </c>
      <c r="F465" s="8"/>
      <c r="H465" s="8"/>
      <c r="I465" s="8" t="s">
        <v>6564</v>
      </c>
      <c r="J465" s="8" t="s">
        <v>12008</v>
      </c>
      <c r="K465" t="s">
        <v>12472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8" t="s">
        <v>4</v>
      </c>
      <c r="E466" s="8" t="s">
        <v>6678</v>
      </c>
      <c r="F466" s="8"/>
      <c r="H466" s="8"/>
      <c r="I466" s="8" t="s">
        <v>6566</v>
      </c>
      <c r="J466" s="8" t="s">
        <v>12008</v>
      </c>
      <c r="K466" t="s">
        <v>12473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8" t="s">
        <v>4</v>
      </c>
      <c r="E467" s="8" t="s">
        <v>6680</v>
      </c>
      <c r="F467" s="8"/>
      <c r="H467" s="8"/>
      <c r="I467" s="8" t="s">
        <v>6568</v>
      </c>
      <c r="J467" s="8" t="s">
        <v>12008</v>
      </c>
      <c r="K467" t="s">
        <v>12474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8" t="s">
        <v>226</v>
      </c>
      <c r="E468" s="8" t="s">
        <v>6679</v>
      </c>
      <c r="F468" s="8" t="s">
        <v>1288</v>
      </c>
      <c r="H468" s="8"/>
      <c r="I468" s="8" t="s">
        <v>6570</v>
      </c>
      <c r="J468" s="8" t="s">
        <v>12008</v>
      </c>
      <c r="K468" t="s">
        <v>12475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8" t="s">
        <v>4</v>
      </c>
      <c r="E469" s="8" t="s">
        <v>8</v>
      </c>
      <c r="F469" s="8"/>
      <c r="H469" s="8"/>
      <c r="I469" s="8" t="s">
        <v>6573</v>
      </c>
      <c r="J469" s="8" t="s">
        <v>12008</v>
      </c>
      <c r="K469" t="s">
        <v>12476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8" t="s">
        <v>4</v>
      </c>
      <c r="E470" s="8" t="s">
        <v>8</v>
      </c>
      <c r="F470" s="8"/>
      <c r="H470" s="8"/>
      <c r="I470" s="8" t="s">
        <v>6575</v>
      </c>
      <c r="J470" s="8" t="s">
        <v>12008</v>
      </c>
      <c r="K470" t="s">
        <v>12477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8" t="s">
        <v>4</v>
      </c>
      <c r="E471" s="8" t="s">
        <v>8</v>
      </c>
      <c r="F471" s="8"/>
      <c r="H471" s="8"/>
      <c r="I471" s="8" t="s">
        <v>6577</v>
      </c>
      <c r="J471" s="8" t="s">
        <v>12008</v>
      </c>
      <c r="K471" t="s">
        <v>12478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8" t="s">
        <v>1273</v>
      </c>
      <c r="E472" s="8" t="s">
        <v>70</v>
      </c>
      <c r="F472" s="8"/>
      <c r="H472" s="8"/>
      <c r="I472" s="8" t="s">
        <v>6579</v>
      </c>
      <c r="J472" s="8" t="s">
        <v>12008</v>
      </c>
      <c r="K472" t="s">
        <v>12479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8" t="s">
        <v>227</v>
      </c>
      <c r="E473" s="8" t="s">
        <v>70</v>
      </c>
      <c r="F473" s="8" t="s">
        <v>4087</v>
      </c>
      <c r="H473" s="8"/>
      <c r="I473" s="8" t="s">
        <v>6581</v>
      </c>
      <c r="J473" s="8" t="s">
        <v>12008</v>
      </c>
      <c r="K473" t="s">
        <v>12480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8" t="s">
        <v>227</v>
      </c>
      <c r="E474" s="8" t="s">
        <v>70</v>
      </c>
      <c r="F474" s="8" t="s">
        <v>4087</v>
      </c>
      <c r="H474" s="8"/>
      <c r="I474" s="8" t="s">
        <v>6583</v>
      </c>
      <c r="J474" s="8" t="s">
        <v>12008</v>
      </c>
      <c r="K474" t="s">
        <v>12481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8" t="s">
        <v>227</v>
      </c>
      <c r="E475" s="8" t="s">
        <v>70</v>
      </c>
      <c r="F475" s="8" t="s">
        <v>4087</v>
      </c>
      <c r="H475" s="8"/>
      <c r="I475" s="8" t="s">
        <v>6585</v>
      </c>
      <c r="J475" s="8" t="s">
        <v>12008</v>
      </c>
      <c r="K475" t="s">
        <v>12482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8" t="s">
        <v>587</v>
      </c>
      <c r="E476" s="8" t="s">
        <v>70</v>
      </c>
      <c r="F476" s="8"/>
      <c r="H476" s="8"/>
      <c r="I476" s="8" t="s">
        <v>6587</v>
      </c>
      <c r="J476" s="8" t="s">
        <v>12008</v>
      </c>
      <c r="K476" t="s">
        <v>12483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8" t="s">
        <v>1273</v>
      </c>
      <c r="E477" s="8" t="s">
        <v>6681</v>
      </c>
      <c r="F477" s="8"/>
      <c r="H477" s="8" t="s">
        <v>6682</v>
      </c>
      <c r="I477" s="8" t="s">
        <v>6589</v>
      </c>
      <c r="J477" s="8" t="s">
        <v>12008</v>
      </c>
      <c r="K477" t="s">
        <v>12484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8" t="s">
        <v>4921</v>
      </c>
      <c r="E478" s="8" t="s">
        <v>6681</v>
      </c>
      <c r="F478" s="8"/>
      <c r="H478" s="8" t="s">
        <v>6683</v>
      </c>
      <c r="I478" s="8" t="s">
        <v>6591</v>
      </c>
      <c r="J478" s="8" t="s">
        <v>12008</v>
      </c>
      <c r="K478" t="s">
        <v>12485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8" t="s">
        <v>587</v>
      </c>
      <c r="E479" s="8" t="s">
        <v>6681</v>
      </c>
      <c r="F479" s="8"/>
      <c r="H479" s="8"/>
      <c r="I479" s="8" t="s">
        <v>6593</v>
      </c>
      <c r="J479" s="8" t="s">
        <v>12008</v>
      </c>
      <c r="K479" t="s">
        <v>12486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8" t="s">
        <v>6684</v>
      </c>
      <c r="E480" s="8" t="s">
        <v>4087</v>
      </c>
      <c r="F480" s="8"/>
      <c r="H480" s="8" t="s">
        <v>6685</v>
      </c>
      <c r="I480" s="8" t="s">
        <v>6595</v>
      </c>
      <c r="J480" s="8" t="s">
        <v>12008</v>
      </c>
      <c r="K480" t="s">
        <v>12487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8" t="s">
        <v>1607</v>
      </c>
      <c r="E481" s="8" t="s">
        <v>8</v>
      </c>
      <c r="F481" s="8"/>
      <c r="H481" s="8"/>
      <c r="I481" s="8" t="s">
        <v>6597</v>
      </c>
      <c r="J481" s="8" t="s">
        <v>12008</v>
      </c>
      <c r="K481" t="s">
        <v>12488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8" t="s">
        <v>1607</v>
      </c>
      <c r="E482" s="8" t="s">
        <v>8</v>
      </c>
      <c r="F482" s="8"/>
      <c r="H482" s="8"/>
      <c r="I482" s="8" t="s">
        <v>6599</v>
      </c>
      <c r="J482" s="8" t="s">
        <v>12008</v>
      </c>
      <c r="K482" t="s">
        <v>12489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8" t="s">
        <v>1607</v>
      </c>
      <c r="E483" s="8" t="s">
        <v>8</v>
      </c>
      <c r="F483" s="8"/>
      <c r="H483" s="8"/>
      <c r="I483" s="8" t="s">
        <v>6749</v>
      </c>
      <c r="J483" s="8" t="s">
        <v>12008</v>
      </c>
      <c r="K483" t="s">
        <v>12490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8" t="s">
        <v>1607</v>
      </c>
      <c r="E484" s="8" t="s">
        <v>8</v>
      </c>
      <c r="F484" s="8"/>
      <c r="H484" s="8"/>
      <c r="I484" s="8" t="s">
        <v>6751</v>
      </c>
      <c r="J484" s="8" t="s">
        <v>12008</v>
      </c>
      <c r="K484" t="s">
        <v>12491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8" t="s">
        <v>1607</v>
      </c>
      <c r="E485" s="8" t="s">
        <v>8</v>
      </c>
      <c r="F485" s="8"/>
      <c r="H485" s="8"/>
      <c r="I485" s="8" t="s">
        <v>6753</v>
      </c>
      <c r="J485" s="8" t="s">
        <v>12008</v>
      </c>
      <c r="K485" t="s">
        <v>12492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8" t="s">
        <v>1607</v>
      </c>
      <c r="E486" s="8" t="s">
        <v>8</v>
      </c>
      <c r="F486" s="8"/>
      <c r="H486" s="8"/>
      <c r="I486" s="8" t="s">
        <v>6963</v>
      </c>
      <c r="J486" s="8" t="s">
        <v>12008</v>
      </c>
      <c r="K486" t="s">
        <v>12493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8" t="s">
        <v>1607</v>
      </c>
      <c r="E487" s="8" t="s">
        <v>7068</v>
      </c>
      <c r="F487" s="8"/>
      <c r="H487" s="8"/>
      <c r="I487" s="8" t="s">
        <v>6965</v>
      </c>
      <c r="J487" s="8" t="s">
        <v>12008</v>
      </c>
      <c r="K487" t="s">
        <v>12494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8" t="s">
        <v>1607</v>
      </c>
      <c r="E488" s="8" t="s">
        <v>7068</v>
      </c>
      <c r="F488" s="8"/>
      <c r="H488" s="8"/>
      <c r="I488" s="8" t="s">
        <v>6967</v>
      </c>
      <c r="J488" s="8" t="s">
        <v>12008</v>
      </c>
      <c r="K488" t="s">
        <v>12495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8" t="s">
        <v>1607</v>
      </c>
      <c r="E489" s="8" t="s">
        <v>8</v>
      </c>
      <c r="F489" s="8"/>
      <c r="H489" s="8"/>
      <c r="I489" s="8" t="s">
        <v>6969</v>
      </c>
      <c r="J489" s="8" t="s">
        <v>12008</v>
      </c>
      <c r="K489" t="s">
        <v>12496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8" t="s">
        <v>1607</v>
      </c>
      <c r="E490" s="8" t="s">
        <v>7068</v>
      </c>
      <c r="F490" s="8"/>
      <c r="H490" s="8"/>
      <c r="I490" s="8" t="s">
        <v>6971</v>
      </c>
      <c r="J490" s="8" t="s">
        <v>12008</v>
      </c>
      <c r="K490" t="s">
        <v>12497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8" t="s">
        <v>1607</v>
      </c>
      <c r="E491" s="8" t="s">
        <v>7068</v>
      </c>
      <c r="F491" s="8"/>
      <c r="H491" s="8"/>
      <c r="I491" s="8" t="s">
        <v>6973</v>
      </c>
      <c r="J491" s="8" t="s">
        <v>12008</v>
      </c>
      <c r="K491" t="s">
        <v>12498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8" t="s">
        <v>4</v>
      </c>
      <c r="E492" s="8" t="s">
        <v>7047</v>
      </c>
      <c r="F492" s="8"/>
      <c r="H492" s="8"/>
      <c r="I492" s="8" t="s">
        <v>6975</v>
      </c>
      <c r="J492" s="8" t="s">
        <v>12008</v>
      </c>
      <c r="K492" t="s">
        <v>12499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8" t="s">
        <v>4</v>
      </c>
      <c r="E493" s="8" t="s">
        <v>8</v>
      </c>
      <c r="F493" s="8"/>
      <c r="H493" s="8"/>
      <c r="I493" s="8" t="s">
        <v>7221</v>
      </c>
      <c r="J493" s="8" t="s">
        <v>12008</v>
      </c>
      <c r="K493" t="s">
        <v>12500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8" t="s">
        <v>226</v>
      </c>
      <c r="E494" s="8" t="s">
        <v>86</v>
      </c>
      <c r="F494" s="8" t="s">
        <v>7344</v>
      </c>
      <c r="H494" s="8"/>
      <c r="I494" s="8" t="s">
        <v>7223</v>
      </c>
      <c r="J494" s="8" t="s">
        <v>12008</v>
      </c>
      <c r="K494" t="s">
        <v>12501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8" t="s">
        <v>3386</v>
      </c>
      <c r="E495" s="8" t="s">
        <v>86</v>
      </c>
      <c r="F495" s="8" t="s">
        <v>7344</v>
      </c>
      <c r="H495" s="8"/>
      <c r="I495" s="8" t="s">
        <v>7225</v>
      </c>
      <c r="J495" s="8" t="s">
        <v>12008</v>
      </c>
      <c r="K495" t="s">
        <v>12502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8" t="s">
        <v>3386</v>
      </c>
      <c r="E496" s="8" t="s">
        <v>7361</v>
      </c>
      <c r="F496" s="8" t="s">
        <v>7344</v>
      </c>
      <c r="H496" s="8"/>
      <c r="I496" s="8" t="s">
        <v>7227</v>
      </c>
      <c r="J496" s="8" t="s">
        <v>12008</v>
      </c>
      <c r="K496" t="s">
        <v>12503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8" t="s">
        <v>3388</v>
      </c>
      <c r="E497" s="8" t="s">
        <v>86</v>
      </c>
      <c r="F497" s="8" t="s">
        <v>60</v>
      </c>
      <c r="H497" s="8" t="s">
        <v>1272</v>
      </c>
      <c r="I497" s="8" t="s">
        <v>7229</v>
      </c>
      <c r="J497" s="8" t="s">
        <v>12008</v>
      </c>
      <c r="K497" t="s">
        <v>12504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8" t="s">
        <v>3388</v>
      </c>
      <c r="E498" s="8" t="s">
        <v>86</v>
      </c>
      <c r="F498" s="8" t="s">
        <v>7356</v>
      </c>
      <c r="H498" s="8"/>
      <c r="I498" s="8" t="s">
        <v>7231</v>
      </c>
      <c r="J498" s="8" t="s">
        <v>12008</v>
      </c>
      <c r="K498" t="s">
        <v>12505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8" t="s">
        <v>3388</v>
      </c>
      <c r="E499" s="8" t="s">
        <v>86</v>
      </c>
      <c r="F499" s="8" t="s">
        <v>7356</v>
      </c>
      <c r="H499" s="8" t="s">
        <v>2352</v>
      </c>
      <c r="I499" s="8" t="s">
        <v>7233</v>
      </c>
      <c r="J499" s="8" t="s">
        <v>12008</v>
      </c>
      <c r="K499" t="s">
        <v>12506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8" t="s">
        <v>3388</v>
      </c>
      <c r="E500" s="8" t="s">
        <v>86</v>
      </c>
      <c r="F500" s="8" t="s">
        <v>7357</v>
      </c>
      <c r="H500" s="8"/>
      <c r="I500" s="8" t="s">
        <v>7235</v>
      </c>
      <c r="J500" s="8" t="s">
        <v>12008</v>
      </c>
      <c r="K500" t="s">
        <v>12507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8" t="s">
        <v>3388</v>
      </c>
      <c r="E501" s="8" t="s">
        <v>86</v>
      </c>
      <c r="F501" s="8" t="s">
        <v>7357</v>
      </c>
      <c r="H501" s="8"/>
      <c r="I501" s="8" t="s">
        <v>7237</v>
      </c>
      <c r="J501" s="8" t="s">
        <v>12008</v>
      </c>
      <c r="K501" t="s">
        <v>12508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8" t="s">
        <v>3388</v>
      </c>
      <c r="E502" s="8" t="s">
        <v>86</v>
      </c>
      <c r="F502" s="8" t="s">
        <v>7357</v>
      </c>
      <c r="H502" s="8"/>
      <c r="I502" s="8" t="s">
        <v>7239</v>
      </c>
      <c r="J502" s="8" t="s">
        <v>12008</v>
      </c>
      <c r="K502" t="s">
        <v>12509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8" t="s">
        <v>3388</v>
      </c>
      <c r="E503" s="8" t="s">
        <v>86</v>
      </c>
      <c r="F503" s="8" t="s">
        <v>7357</v>
      </c>
      <c r="H503" s="8"/>
      <c r="I503" s="8" t="s">
        <v>7241</v>
      </c>
      <c r="J503" s="8" t="s">
        <v>12008</v>
      </c>
      <c r="K503" t="s">
        <v>12510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8" t="s">
        <v>3388</v>
      </c>
      <c r="E504" s="8" t="s">
        <v>86</v>
      </c>
      <c r="F504" s="8" t="s">
        <v>7357</v>
      </c>
      <c r="H504" s="8"/>
      <c r="I504" s="8" t="s">
        <v>7243</v>
      </c>
      <c r="J504" s="8" t="s">
        <v>12008</v>
      </c>
      <c r="K504" t="s">
        <v>12511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8" t="s">
        <v>3388</v>
      </c>
      <c r="E505" s="8" t="s">
        <v>86</v>
      </c>
      <c r="F505" s="8" t="s">
        <v>60</v>
      </c>
      <c r="H505" s="8" t="s">
        <v>1272</v>
      </c>
      <c r="I505" s="8" t="s">
        <v>7245</v>
      </c>
      <c r="J505" s="8" t="s">
        <v>12008</v>
      </c>
      <c r="K505" t="s">
        <v>12512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8" t="s">
        <v>3388</v>
      </c>
      <c r="E506" s="8" t="s">
        <v>86</v>
      </c>
      <c r="F506" s="8" t="s">
        <v>60</v>
      </c>
      <c r="H506" s="8" t="s">
        <v>1272</v>
      </c>
      <c r="I506" s="8" t="s">
        <v>7247</v>
      </c>
      <c r="J506" s="8" t="s">
        <v>12008</v>
      </c>
      <c r="K506" t="s">
        <v>12513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8" t="s">
        <v>3388</v>
      </c>
      <c r="E507" s="8" t="s">
        <v>86</v>
      </c>
      <c r="F507" s="8" t="s">
        <v>7357</v>
      </c>
      <c r="H507" s="8"/>
      <c r="I507" s="8" t="s">
        <v>7249</v>
      </c>
      <c r="J507" s="8" t="s">
        <v>12008</v>
      </c>
      <c r="K507" t="s">
        <v>12514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8" t="s">
        <v>470</v>
      </c>
      <c r="E508" s="8" t="s">
        <v>468</v>
      </c>
      <c r="F508" s="8" t="s">
        <v>58</v>
      </c>
      <c r="H508" s="8"/>
      <c r="I508" s="8" t="s">
        <v>7251</v>
      </c>
      <c r="J508" s="8" t="s">
        <v>12008</v>
      </c>
      <c r="K508" t="s">
        <v>12515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8" t="s">
        <v>470</v>
      </c>
      <c r="E509" s="8" t="s">
        <v>468</v>
      </c>
      <c r="F509" s="8" t="s">
        <v>58</v>
      </c>
      <c r="H509" s="8"/>
      <c r="I509" s="8" t="s">
        <v>7253</v>
      </c>
      <c r="J509" s="8" t="s">
        <v>12008</v>
      </c>
      <c r="K509" t="s">
        <v>12516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8" t="s">
        <v>470</v>
      </c>
      <c r="E510" s="8" t="s">
        <v>468</v>
      </c>
      <c r="F510" s="8" t="s">
        <v>58</v>
      </c>
      <c r="H510" s="8"/>
      <c r="I510" s="8" t="s">
        <v>7255</v>
      </c>
      <c r="J510" s="8" t="s">
        <v>12008</v>
      </c>
      <c r="K510" t="s">
        <v>12517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8" t="s">
        <v>470</v>
      </c>
      <c r="E511" s="8" t="s">
        <v>468</v>
      </c>
      <c r="F511" s="8" t="s">
        <v>58</v>
      </c>
      <c r="H511" s="8"/>
      <c r="I511" s="8" t="s">
        <v>7257</v>
      </c>
      <c r="J511" s="8" t="s">
        <v>12008</v>
      </c>
      <c r="K511" t="s">
        <v>12518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8" t="s">
        <v>470</v>
      </c>
      <c r="E512" s="8" t="s">
        <v>468</v>
      </c>
      <c r="F512" s="8" t="s">
        <v>58</v>
      </c>
      <c r="H512" s="8"/>
      <c r="I512" s="8" t="s">
        <v>7259</v>
      </c>
      <c r="J512" s="8" t="s">
        <v>12008</v>
      </c>
      <c r="K512" t="s">
        <v>12519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8" t="s">
        <v>470</v>
      </c>
      <c r="E513" s="8" t="s">
        <v>468</v>
      </c>
      <c r="F513" s="8" t="s">
        <v>7362</v>
      </c>
      <c r="H513" s="8"/>
      <c r="I513" s="8" t="s">
        <v>7261</v>
      </c>
      <c r="J513" s="8" t="s">
        <v>12008</v>
      </c>
      <c r="K513" t="s">
        <v>12520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8" t="s">
        <v>470</v>
      </c>
      <c r="E514" s="8" t="s">
        <v>468</v>
      </c>
      <c r="F514" s="8" t="s">
        <v>58</v>
      </c>
      <c r="H514" s="8"/>
      <c r="I514" s="8" t="s">
        <v>7263</v>
      </c>
      <c r="J514" s="8" t="s">
        <v>12008</v>
      </c>
      <c r="K514" t="s">
        <v>12521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8" t="s">
        <v>470</v>
      </c>
      <c r="E515" s="8" t="s">
        <v>468</v>
      </c>
      <c r="F515" s="8" t="s">
        <v>7356</v>
      </c>
      <c r="H515" s="8"/>
      <c r="I515" s="8" t="s">
        <v>7265</v>
      </c>
      <c r="J515" s="8" t="s">
        <v>12008</v>
      </c>
      <c r="K515" t="s">
        <v>12522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8" t="s">
        <v>3388</v>
      </c>
      <c r="E516" s="8" t="s">
        <v>86</v>
      </c>
      <c r="F516" s="8" t="s">
        <v>465</v>
      </c>
      <c r="H516" s="8"/>
      <c r="I516" s="8" t="s">
        <v>7267</v>
      </c>
      <c r="J516" s="8" t="s">
        <v>12008</v>
      </c>
      <c r="K516" t="s">
        <v>12523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8" t="s">
        <v>3388</v>
      </c>
      <c r="E517" s="8" t="s">
        <v>86</v>
      </c>
      <c r="F517" s="8" t="s">
        <v>465</v>
      </c>
      <c r="H517" s="8" t="s">
        <v>2352</v>
      </c>
      <c r="I517" s="8" t="s">
        <v>7269</v>
      </c>
      <c r="J517" s="8" t="s">
        <v>12008</v>
      </c>
      <c r="K517" t="s">
        <v>12524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8" t="s">
        <v>470</v>
      </c>
      <c r="E518" s="8" t="s">
        <v>468</v>
      </c>
      <c r="F518" s="8" t="s">
        <v>58</v>
      </c>
      <c r="H518" s="8"/>
      <c r="I518" s="8" t="s">
        <v>7271</v>
      </c>
      <c r="J518" s="8" t="s">
        <v>12008</v>
      </c>
      <c r="K518" t="s">
        <v>12525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8" t="s">
        <v>470</v>
      </c>
      <c r="E519" s="8" t="s">
        <v>468</v>
      </c>
      <c r="F519" s="8" t="s">
        <v>58</v>
      </c>
      <c r="H519" s="8"/>
      <c r="I519" s="8" t="s">
        <v>7273</v>
      </c>
      <c r="J519" s="8" t="s">
        <v>12008</v>
      </c>
      <c r="K519" t="s">
        <v>12526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8" t="s">
        <v>470</v>
      </c>
      <c r="E520" s="8" t="s">
        <v>468</v>
      </c>
      <c r="F520" s="8" t="s">
        <v>7363</v>
      </c>
      <c r="H520" s="8"/>
      <c r="I520" s="8" t="s">
        <v>7275</v>
      </c>
      <c r="J520" s="8" t="s">
        <v>12008</v>
      </c>
      <c r="K520" t="s">
        <v>12527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8" t="s">
        <v>470</v>
      </c>
      <c r="E521" s="8" t="s">
        <v>468</v>
      </c>
      <c r="F521" s="8" t="s">
        <v>7364</v>
      </c>
      <c r="H521" s="8"/>
      <c r="I521" s="8" t="s">
        <v>7277</v>
      </c>
      <c r="J521" s="8" t="s">
        <v>12008</v>
      </c>
      <c r="K521" t="s">
        <v>12528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8" t="s">
        <v>6436</v>
      </c>
      <c r="E522" s="8" t="s">
        <v>3358</v>
      </c>
      <c r="F522" s="8"/>
      <c r="H522" s="8"/>
      <c r="I522" s="8" t="s">
        <v>7430</v>
      </c>
      <c r="J522" s="8" t="s">
        <v>12008</v>
      </c>
      <c r="K522" t="s">
        <v>12529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8" t="s">
        <v>470</v>
      </c>
      <c r="E523" s="8" t="s">
        <v>1274</v>
      </c>
      <c r="F523" s="8" t="s">
        <v>58</v>
      </c>
      <c r="H523" s="8"/>
      <c r="I523" s="8" t="s">
        <v>7432</v>
      </c>
      <c r="J523" s="8" t="s">
        <v>12008</v>
      </c>
      <c r="K523" t="s">
        <v>12530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8" t="s">
        <v>6436</v>
      </c>
      <c r="E524" s="8" t="s">
        <v>3358</v>
      </c>
      <c r="F524" s="8"/>
      <c r="H524" s="8"/>
      <c r="I524" s="8" t="s">
        <v>7434</v>
      </c>
      <c r="J524" s="8" t="s">
        <v>12008</v>
      </c>
      <c r="K524" t="s">
        <v>12531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8" t="s">
        <v>4</v>
      </c>
      <c r="E525" s="8" t="s">
        <v>8</v>
      </c>
      <c r="F525" s="8"/>
      <c r="H525" s="8"/>
      <c r="I525" s="8" t="s">
        <v>7436</v>
      </c>
      <c r="J525" s="8" t="s">
        <v>12008</v>
      </c>
      <c r="K525" t="s">
        <v>12532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8" t="s">
        <v>470</v>
      </c>
      <c r="E526" s="8" t="s">
        <v>1274</v>
      </c>
      <c r="F526" s="8" t="s">
        <v>58</v>
      </c>
      <c r="H526" s="8" t="s">
        <v>7607</v>
      </c>
      <c r="I526" s="8" t="s">
        <v>7584</v>
      </c>
      <c r="J526" s="8" t="s">
        <v>12008</v>
      </c>
      <c r="K526" t="s">
        <v>12533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8" t="s">
        <v>470</v>
      </c>
      <c r="E527" s="8" t="s">
        <v>1274</v>
      </c>
      <c r="F527" s="8" t="s">
        <v>58</v>
      </c>
      <c r="H527" s="8" t="s">
        <v>7607</v>
      </c>
      <c r="I527" s="8" t="s">
        <v>7586</v>
      </c>
      <c r="J527" s="8" t="s">
        <v>12008</v>
      </c>
      <c r="K527" t="s">
        <v>12534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8" t="s">
        <v>470</v>
      </c>
      <c r="E528" s="8" t="s">
        <v>1274</v>
      </c>
      <c r="F528" s="8" t="s">
        <v>58</v>
      </c>
      <c r="H528" s="8" t="s">
        <v>2365</v>
      </c>
      <c r="I528" s="8" t="s">
        <v>7588</v>
      </c>
      <c r="J528" s="8" t="s">
        <v>12008</v>
      </c>
      <c r="K528" t="s">
        <v>12535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8" t="s">
        <v>1273</v>
      </c>
      <c r="E529" s="8" t="s">
        <v>7608</v>
      </c>
      <c r="F529" s="8"/>
      <c r="H529" s="8"/>
      <c r="I529" s="8" t="s">
        <v>7590</v>
      </c>
      <c r="J529" s="8" t="s">
        <v>12008</v>
      </c>
      <c r="K529" t="s">
        <v>12536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8" t="s">
        <v>587</v>
      </c>
      <c r="E530" s="8" t="s">
        <v>7608</v>
      </c>
      <c r="F530" s="8"/>
      <c r="H530" s="8"/>
      <c r="I530" s="8" t="s">
        <v>7592</v>
      </c>
      <c r="J530" s="8" t="s">
        <v>12008</v>
      </c>
      <c r="K530" t="s">
        <v>12537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8" t="s">
        <v>470</v>
      </c>
      <c r="E531" s="8" t="s">
        <v>1274</v>
      </c>
      <c r="F531" s="8" t="s">
        <v>58</v>
      </c>
      <c r="H531" s="8" t="s">
        <v>7607</v>
      </c>
      <c r="I531" s="8" t="s">
        <v>7594</v>
      </c>
      <c r="J531" s="8" t="s">
        <v>12008</v>
      </c>
      <c r="K531" t="s">
        <v>12538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8" t="s">
        <v>1273</v>
      </c>
      <c r="E532" s="8" t="s">
        <v>7609</v>
      </c>
      <c r="F532" s="8"/>
      <c r="H532" s="8"/>
      <c r="I532" s="8" t="s">
        <v>7596</v>
      </c>
      <c r="J532" s="8" t="s">
        <v>12008</v>
      </c>
      <c r="K532" t="s">
        <v>12539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8" t="s">
        <v>226</v>
      </c>
      <c r="E533" s="8" t="s">
        <v>7609</v>
      </c>
      <c r="F533" s="8" t="s">
        <v>2360</v>
      </c>
      <c r="H533" s="8"/>
      <c r="I533" s="8" t="s">
        <v>7598</v>
      </c>
      <c r="J533" s="8" t="s">
        <v>12008</v>
      </c>
      <c r="K533" t="s">
        <v>12540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8" t="s">
        <v>587</v>
      </c>
      <c r="E534" s="8" t="s">
        <v>7609</v>
      </c>
      <c r="F534" s="8" t="s">
        <v>2360</v>
      </c>
      <c r="H534" s="8"/>
      <c r="I534" s="8" t="s">
        <v>7601</v>
      </c>
      <c r="J534" s="8" t="s">
        <v>12008</v>
      </c>
      <c r="K534" t="s">
        <v>12541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8" t="s">
        <v>470</v>
      </c>
      <c r="E535" s="8" t="s">
        <v>1274</v>
      </c>
      <c r="F535" s="8" t="s">
        <v>58</v>
      </c>
      <c r="H535" s="8" t="s">
        <v>7607</v>
      </c>
      <c r="I535" s="8" t="s">
        <v>7603</v>
      </c>
      <c r="J535" s="8" t="s">
        <v>12008</v>
      </c>
      <c r="K535" t="s">
        <v>12542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8" t="s">
        <v>4</v>
      </c>
      <c r="E536" s="8" t="s">
        <v>8</v>
      </c>
      <c r="F536" s="8"/>
      <c r="H536" s="8"/>
      <c r="I536" s="8" t="s">
        <v>7605</v>
      </c>
      <c r="J536" s="8" t="s">
        <v>12008</v>
      </c>
      <c r="K536" t="s">
        <v>12543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8" t="s">
        <v>4</v>
      </c>
      <c r="E537" s="8" t="s">
        <v>5310</v>
      </c>
      <c r="F537" s="8" t="s">
        <v>7464</v>
      </c>
      <c r="H537" s="8"/>
      <c r="I537" s="8" t="s">
        <v>7716</v>
      </c>
      <c r="J537" s="8" t="s">
        <v>12008</v>
      </c>
      <c r="K537" t="s">
        <v>12544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8" t="s">
        <v>4</v>
      </c>
      <c r="E538" s="8" t="s">
        <v>5310</v>
      </c>
      <c r="F538" s="8" t="s">
        <v>7464</v>
      </c>
      <c r="H538" s="8"/>
      <c r="I538" s="8" t="s">
        <v>7718</v>
      </c>
      <c r="J538" s="8" t="s">
        <v>12008</v>
      </c>
      <c r="K538" t="s">
        <v>12545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8" t="s">
        <v>470</v>
      </c>
      <c r="E539" s="8" t="s">
        <v>1274</v>
      </c>
      <c r="F539" s="8" t="s">
        <v>58</v>
      </c>
      <c r="H539" s="8"/>
      <c r="I539" s="8" t="s">
        <v>7720</v>
      </c>
      <c r="J539" s="8" t="s">
        <v>12008</v>
      </c>
      <c r="K539" t="s">
        <v>12546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8" t="s">
        <v>1607</v>
      </c>
      <c r="E540" s="8" t="s">
        <v>8</v>
      </c>
      <c r="F540" s="8"/>
      <c r="H540" s="8"/>
      <c r="I540" s="8" t="s">
        <v>7845</v>
      </c>
      <c r="J540" s="8" t="s">
        <v>12008</v>
      </c>
      <c r="K540" t="s">
        <v>12547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8" t="s">
        <v>470</v>
      </c>
      <c r="E541" s="8" t="s">
        <v>1274</v>
      </c>
      <c r="F541" s="8" t="s">
        <v>58</v>
      </c>
      <c r="H541" s="8"/>
      <c r="I541" s="8" t="s">
        <v>7847</v>
      </c>
      <c r="J541" s="8" t="s">
        <v>12008</v>
      </c>
      <c r="K541" t="s">
        <v>12548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8" t="s">
        <v>3388</v>
      </c>
      <c r="E542" s="8" t="s">
        <v>86</v>
      </c>
      <c r="F542" s="8" t="s">
        <v>7356</v>
      </c>
      <c r="H542" s="8"/>
      <c r="I542" s="8" t="s">
        <v>7849</v>
      </c>
      <c r="J542" s="8" t="s">
        <v>12008</v>
      </c>
      <c r="K542" t="s">
        <v>12549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8" t="s">
        <v>3388</v>
      </c>
      <c r="E543" s="8" t="s">
        <v>86</v>
      </c>
      <c r="F543" s="8" t="s">
        <v>7356</v>
      </c>
      <c r="H543" s="8"/>
      <c r="I543" s="8" t="s">
        <v>7851</v>
      </c>
      <c r="J543" s="8" t="s">
        <v>12008</v>
      </c>
      <c r="K543" t="s">
        <v>12550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8" t="s">
        <v>3388</v>
      </c>
      <c r="E544" s="8" t="s">
        <v>86</v>
      </c>
      <c r="F544" s="8" t="s">
        <v>7356</v>
      </c>
      <c r="H544" s="8"/>
      <c r="I544" s="8" t="s">
        <v>7853</v>
      </c>
      <c r="J544" s="8" t="s">
        <v>12008</v>
      </c>
      <c r="K544" t="s">
        <v>12551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8" t="s">
        <v>1273</v>
      </c>
      <c r="E545" s="8" t="s">
        <v>8099</v>
      </c>
      <c r="F545" s="8"/>
      <c r="H545" s="8"/>
      <c r="I545" s="8" t="s">
        <v>8023</v>
      </c>
      <c r="J545" s="8" t="s">
        <v>12008</v>
      </c>
      <c r="K545" t="s">
        <v>12552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8" t="s">
        <v>587</v>
      </c>
      <c r="E546" s="8" t="s">
        <v>8099</v>
      </c>
      <c r="F546" s="8"/>
      <c r="H546" s="8"/>
      <c r="I546" s="8" t="s">
        <v>8025</v>
      </c>
      <c r="J546" s="8" t="s">
        <v>12008</v>
      </c>
      <c r="K546" t="s">
        <v>12553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8" t="s">
        <v>137</v>
      </c>
      <c r="E547" s="8" t="s">
        <v>8099</v>
      </c>
      <c r="F547" s="8"/>
      <c r="H547" s="8"/>
      <c r="I547" s="8" t="s">
        <v>8027</v>
      </c>
      <c r="J547" s="8" t="s">
        <v>12008</v>
      </c>
      <c r="K547" t="s">
        <v>12554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8" t="s">
        <v>470</v>
      </c>
      <c r="E548" s="8" t="s">
        <v>1274</v>
      </c>
      <c r="F548" s="8" t="s">
        <v>58</v>
      </c>
      <c r="H548" s="8"/>
      <c r="I548" s="8" t="s">
        <v>8029</v>
      </c>
      <c r="J548" s="8" t="s">
        <v>12008</v>
      </c>
      <c r="K548" t="s">
        <v>12555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8" t="s">
        <v>8100</v>
      </c>
      <c r="E549" s="8" t="s">
        <v>8099</v>
      </c>
      <c r="F549" s="8"/>
      <c r="H549" s="8"/>
      <c r="I549" s="8" t="s">
        <v>8031</v>
      </c>
      <c r="J549" s="8" t="s">
        <v>12008</v>
      </c>
      <c r="K549" t="s">
        <v>12556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8" t="s">
        <v>470</v>
      </c>
      <c r="E550" s="8" t="s">
        <v>1274</v>
      </c>
      <c r="F550" s="8" t="s">
        <v>58</v>
      </c>
      <c r="H550" s="8"/>
      <c r="I550" s="8" t="s">
        <v>8033</v>
      </c>
      <c r="J550" s="8" t="s">
        <v>12008</v>
      </c>
      <c r="K550" t="s">
        <v>12557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8" t="s">
        <v>3388</v>
      </c>
      <c r="E551" s="8" t="s">
        <v>86</v>
      </c>
      <c r="F551" s="8" t="s">
        <v>7356</v>
      </c>
      <c r="H551" s="8"/>
      <c r="I551" s="8" t="s">
        <v>8035</v>
      </c>
      <c r="J551" s="8" t="s">
        <v>12008</v>
      </c>
      <c r="K551" t="s">
        <v>12558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8" t="s">
        <v>137</v>
      </c>
      <c r="E552" s="8" t="s">
        <v>3358</v>
      </c>
      <c r="F552" s="8"/>
      <c r="H552" s="8"/>
      <c r="I552" s="8" t="s">
        <v>8037</v>
      </c>
      <c r="J552" s="8" t="s">
        <v>12008</v>
      </c>
      <c r="K552" t="s">
        <v>12559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8" t="s">
        <v>470</v>
      </c>
      <c r="E553" s="8" t="s">
        <v>1274</v>
      </c>
      <c r="F553" s="8" t="s">
        <v>58</v>
      </c>
      <c r="H553" s="8"/>
      <c r="I553" s="8" t="s">
        <v>8039</v>
      </c>
      <c r="J553" s="8" t="s">
        <v>12008</v>
      </c>
      <c r="K553" t="s">
        <v>12560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8" t="s">
        <v>8101</v>
      </c>
      <c r="E554" s="8" t="s">
        <v>3358</v>
      </c>
      <c r="F554" s="8"/>
      <c r="H554" s="8"/>
      <c r="I554" s="8" t="s">
        <v>8041</v>
      </c>
      <c r="J554" s="8" t="s">
        <v>12008</v>
      </c>
      <c r="K554" t="s">
        <v>12561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8" t="s">
        <v>470</v>
      </c>
      <c r="E555" s="8" t="s">
        <v>1274</v>
      </c>
      <c r="F555" s="8" t="s">
        <v>58</v>
      </c>
      <c r="H555" s="8"/>
      <c r="I555" s="8" t="s">
        <v>8043</v>
      </c>
      <c r="J555" s="8" t="s">
        <v>12008</v>
      </c>
      <c r="K555" t="s">
        <v>12562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8" t="s">
        <v>3388</v>
      </c>
      <c r="E556" s="8" t="s">
        <v>86</v>
      </c>
      <c r="F556" s="8" t="s">
        <v>7356</v>
      </c>
      <c r="H556" s="8" t="s">
        <v>3401</v>
      </c>
      <c r="I556" s="8" t="s">
        <v>8045</v>
      </c>
      <c r="J556" s="8" t="s">
        <v>12008</v>
      </c>
      <c r="K556" t="s">
        <v>12563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8" t="s">
        <v>3388</v>
      </c>
      <c r="E557" s="8" t="s">
        <v>86</v>
      </c>
      <c r="F557" s="8" t="s">
        <v>7356</v>
      </c>
      <c r="H557" s="8" t="s">
        <v>3401</v>
      </c>
      <c r="I557" s="8" t="s">
        <v>8047</v>
      </c>
      <c r="J557" s="8" t="s">
        <v>12008</v>
      </c>
      <c r="K557" t="s">
        <v>12564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8" t="s">
        <v>470</v>
      </c>
      <c r="E558" s="8" t="s">
        <v>1274</v>
      </c>
      <c r="F558" s="8" t="s">
        <v>53</v>
      </c>
      <c r="H558" s="8"/>
      <c r="I558" s="8" t="s">
        <v>8049</v>
      </c>
      <c r="J558" s="8" t="s">
        <v>12008</v>
      </c>
      <c r="K558" t="s">
        <v>12565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8" t="s">
        <v>8371</v>
      </c>
      <c r="E559" s="8" t="s">
        <v>1274</v>
      </c>
      <c r="F559" s="8"/>
      <c r="H559" s="8"/>
      <c r="I559" s="8" t="s">
        <v>8325</v>
      </c>
      <c r="J559" s="8" t="s">
        <v>12008</v>
      </c>
      <c r="K559" t="s">
        <v>12566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8" t="s">
        <v>226</v>
      </c>
      <c r="E560" s="8" t="s">
        <v>7609</v>
      </c>
      <c r="F560" s="8" t="s">
        <v>58</v>
      </c>
      <c r="H560" s="8" t="s">
        <v>8372</v>
      </c>
      <c r="I560" s="8" t="s">
        <v>8332</v>
      </c>
      <c r="J560" s="8" t="s">
        <v>12008</v>
      </c>
      <c r="K560" t="s">
        <v>12567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8" t="s">
        <v>587</v>
      </c>
      <c r="E561" s="8" t="s">
        <v>7609</v>
      </c>
      <c r="F561" s="8" t="s">
        <v>58</v>
      </c>
      <c r="H561" s="8" t="s">
        <v>8373</v>
      </c>
      <c r="I561" s="8" t="s">
        <v>8335</v>
      </c>
      <c r="J561" s="8" t="s">
        <v>12008</v>
      </c>
      <c r="K561" t="s">
        <v>12568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8" t="s">
        <v>4</v>
      </c>
      <c r="E562" s="8" t="s">
        <v>8439</v>
      </c>
      <c r="F562" s="8"/>
      <c r="H562" s="8"/>
      <c r="I562" s="8" t="s">
        <v>8437</v>
      </c>
      <c r="J562" s="8" t="s">
        <v>12008</v>
      </c>
      <c r="K562" t="s">
        <v>12569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8" t="s">
        <v>4</v>
      </c>
      <c r="E563" s="8" t="s">
        <v>399</v>
      </c>
      <c r="F563" s="8"/>
      <c r="H563" s="8"/>
      <c r="I563" s="8" t="s">
        <v>8391</v>
      </c>
      <c r="J563" s="8" t="s">
        <v>12008</v>
      </c>
      <c r="K563" t="s">
        <v>12570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8" t="s">
        <v>4</v>
      </c>
      <c r="E564" s="8" t="s">
        <v>8528</v>
      </c>
      <c r="F564" s="8"/>
      <c r="H564" s="8"/>
      <c r="I564" s="8" t="s">
        <v>8496</v>
      </c>
      <c r="J564" s="8" t="s">
        <v>12008</v>
      </c>
      <c r="K564" t="s">
        <v>12571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8" t="s">
        <v>4</v>
      </c>
      <c r="E565" s="8" t="s">
        <v>8528</v>
      </c>
      <c r="F565" s="8"/>
      <c r="H565" s="8"/>
      <c r="I565" s="8" t="s">
        <v>8498</v>
      </c>
      <c r="J565" s="8" t="s">
        <v>12008</v>
      </c>
      <c r="K565" t="s">
        <v>12572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8" t="s">
        <v>4</v>
      </c>
      <c r="E566" s="8" t="s">
        <v>8528</v>
      </c>
      <c r="F566" s="8"/>
      <c r="H566" s="8"/>
      <c r="I566" s="8" t="s">
        <v>8500</v>
      </c>
      <c r="J566" s="8" t="s">
        <v>12008</v>
      </c>
      <c r="K566" t="s">
        <v>12573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8" t="s">
        <v>4</v>
      </c>
      <c r="E567" s="8" t="s">
        <v>8439</v>
      </c>
      <c r="F567" s="8"/>
      <c r="H567" s="8"/>
      <c r="I567" s="8" t="s">
        <v>8502</v>
      </c>
      <c r="J567" s="8" t="s">
        <v>12008</v>
      </c>
      <c r="K567" t="s">
        <v>12574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8" t="s">
        <v>3388</v>
      </c>
      <c r="E568" s="8" t="s">
        <v>86</v>
      </c>
      <c r="F568" s="8" t="s">
        <v>7356</v>
      </c>
      <c r="H568" s="8"/>
      <c r="I568" s="8" t="s">
        <v>8666</v>
      </c>
      <c r="J568" s="8" t="s">
        <v>12008</v>
      </c>
      <c r="K568" t="s">
        <v>12575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8" t="s">
        <v>470</v>
      </c>
      <c r="E569" s="8" t="s">
        <v>1274</v>
      </c>
      <c r="F569" s="8" t="s">
        <v>2345</v>
      </c>
      <c r="H569" s="8"/>
      <c r="I569" s="8" t="s">
        <v>8668</v>
      </c>
      <c r="J569" s="8" t="s">
        <v>12008</v>
      </c>
      <c r="K569" t="s">
        <v>12576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8" t="s">
        <v>3388</v>
      </c>
      <c r="E570" s="8" t="s">
        <v>86</v>
      </c>
      <c r="F570" s="8" t="s">
        <v>7356</v>
      </c>
      <c r="H570" s="8"/>
      <c r="I570" s="8" t="s">
        <v>8670</v>
      </c>
      <c r="J570" s="8" t="s">
        <v>12008</v>
      </c>
      <c r="K570" t="s">
        <v>12577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8" t="s">
        <v>470</v>
      </c>
      <c r="E571" s="8" t="s">
        <v>1274</v>
      </c>
      <c r="F571" s="8" t="s">
        <v>2345</v>
      </c>
      <c r="H571" s="8" t="s">
        <v>5055</v>
      </c>
      <c r="I571" s="8" t="s">
        <v>8672</v>
      </c>
      <c r="J571" s="8" t="s">
        <v>12008</v>
      </c>
      <c r="K571" t="s">
        <v>12578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8" t="s">
        <v>470</v>
      </c>
      <c r="E572" s="8" t="s">
        <v>1274</v>
      </c>
      <c r="F572" s="8" t="s">
        <v>2345</v>
      </c>
      <c r="H572" s="8"/>
      <c r="I572" s="8" t="s">
        <v>8674</v>
      </c>
      <c r="J572" s="8" t="s">
        <v>12008</v>
      </c>
      <c r="K572" t="s">
        <v>12579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8" t="s">
        <v>470</v>
      </c>
      <c r="E573" s="8" t="s">
        <v>1274</v>
      </c>
      <c r="F573" s="8" t="s">
        <v>2345</v>
      </c>
      <c r="H573" s="8"/>
      <c r="I573" s="8" t="s">
        <v>8676</v>
      </c>
      <c r="J573" s="8" t="s">
        <v>12008</v>
      </c>
      <c r="K573" t="s">
        <v>12580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8" t="s">
        <v>470</v>
      </c>
      <c r="E574" s="8" t="s">
        <v>1274</v>
      </c>
      <c r="F574" s="8" t="s">
        <v>2345</v>
      </c>
      <c r="H574" s="8"/>
      <c r="I574" s="8" t="s">
        <v>8678</v>
      </c>
      <c r="J574" s="8" t="s">
        <v>12008</v>
      </c>
      <c r="K574" t="s">
        <v>12581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8" t="s">
        <v>470</v>
      </c>
      <c r="E575" s="8" t="s">
        <v>1274</v>
      </c>
      <c r="F575" s="8" t="s">
        <v>2345</v>
      </c>
      <c r="H575" s="8"/>
      <c r="I575" s="8" t="s">
        <v>8680</v>
      </c>
      <c r="J575" s="8" t="s">
        <v>12008</v>
      </c>
      <c r="K575" t="s">
        <v>12582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8" t="s">
        <v>470</v>
      </c>
      <c r="E576" s="8" t="s">
        <v>1274</v>
      </c>
      <c r="F576" s="8" t="s">
        <v>2345</v>
      </c>
      <c r="H576" s="8"/>
      <c r="I576" s="8" t="s">
        <v>8682</v>
      </c>
      <c r="J576" s="8" t="s">
        <v>12008</v>
      </c>
      <c r="K576" t="s">
        <v>12583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8" t="s">
        <v>470</v>
      </c>
      <c r="E577" s="8" t="s">
        <v>1274</v>
      </c>
      <c r="F577" s="8" t="s">
        <v>2345</v>
      </c>
      <c r="H577" s="8"/>
      <c r="I577" s="8" t="s">
        <v>8684</v>
      </c>
      <c r="J577" s="8" t="s">
        <v>12008</v>
      </c>
      <c r="K577" t="s">
        <v>12584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8" t="s">
        <v>1273</v>
      </c>
      <c r="E578" s="8" t="s">
        <v>70</v>
      </c>
      <c r="F578" s="8"/>
      <c r="H578" s="8"/>
      <c r="I578" s="8" t="s">
        <v>8769</v>
      </c>
      <c r="J578" s="8" t="s">
        <v>12008</v>
      </c>
      <c r="K578" t="s">
        <v>12585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8" t="s">
        <v>226</v>
      </c>
      <c r="E579" s="8" t="s">
        <v>70</v>
      </c>
      <c r="F579" s="8" t="s">
        <v>8811</v>
      </c>
      <c r="H579" s="8"/>
      <c r="I579" s="8" t="s">
        <v>8771</v>
      </c>
      <c r="J579" s="8" t="s">
        <v>12008</v>
      </c>
      <c r="K579" t="s">
        <v>12586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8" t="s">
        <v>226</v>
      </c>
      <c r="E580" s="8" t="s">
        <v>70</v>
      </c>
      <c r="F580" s="8" t="s">
        <v>8811</v>
      </c>
      <c r="H580" s="8" t="s">
        <v>2352</v>
      </c>
      <c r="I580" s="8" t="s">
        <v>8774</v>
      </c>
      <c r="J580" s="8" t="s">
        <v>12008</v>
      </c>
      <c r="K580" t="s">
        <v>12587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8" t="s">
        <v>226</v>
      </c>
      <c r="E581" s="8" t="s">
        <v>70</v>
      </c>
      <c r="F581" s="8" t="s">
        <v>8811</v>
      </c>
      <c r="H581" s="8" t="s">
        <v>2352</v>
      </c>
      <c r="I581" s="8" t="s">
        <v>8777</v>
      </c>
      <c r="J581" s="8" t="s">
        <v>12008</v>
      </c>
      <c r="K581" t="s">
        <v>12588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8" t="s">
        <v>226</v>
      </c>
      <c r="E582" s="8" t="s">
        <v>70</v>
      </c>
      <c r="F582" s="8" t="s">
        <v>8811</v>
      </c>
      <c r="H582" s="8" t="s">
        <v>2352</v>
      </c>
      <c r="I582" s="8" t="s">
        <v>8780</v>
      </c>
      <c r="J582" s="8" t="s">
        <v>12008</v>
      </c>
      <c r="K582" t="s">
        <v>12589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8" t="s">
        <v>587</v>
      </c>
      <c r="E583" s="8" t="s">
        <v>70</v>
      </c>
      <c r="F583" s="8"/>
      <c r="H583" s="8"/>
      <c r="I583" s="8" t="s">
        <v>8783</v>
      </c>
      <c r="J583" s="8" t="s">
        <v>12008</v>
      </c>
      <c r="K583" t="s">
        <v>12590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8" t="s">
        <v>3388</v>
      </c>
      <c r="E584" s="8" t="s">
        <v>86</v>
      </c>
      <c r="F584" s="8" t="s">
        <v>7356</v>
      </c>
      <c r="H584" s="8"/>
      <c r="I584" s="8" t="s">
        <v>8785</v>
      </c>
      <c r="J584" s="8" t="s">
        <v>12008</v>
      </c>
      <c r="K584" t="s">
        <v>12591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8" t="s">
        <v>137</v>
      </c>
      <c r="E585" s="8" t="s">
        <v>8099</v>
      </c>
      <c r="F585" s="8"/>
      <c r="H585" s="8"/>
      <c r="I585" s="8" t="s">
        <v>8787</v>
      </c>
      <c r="J585" s="8" t="s">
        <v>12008</v>
      </c>
      <c r="K585" t="s">
        <v>12592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8" t="s">
        <v>1273</v>
      </c>
      <c r="E586" s="8" t="s">
        <v>8099</v>
      </c>
      <c r="F586" s="8"/>
      <c r="H586" s="8"/>
      <c r="I586" s="8" t="s">
        <v>8789</v>
      </c>
      <c r="J586" s="8" t="s">
        <v>12008</v>
      </c>
      <c r="K586" t="s">
        <v>12593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8" t="s">
        <v>4</v>
      </c>
      <c r="E587" s="8" t="s">
        <v>8812</v>
      </c>
      <c r="F587" s="8"/>
      <c r="H587" s="8"/>
      <c r="I587" s="8" t="s">
        <v>8791</v>
      </c>
      <c r="J587" s="8" t="s">
        <v>12008</v>
      </c>
      <c r="K587" t="s">
        <v>12594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8" t="s">
        <v>587</v>
      </c>
      <c r="E588" s="8" t="s">
        <v>8099</v>
      </c>
      <c r="F588" s="8"/>
      <c r="H588" s="8"/>
      <c r="I588" s="8" t="s">
        <v>8793</v>
      </c>
      <c r="J588" s="8" t="s">
        <v>12008</v>
      </c>
      <c r="K588" t="s">
        <v>12595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8" t="s">
        <v>226</v>
      </c>
      <c r="E589" s="8" t="s">
        <v>8912</v>
      </c>
      <c r="F589" s="8" t="s">
        <v>5695</v>
      </c>
      <c r="G589">
        <v>1</v>
      </c>
      <c r="H589" s="8"/>
      <c r="I589" s="8" t="s">
        <v>8867</v>
      </c>
      <c r="J589" s="8" t="s">
        <v>12008</v>
      </c>
      <c r="K589" t="s">
        <v>12596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8" t="s">
        <v>226</v>
      </c>
      <c r="E590" s="8" t="s">
        <v>8912</v>
      </c>
      <c r="F590" s="8" t="s">
        <v>5695</v>
      </c>
      <c r="G590">
        <v>1</v>
      </c>
      <c r="H590" s="8"/>
      <c r="I590" s="8" t="s">
        <v>8870</v>
      </c>
      <c r="J590" s="8" t="s">
        <v>12008</v>
      </c>
      <c r="K590" t="s">
        <v>12597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8" t="s">
        <v>226</v>
      </c>
      <c r="E591" s="8" t="s">
        <v>8912</v>
      </c>
      <c r="F591" s="8" t="s">
        <v>5695</v>
      </c>
      <c r="G591">
        <v>1</v>
      </c>
      <c r="H591" s="8"/>
      <c r="I591" s="8" t="s">
        <v>8873</v>
      </c>
      <c r="J591" s="8" t="s">
        <v>12008</v>
      </c>
      <c r="K591" t="s">
        <v>12598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8" t="s">
        <v>226</v>
      </c>
      <c r="E592" s="8" t="s">
        <v>8912</v>
      </c>
      <c r="F592" s="8" t="s">
        <v>5695</v>
      </c>
      <c r="G592">
        <v>1</v>
      </c>
      <c r="H592" s="8"/>
      <c r="I592" s="8" t="s">
        <v>8876</v>
      </c>
      <c r="J592" s="8" t="s">
        <v>12008</v>
      </c>
      <c r="K592" t="s">
        <v>12599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8" t="s">
        <v>226</v>
      </c>
      <c r="E593" s="8" t="s">
        <v>8912</v>
      </c>
      <c r="F593" s="8" t="s">
        <v>5695</v>
      </c>
      <c r="G593">
        <v>1</v>
      </c>
      <c r="H593" s="8"/>
      <c r="I593" s="8" t="s">
        <v>8879</v>
      </c>
      <c r="J593" s="8" t="s">
        <v>12008</v>
      </c>
      <c r="K593" t="s">
        <v>12600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8" t="s">
        <v>226</v>
      </c>
      <c r="E594" s="8" t="s">
        <v>8912</v>
      </c>
      <c r="F594" s="8" t="s">
        <v>5695</v>
      </c>
      <c r="G594">
        <v>1</v>
      </c>
      <c r="H594" s="8"/>
      <c r="I594" s="8" t="s">
        <v>8882</v>
      </c>
      <c r="J594" s="8" t="s">
        <v>12008</v>
      </c>
      <c r="K594" t="s">
        <v>12601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8" t="s">
        <v>226</v>
      </c>
      <c r="E595" s="8" t="s">
        <v>8912</v>
      </c>
      <c r="F595" s="8" t="s">
        <v>5695</v>
      </c>
      <c r="G595">
        <v>1</v>
      </c>
      <c r="H595" s="8"/>
      <c r="I595" s="8" t="s">
        <v>8885</v>
      </c>
      <c r="J595" s="8" t="s">
        <v>12008</v>
      </c>
      <c r="K595" t="s">
        <v>12602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8" t="s">
        <v>226</v>
      </c>
      <c r="E596" s="8" t="s">
        <v>8912</v>
      </c>
      <c r="F596" s="8" t="s">
        <v>5695</v>
      </c>
      <c r="G596">
        <v>1</v>
      </c>
      <c r="H596" s="8"/>
      <c r="I596" s="8" t="s">
        <v>8888</v>
      </c>
      <c r="J596" s="8" t="s">
        <v>12008</v>
      </c>
      <c r="K596" t="s">
        <v>12603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8" t="s">
        <v>226</v>
      </c>
      <c r="E597" s="8" t="s">
        <v>8912</v>
      </c>
      <c r="F597" s="8" t="s">
        <v>5695</v>
      </c>
      <c r="G597">
        <v>1</v>
      </c>
      <c r="H597" s="8"/>
      <c r="I597" s="8" t="s">
        <v>8891</v>
      </c>
      <c r="J597" s="8" t="s">
        <v>12008</v>
      </c>
      <c r="K597" t="s">
        <v>12604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8" t="s">
        <v>226</v>
      </c>
      <c r="E598" s="8" t="s">
        <v>8912</v>
      </c>
      <c r="F598" s="8" t="s">
        <v>5695</v>
      </c>
      <c r="G598">
        <v>1</v>
      </c>
      <c r="H598" s="8"/>
      <c r="I598" s="8" t="s">
        <v>8894</v>
      </c>
      <c r="J598" s="8" t="s">
        <v>12008</v>
      </c>
      <c r="K598" t="s">
        <v>12605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8" t="s">
        <v>226</v>
      </c>
      <c r="E599" s="8" t="s">
        <v>8912</v>
      </c>
      <c r="F599" s="8" t="s">
        <v>5695</v>
      </c>
      <c r="G599">
        <v>1</v>
      </c>
      <c r="H599" s="8"/>
      <c r="I599" s="8" t="s">
        <v>8897</v>
      </c>
      <c r="J599" s="8" t="s">
        <v>12008</v>
      </c>
      <c r="K599" t="s">
        <v>12606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8" t="s">
        <v>587</v>
      </c>
      <c r="E600" s="8" t="s">
        <v>8912</v>
      </c>
      <c r="F600" s="8"/>
      <c r="H600" s="8"/>
      <c r="I600" s="8" t="s">
        <v>8900</v>
      </c>
      <c r="J600" s="8" t="s">
        <v>12008</v>
      </c>
      <c r="K600" t="s">
        <v>12607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8" t="s">
        <v>470</v>
      </c>
      <c r="E601" s="8" t="s">
        <v>1274</v>
      </c>
      <c r="F601" s="8" t="s">
        <v>2345</v>
      </c>
      <c r="H601" s="8"/>
      <c r="I601" s="8" t="s">
        <v>8902</v>
      </c>
      <c r="J601" s="8" t="s">
        <v>12008</v>
      </c>
      <c r="K601" t="s">
        <v>12608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8" t="s">
        <v>470</v>
      </c>
      <c r="E602" s="8" t="s">
        <v>1274</v>
      </c>
      <c r="F602" s="8" t="s">
        <v>2345</v>
      </c>
      <c r="H602" s="8"/>
      <c r="I602" s="8" t="s">
        <v>8904</v>
      </c>
      <c r="J602" s="8" t="s">
        <v>12008</v>
      </c>
      <c r="K602" t="s">
        <v>12609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8" t="s">
        <v>470</v>
      </c>
      <c r="E603" s="8" t="s">
        <v>1274</v>
      </c>
      <c r="F603" s="8" t="s">
        <v>2345</v>
      </c>
      <c r="H603" s="8"/>
      <c r="I603" s="8" t="s">
        <v>9012</v>
      </c>
      <c r="J603" s="8" t="s">
        <v>12008</v>
      </c>
      <c r="K603" t="s">
        <v>12610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8" t="s">
        <v>9137</v>
      </c>
      <c r="E604" s="8" t="s">
        <v>86</v>
      </c>
      <c r="F604" s="8"/>
      <c r="H604" s="8"/>
      <c r="I604" s="8" t="s">
        <v>9014</v>
      </c>
      <c r="J604" s="8" t="s">
        <v>12008</v>
      </c>
      <c r="K604" t="s">
        <v>12611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8" t="s">
        <v>9138</v>
      </c>
      <c r="E605" s="8" t="s">
        <v>86</v>
      </c>
      <c r="F605" s="8"/>
      <c r="H605" s="8"/>
      <c r="I605" s="8" t="s">
        <v>9016</v>
      </c>
      <c r="J605" s="8" t="s">
        <v>12008</v>
      </c>
      <c r="K605" t="s">
        <v>12612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8" t="s">
        <v>470</v>
      </c>
      <c r="E606" s="8" t="s">
        <v>1274</v>
      </c>
      <c r="F606" s="8" t="s">
        <v>2345</v>
      </c>
      <c r="H606" s="8"/>
      <c r="I606" s="8" t="s">
        <v>9018</v>
      </c>
      <c r="J606" s="8" t="s">
        <v>12008</v>
      </c>
      <c r="K606" t="s">
        <v>12613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8" t="s">
        <v>470</v>
      </c>
      <c r="E607" s="8" t="s">
        <v>468</v>
      </c>
      <c r="F607" s="8" t="s">
        <v>7356</v>
      </c>
      <c r="H607" s="8"/>
      <c r="I607" s="8" t="s">
        <v>9020</v>
      </c>
      <c r="J607" s="8" t="s">
        <v>12008</v>
      </c>
      <c r="K607" t="s">
        <v>12614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8" t="s">
        <v>1273</v>
      </c>
      <c r="E608" s="8" t="s">
        <v>8099</v>
      </c>
      <c r="F608" s="8"/>
      <c r="H608" s="8"/>
      <c r="I608" s="8" t="s">
        <v>9022</v>
      </c>
      <c r="J608" s="8" t="s">
        <v>12008</v>
      </c>
      <c r="K608" t="s">
        <v>12615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8" t="s">
        <v>9139</v>
      </c>
      <c r="E609" s="8" t="s">
        <v>8099</v>
      </c>
      <c r="F609" s="8"/>
      <c r="H609" s="8"/>
      <c r="I609" s="8" t="s">
        <v>9024</v>
      </c>
      <c r="J609" s="8" t="s">
        <v>12008</v>
      </c>
      <c r="K609" t="s">
        <v>12616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8" t="s">
        <v>9140</v>
      </c>
      <c r="E610" s="8" t="s">
        <v>86</v>
      </c>
      <c r="F610" s="8"/>
      <c r="H610" s="8"/>
      <c r="I610" s="8" t="s">
        <v>9026</v>
      </c>
      <c r="J610" s="8" t="s">
        <v>12008</v>
      </c>
      <c r="K610" t="s">
        <v>12617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8" t="s">
        <v>470</v>
      </c>
      <c r="E611" s="8" t="s">
        <v>1274</v>
      </c>
      <c r="F611" s="8" t="s">
        <v>2345</v>
      </c>
      <c r="H611" s="8"/>
      <c r="I611" s="8" t="s">
        <v>9028</v>
      </c>
      <c r="J611" s="8" t="s">
        <v>12008</v>
      </c>
      <c r="K611" t="s">
        <v>12618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8" t="s">
        <v>587</v>
      </c>
      <c r="E612" s="8" t="s">
        <v>8099</v>
      </c>
      <c r="F612" s="8"/>
      <c r="H612" s="8"/>
      <c r="I612" s="8" t="s">
        <v>9030</v>
      </c>
      <c r="J612" s="8" t="s">
        <v>12008</v>
      </c>
      <c r="K612" t="s">
        <v>12619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8" t="s">
        <v>3388</v>
      </c>
      <c r="E613" s="8" t="s">
        <v>86</v>
      </c>
      <c r="F613" s="8" t="s">
        <v>9319</v>
      </c>
      <c r="H613" s="8"/>
      <c r="I613" s="8" t="s">
        <v>9207</v>
      </c>
      <c r="J613" s="8" t="s">
        <v>12008</v>
      </c>
      <c r="K613" t="s">
        <v>12620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8" t="s">
        <v>136</v>
      </c>
      <c r="E614" s="8" t="s">
        <v>86</v>
      </c>
      <c r="F614" s="8" t="s">
        <v>58</v>
      </c>
      <c r="H614" s="8" t="s">
        <v>9320</v>
      </c>
      <c r="I614" s="8" t="s">
        <v>9209</v>
      </c>
      <c r="J614" s="8" t="s">
        <v>12008</v>
      </c>
      <c r="K614" t="s">
        <v>12621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8" t="s">
        <v>9321</v>
      </c>
      <c r="E615" s="8" t="s">
        <v>1274</v>
      </c>
      <c r="F615" s="8"/>
      <c r="H615" s="8"/>
      <c r="I615" s="8" t="s">
        <v>9211</v>
      </c>
      <c r="J615" s="8" t="s">
        <v>12008</v>
      </c>
      <c r="K615" t="s">
        <v>12622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8" t="s">
        <v>9322</v>
      </c>
      <c r="E616" s="8" t="s">
        <v>1274</v>
      </c>
      <c r="F616" s="8"/>
      <c r="H616" s="8"/>
      <c r="I616" s="8" t="s">
        <v>9213</v>
      </c>
      <c r="J616" s="8" t="s">
        <v>12008</v>
      </c>
      <c r="K616" t="s">
        <v>12623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8" t="s">
        <v>9323</v>
      </c>
      <c r="E617" s="8" t="s">
        <v>1274</v>
      </c>
      <c r="F617" s="8"/>
      <c r="H617" s="8"/>
      <c r="I617" s="8" t="s">
        <v>9215</v>
      </c>
      <c r="J617" s="8" t="s">
        <v>12008</v>
      </c>
      <c r="K617" t="s">
        <v>12624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8" t="s">
        <v>9323</v>
      </c>
      <c r="E618" s="8" t="s">
        <v>1274</v>
      </c>
      <c r="F618" s="8"/>
      <c r="H618" s="8"/>
      <c r="I618" s="8" t="s">
        <v>9217</v>
      </c>
      <c r="J618" s="8" t="s">
        <v>12008</v>
      </c>
      <c r="K618" t="s">
        <v>12625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8" t="s">
        <v>9323</v>
      </c>
      <c r="E619" s="8" t="s">
        <v>1274</v>
      </c>
      <c r="F619" s="8"/>
      <c r="H619" s="8"/>
      <c r="I619" s="8" t="s">
        <v>9219</v>
      </c>
      <c r="J619" s="8" t="s">
        <v>12008</v>
      </c>
      <c r="K619" t="s">
        <v>12626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8" t="s">
        <v>1607</v>
      </c>
      <c r="E620" s="8" t="s">
        <v>8</v>
      </c>
      <c r="F620" s="8"/>
      <c r="H620" s="8"/>
      <c r="I620" s="8" t="s">
        <v>9384</v>
      </c>
      <c r="J620" s="8" t="s">
        <v>12008</v>
      </c>
      <c r="K620" t="s">
        <v>12627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8" t="s">
        <v>470</v>
      </c>
      <c r="E621" s="8" t="s">
        <v>1274</v>
      </c>
      <c r="F621" s="8" t="s">
        <v>58</v>
      </c>
      <c r="H621" s="8"/>
      <c r="I621" s="8" t="s">
        <v>9386</v>
      </c>
      <c r="J621" s="8" t="s">
        <v>12008</v>
      </c>
      <c r="K621" t="s">
        <v>12628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8" t="s">
        <v>470</v>
      </c>
      <c r="E622" s="8" t="s">
        <v>1274</v>
      </c>
      <c r="F622" s="8" t="s">
        <v>58</v>
      </c>
      <c r="H622" s="8"/>
      <c r="I622" s="8" t="s">
        <v>9388</v>
      </c>
      <c r="J622" s="8" t="s">
        <v>12008</v>
      </c>
      <c r="K622" t="s">
        <v>12629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8" t="s">
        <v>9137</v>
      </c>
      <c r="E623" s="8" t="s">
        <v>86</v>
      </c>
      <c r="F623" s="8"/>
      <c r="H623" s="8"/>
      <c r="I623" s="8" t="s">
        <v>10796</v>
      </c>
      <c r="J623" s="8" t="s">
        <v>12008</v>
      </c>
      <c r="K623" t="s">
        <v>12630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8" t="s">
        <v>4</v>
      </c>
      <c r="E624" s="8" t="s">
        <v>8</v>
      </c>
      <c r="F624" s="8"/>
      <c r="H624" s="8"/>
      <c r="I624" s="8" t="s">
        <v>10798</v>
      </c>
      <c r="J624" s="8" t="s">
        <v>12008</v>
      </c>
      <c r="K624" t="s">
        <v>12631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8" t="s">
        <v>4</v>
      </c>
      <c r="E625" s="8" t="s">
        <v>8</v>
      </c>
      <c r="F625" s="8"/>
      <c r="H625" s="8"/>
      <c r="I625" s="8" t="s">
        <v>10800</v>
      </c>
      <c r="J625" s="8" t="s">
        <v>12008</v>
      </c>
      <c r="K625" t="s">
        <v>12632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8" t="s">
        <v>1273</v>
      </c>
      <c r="E626" s="8" t="s">
        <v>11070</v>
      </c>
      <c r="F626" s="8"/>
      <c r="H626" s="8"/>
      <c r="I626" s="8" t="s">
        <v>10802</v>
      </c>
      <c r="J626" s="8" t="s">
        <v>12008</v>
      </c>
      <c r="K626" t="s">
        <v>12633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8" t="s">
        <v>226</v>
      </c>
      <c r="E627" s="8" t="s">
        <v>11070</v>
      </c>
      <c r="F627" s="8" t="s">
        <v>58</v>
      </c>
      <c r="G627">
        <v>1</v>
      </c>
      <c r="H627" s="8"/>
      <c r="I627" s="8" t="s">
        <v>10804</v>
      </c>
      <c r="J627" s="8" t="s">
        <v>12008</v>
      </c>
      <c r="K627" t="s">
        <v>12634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8" t="s">
        <v>226</v>
      </c>
      <c r="E628" s="8" t="s">
        <v>11070</v>
      </c>
      <c r="F628" s="8" t="s">
        <v>58</v>
      </c>
      <c r="G628">
        <v>2</v>
      </c>
      <c r="H628" s="8"/>
      <c r="I628" s="8" t="s">
        <v>10807</v>
      </c>
      <c r="J628" s="8" t="s">
        <v>12008</v>
      </c>
      <c r="K628" t="s">
        <v>12635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8" t="s">
        <v>587</v>
      </c>
      <c r="E629" s="8" t="s">
        <v>11070</v>
      </c>
      <c r="F629" s="8"/>
      <c r="H629" s="8"/>
      <c r="I629" s="8" t="s">
        <v>10810</v>
      </c>
      <c r="J629" s="8" t="s">
        <v>12008</v>
      </c>
      <c r="K629" t="s">
        <v>12636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8" t="s">
        <v>7354</v>
      </c>
      <c r="E630" s="8" t="s">
        <v>468</v>
      </c>
      <c r="F630" s="8"/>
      <c r="H630" s="8"/>
      <c r="I630" s="8" t="s">
        <v>10812</v>
      </c>
      <c r="J630" s="8" t="s">
        <v>12008</v>
      </c>
      <c r="K630" t="s">
        <v>12637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8" t="s">
        <v>7354</v>
      </c>
      <c r="E631" s="8" t="s">
        <v>468</v>
      </c>
      <c r="F631" s="8"/>
      <c r="H631" s="8"/>
      <c r="I631" s="8" t="s">
        <v>10814</v>
      </c>
      <c r="J631" s="8" t="s">
        <v>12008</v>
      </c>
      <c r="K631" t="s">
        <v>12638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8" t="s">
        <v>7354</v>
      </c>
      <c r="E632" s="8" t="s">
        <v>468</v>
      </c>
      <c r="F632" s="8"/>
      <c r="H632" s="8"/>
      <c r="I632" s="8" t="s">
        <v>10816</v>
      </c>
      <c r="J632" s="8" t="s">
        <v>12008</v>
      </c>
      <c r="K632" t="s">
        <v>12639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8" t="s">
        <v>4</v>
      </c>
      <c r="E633" s="8" t="s">
        <v>8</v>
      </c>
      <c r="F633" s="8"/>
      <c r="H633" s="8"/>
      <c r="I633" s="8" t="s">
        <v>10818</v>
      </c>
      <c r="J633" s="8" t="s">
        <v>12008</v>
      </c>
      <c r="K633" t="s">
        <v>12640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8" t="s">
        <v>4</v>
      </c>
      <c r="E634" s="8" t="s">
        <v>8</v>
      </c>
      <c r="F634" s="8"/>
      <c r="H634" s="8"/>
      <c r="I634" s="8" t="s">
        <v>13510</v>
      </c>
      <c r="J634" s="8" t="s">
        <v>12008</v>
      </c>
      <c r="K634" t="s">
        <v>13511</v>
      </c>
      <c r="L634" t="s">
        <v>13512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8" t="s">
        <v>4</v>
      </c>
      <c r="E635" s="8" t="s">
        <v>8</v>
      </c>
      <c r="F635" s="8"/>
      <c r="H635" s="8"/>
      <c r="I635" s="8" t="s">
        <v>13513</v>
      </c>
      <c r="J635" s="8" t="s">
        <v>12008</v>
      </c>
      <c r="K635" t="s">
        <v>13514</v>
      </c>
      <c r="L635" t="s">
        <v>13515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8" t="s">
        <v>7354</v>
      </c>
      <c r="E636" s="8" t="s">
        <v>468</v>
      </c>
      <c r="F636" s="8"/>
      <c r="H636" s="8"/>
      <c r="I636" s="8" t="s">
        <v>13516</v>
      </c>
      <c r="J636" s="8" t="s">
        <v>12008</v>
      </c>
      <c r="K636" t="s">
        <v>13517</v>
      </c>
      <c r="L636" t="s">
        <v>13518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8" t="s">
        <v>7354</v>
      </c>
      <c r="E637" s="8" t="s">
        <v>468</v>
      </c>
      <c r="F637" s="8"/>
      <c r="H637" s="8"/>
      <c r="I637" s="8" t="s">
        <v>13519</v>
      </c>
      <c r="J637" s="8" t="s">
        <v>12008</v>
      </c>
      <c r="K637" t="s">
        <v>13520</v>
      </c>
      <c r="L637" t="s">
        <v>13521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8" t="s">
        <v>4</v>
      </c>
      <c r="E638" s="8" t="s">
        <v>8</v>
      </c>
      <c r="F638" s="8"/>
      <c r="H638" s="8"/>
      <c r="I638" s="8" t="s">
        <v>13522</v>
      </c>
      <c r="J638" s="8" t="s">
        <v>12008</v>
      </c>
      <c r="K638" t="s">
        <v>13523</v>
      </c>
      <c r="L638" t="s">
        <v>13524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8" t="s">
        <v>13898</v>
      </c>
      <c r="E639" s="8" t="s">
        <v>1274</v>
      </c>
      <c r="F639" s="8"/>
      <c r="H639" s="8"/>
      <c r="I639" s="8" t="s">
        <v>13525</v>
      </c>
      <c r="J639" s="8" t="s">
        <v>12008</v>
      </c>
      <c r="K639" t="s">
        <v>13526</v>
      </c>
      <c r="L639" t="s">
        <v>13527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8" t="s">
        <v>13898</v>
      </c>
      <c r="E640" s="8" t="s">
        <v>1274</v>
      </c>
      <c r="F640" s="8"/>
      <c r="H640" s="8"/>
      <c r="I640" s="8" t="s">
        <v>13528</v>
      </c>
      <c r="J640" s="8" t="s">
        <v>12008</v>
      </c>
      <c r="K640" t="s">
        <v>13529</v>
      </c>
      <c r="L640" t="s">
        <v>13530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8" t="s">
        <v>4</v>
      </c>
      <c r="E641" s="8" t="s">
        <v>8</v>
      </c>
      <c r="F641" s="8"/>
      <c r="H641" s="8"/>
      <c r="I641" s="8" t="s">
        <v>13531</v>
      </c>
      <c r="J641" s="8" t="s">
        <v>12008</v>
      </c>
      <c r="K641" t="s">
        <v>13532</v>
      </c>
      <c r="L641" t="s">
        <v>13533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8" t="s">
        <v>4</v>
      </c>
      <c r="E642" s="8" t="s">
        <v>8</v>
      </c>
      <c r="F642" s="8"/>
      <c r="H642" s="8"/>
      <c r="I642" s="8" t="s">
        <v>13534</v>
      </c>
      <c r="J642" s="8" t="s">
        <v>12008</v>
      </c>
      <c r="K642" t="s">
        <v>13535</v>
      </c>
      <c r="L642" t="s">
        <v>13536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8" t="s">
        <v>4</v>
      </c>
      <c r="E643" s="8" t="s">
        <v>8</v>
      </c>
      <c r="F643" s="8"/>
      <c r="H643" s="8"/>
      <c r="I643" s="8" t="s">
        <v>13940</v>
      </c>
      <c r="J643" s="8" t="s">
        <v>12008</v>
      </c>
      <c r="K643" t="s">
        <v>13941</v>
      </c>
      <c r="L643" t="s">
        <v>13942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8" t="s">
        <v>1607</v>
      </c>
      <c r="E644" s="8" t="s">
        <v>8</v>
      </c>
      <c r="F644" s="8"/>
      <c r="H644" s="8"/>
      <c r="I644" s="8" t="s">
        <v>13943</v>
      </c>
      <c r="J644" s="8" t="s">
        <v>12008</v>
      </c>
      <c r="K644" t="s">
        <v>13944</v>
      </c>
      <c r="L644" t="s">
        <v>13945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8" t="s">
        <v>4</v>
      </c>
      <c r="E645" s="8" t="s">
        <v>8</v>
      </c>
      <c r="F645" s="8"/>
      <c r="H645" s="8"/>
      <c r="I645" s="8" t="s">
        <v>13946</v>
      </c>
      <c r="J645" s="8" t="s">
        <v>12008</v>
      </c>
      <c r="K645" t="s">
        <v>13947</v>
      </c>
      <c r="L645" t="s">
        <v>13948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8" t="s">
        <v>1607</v>
      </c>
      <c r="E646" s="8" t="s">
        <v>8</v>
      </c>
      <c r="F646" s="8"/>
      <c r="H646" s="8"/>
      <c r="I646" s="8" t="s">
        <v>13949</v>
      </c>
      <c r="J646" s="8" t="s">
        <v>12008</v>
      </c>
      <c r="K646" t="s">
        <v>13950</v>
      </c>
      <c r="L646" t="s">
        <v>13951</v>
      </c>
      <c r="M646" s="2" t="str">
        <f>HYPERLINK(склад2въезд131920212223[[#This Row],[RelativePath]])</f>
        <v>10 Въезд ангар\GA3948333_6_20260301T170841Z.jpg</v>
      </c>
    </row>
  </sheetData>
  <conditionalFormatting sqref="D647:D657 E647:E660 G2:H646 D2:E646">
    <cfRule type="containsText" dxfId="791" priority="14" operator="containsText" text="Выезд с территории">
      <formula>NOT(ISERROR(SEARCH("Выезд с территории",D2)))</formula>
    </cfRule>
  </conditionalFormatting>
  <conditionalFormatting sqref="F2:F646">
    <cfRule type="notContainsText" dxfId="790" priority="13" operator="notContains" text="порожний">
      <formula>ISERROR(SEARCH("порожний",F2))</formula>
    </cfRule>
  </conditionalFormatting>
  <conditionalFormatting sqref="E2:E660">
    <cfRule type="containsText" dxfId="789" priority="11" operator="containsText" text="Газель базы">
      <formula>NOT(ISERROR(SEARCH("Газель базы",E2)))</formula>
    </cfRule>
    <cfRule type="containsText" dxfId="788" priority="12" operator="containsText" text="Погрузчик базы">
      <formula>NOT(ISERROR(SEARCH("Погрузчик базы",E2)))</formula>
    </cfRule>
  </conditionalFormatting>
  <conditionalFormatting sqref="E2:E660">
    <cfRule type="containsText" dxfId="787" priority="10" operator="containsText" text="Трактор базы">
      <formula>NOT(ISERROR(SEARCH("Трактор базы",E2)))</formula>
    </cfRule>
  </conditionalFormatting>
  <conditionalFormatting sqref="A2:C646">
    <cfRule type="expression" dxfId="786" priority="9">
      <formula>$A2="пн"</formula>
    </cfRule>
  </conditionalFormatting>
  <conditionalFormatting sqref="A2:C648">
    <cfRule type="expression" dxfId="785" priority="3">
      <formula>$A2="вс"</formula>
    </cfRule>
    <cfRule type="expression" dxfId="784" priority="4">
      <formula>$A2="сб"</formula>
    </cfRule>
    <cfRule type="expression" dxfId="783" priority="5">
      <formula>$A2="пт"</formula>
    </cfRule>
    <cfRule type="expression" dxfId="782" priority="6">
      <formula>$A2="чт"</formula>
    </cfRule>
    <cfRule type="expression" dxfId="781" priority="7">
      <formula>$A2="ср"</formula>
    </cfRule>
    <cfRule type="expression" dxfId="780" priority="8">
      <formula>$A2="вт"</formula>
    </cfRule>
  </conditionalFormatting>
  <conditionalFormatting sqref="D2:D657">
    <cfRule type="containsText" dxfId="7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57">
    <cfRule type="containsText" dxfId="7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17"/>
  <sheetViews>
    <sheetView zoomScale="90" zoomScaleNormal="90" workbookViewId="0">
      <pane ySplit="1" topLeftCell="A302" activePane="bottomLeft" state="frozen"/>
      <selection pane="bottomLeft" activeCell="I316" sqref="I316:I31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1294</v>
      </c>
      <c r="J2" s="8" t="s">
        <v>11698</v>
      </c>
      <c r="K2" t="s">
        <v>11699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8" t="s">
        <v>137</v>
      </c>
      <c r="E3" s="8" t="s">
        <v>86</v>
      </c>
      <c r="F3" s="8" t="s">
        <v>60</v>
      </c>
      <c r="H3" s="8"/>
      <c r="I3" s="8" t="s">
        <v>1297</v>
      </c>
      <c r="J3" s="8" t="s">
        <v>11698</v>
      </c>
      <c r="K3" t="s">
        <v>11700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8" t="s">
        <v>1422</v>
      </c>
      <c r="E4" s="8" t="s">
        <v>86</v>
      </c>
      <c r="F4" s="8" t="s">
        <v>60</v>
      </c>
      <c r="H4" s="8" t="s">
        <v>1421</v>
      </c>
      <c r="I4" s="8" t="s">
        <v>1299</v>
      </c>
      <c r="J4" s="8" t="s">
        <v>11698</v>
      </c>
      <c r="K4" t="s">
        <v>11701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8" t="s">
        <v>137</v>
      </c>
      <c r="E5" s="8" t="s">
        <v>86</v>
      </c>
      <c r="F5" s="8" t="s">
        <v>60</v>
      </c>
      <c r="H5" s="8"/>
      <c r="I5" s="8" t="s">
        <v>1301</v>
      </c>
      <c r="J5" s="8" t="s">
        <v>11698</v>
      </c>
      <c r="K5" t="s">
        <v>11702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8" t="s">
        <v>1422</v>
      </c>
      <c r="E6" s="8" t="s">
        <v>86</v>
      </c>
      <c r="F6" s="8" t="s">
        <v>60</v>
      </c>
      <c r="H6" s="8"/>
      <c r="I6" s="8" t="s">
        <v>1303</v>
      </c>
      <c r="J6" s="8" t="s">
        <v>11698</v>
      </c>
      <c r="K6" t="s">
        <v>11703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8" t="s">
        <v>1422</v>
      </c>
      <c r="E7" s="8" t="s">
        <v>86</v>
      </c>
      <c r="F7" s="8" t="s">
        <v>60</v>
      </c>
      <c r="H7" s="8" t="s">
        <v>1421</v>
      </c>
      <c r="I7" s="8" t="s">
        <v>1305</v>
      </c>
      <c r="J7" s="8" t="s">
        <v>11698</v>
      </c>
      <c r="K7" t="s">
        <v>11704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8" t="s">
        <v>1422</v>
      </c>
      <c r="E8" s="8" t="s">
        <v>86</v>
      </c>
      <c r="F8" s="8" t="s">
        <v>60</v>
      </c>
      <c r="H8" s="8"/>
      <c r="I8" s="8" t="s">
        <v>1307</v>
      </c>
      <c r="J8" s="8" t="s">
        <v>11698</v>
      </c>
      <c r="K8" t="s">
        <v>11705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8" t="s">
        <v>1422</v>
      </c>
      <c r="E9" s="8" t="s">
        <v>86</v>
      </c>
      <c r="F9" s="8" t="s">
        <v>60</v>
      </c>
      <c r="H9" s="8" t="s">
        <v>1421</v>
      </c>
      <c r="I9" s="8" t="s">
        <v>1309</v>
      </c>
      <c r="J9" s="8" t="s">
        <v>11698</v>
      </c>
      <c r="K9" t="s">
        <v>11706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8" t="s">
        <v>137</v>
      </c>
      <c r="E10" s="8" t="s">
        <v>86</v>
      </c>
      <c r="F10" s="8" t="s">
        <v>60</v>
      </c>
      <c r="H10" s="8"/>
      <c r="I10" s="8" t="s">
        <v>1311</v>
      </c>
      <c r="J10" s="8" t="s">
        <v>11698</v>
      </c>
      <c r="K10" t="s">
        <v>11707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8" t="s">
        <v>1422</v>
      </c>
      <c r="E11" s="8" t="s">
        <v>86</v>
      </c>
      <c r="F11" s="8" t="s">
        <v>60</v>
      </c>
      <c r="H11" s="8"/>
      <c r="I11" s="8" t="s">
        <v>1313</v>
      </c>
      <c r="J11" s="8" t="s">
        <v>11698</v>
      </c>
      <c r="K11" t="s">
        <v>11708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8" t="s">
        <v>1422</v>
      </c>
      <c r="E12" s="8" t="s">
        <v>86</v>
      </c>
      <c r="F12" s="8" t="s">
        <v>60</v>
      </c>
      <c r="H12" s="8" t="s">
        <v>1421</v>
      </c>
      <c r="I12" s="8" t="s">
        <v>1315</v>
      </c>
      <c r="J12" s="8" t="s">
        <v>11698</v>
      </c>
      <c r="K12" t="s">
        <v>11709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8" t="s">
        <v>137</v>
      </c>
      <c r="E13" s="8" t="s">
        <v>86</v>
      </c>
      <c r="F13" s="8" t="s">
        <v>60</v>
      </c>
      <c r="H13" s="8"/>
      <c r="I13" s="8" t="s">
        <v>1317</v>
      </c>
      <c r="J13" s="8" t="s">
        <v>11698</v>
      </c>
      <c r="K13" t="s">
        <v>11710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8" t="s">
        <v>1422</v>
      </c>
      <c r="E14" s="8" t="s">
        <v>86</v>
      </c>
      <c r="F14" s="8" t="s">
        <v>60</v>
      </c>
      <c r="H14" s="8" t="s">
        <v>1421</v>
      </c>
      <c r="I14" s="8" t="s">
        <v>1319</v>
      </c>
      <c r="J14" s="8" t="s">
        <v>11698</v>
      </c>
      <c r="K14" t="s">
        <v>11711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8" t="s">
        <v>137</v>
      </c>
      <c r="E15" s="8" t="s">
        <v>86</v>
      </c>
      <c r="F15" s="8" t="s">
        <v>60</v>
      </c>
      <c r="H15" s="8"/>
      <c r="I15" s="8" t="s">
        <v>1321</v>
      </c>
      <c r="J15" s="8" t="s">
        <v>11698</v>
      </c>
      <c r="K15" t="s">
        <v>11712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8" t="s">
        <v>1422</v>
      </c>
      <c r="E16" s="8" t="s">
        <v>86</v>
      </c>
      <c r="F16" s="8" t="s">
        <v>60</v>
      </c>
      <c r="H16" s="8" t="s">
        <v>1421</v>
      </c>
      <c r="I16" s="8" t="s">
        <v>1323</v>
      </c>
      <c r="J16" s="8" t="s">
        <v>11698</v>
      </c>
      <c r="K16" t="s">
        <v>11713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8" t="s">
        <v>137</v>
      </c>
      <c r="E17" s="8" t="s">
        <v>86</v>
      </c>
      <c r="F17" s="8" t="s">
        <v>53</v>
      </c>
      <c r="H17" s="8" t="s">
        <v>1421</v>
      </c>
      <c r="I17" s="8" t="s">
        <v>1325</v>
      </c>
      <c r="J17" s="8" t="s">
        <v>11698</v>
      </c>
      <c r="K17" t="s">
        <v>11714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8" t="s">
        <v>1273</v>
      </c>
      <c r="E18" s="8" t="s">
        <v>55</v>
      </c>
      <c r="F18" s="8" t="s">
        <v>58</v>
      </c>
      <c r="H18" s="8"/>
      <c r="I18" s="8" t="s">
        <v>1327</v>
      </c>
      <c r="J18" s="8" t="s">
        <v>11698</v>
      </c>
      <c r="K18" t="s">
        <v>11715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8" t="s">
        <v>227</v>
      </c>
      <c r="E19" s="8" t="s">
        <v>55</v>
      </c>
      <c r="F19" s="8" t="s">
        <v>58</v>
      </c>
      <c r="H19" s="8"/>
      <c r="I19" s="8" t="s">
        <v>1329</v>
      </c>
      <c r="J19" s="8" t="s">
        <v>11698</v>
      </c>
      <c r="K19" t="s">
        <v>11716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8" t="s">
        <v>1423</v>
      </c>
      <c r="E20" s="8" t="s">
        <v>55</v>
      </c>
      <c r="F20" s="8" t="s">
        <v>58</v>
      </c>
      <c r="H20" s="8"/>
      <c r="I20" s="8" t="s">
        <v>1331</v>
      </c>
      <c r="J20" s="8" t="s">
        <v>11698</v>
      </c>
      <c r="K20" t="s">
        <v>11717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8" t="s">
        <v>1423</v>
      </c>
      <c r="E21" s="8" t="s">
        <v>55</v>
      </c>
      <c r="F21" s="8" t="s">
        <v>58</v>
      </c>
      <c r="H21" s="8"/>
      <c r="I21" s="8" t="s">
        <v>1333</v>
      </c>
      <c r="J21" s="8" t="s">
        <v>11698</v>
      </c>
      <c r="K21" t="s">
        <v>11718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8" t="s">
        <v>1423</v>
      </c>
      <c r="E22" s="8" t="s">
        <v>55</v>
      </c>
      <c r="F22" s="8" t="s">
        <v>58</v>
      </c>
      <c r="H22" s="8"/>
      <c r="I22" s="8" t="s">
        <v>1335</v>
      </c>
      <c r="J22" s="8" t="s">
        <v>11698</v>
      </c>
      <c r="K22" t="s">
        <v>11719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8" t="s">
        <v>1423</v>
      </c>
      <c r="E23" s="8" t="s">
        <v>55</v>
      </c>
      <c r="F23" s="8" t="s">
        <v>58</v>
      </c>
      <c r="H23" s="8"/>
      <c r="I23" s="8" t="s">
        <v>1337</v>
      </c>
      <c r="J23" s="8" t="s">
        <v>11698</v>
      </c>
      <c r="K23" t="s">
        <v>11720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8" t="s">
        <v>1424</v>
      </c>
      <c r="E24" s="8" t="s">
        <v>55</v>
      </c>
      <c r="F24" s="8"/>
      <c r="H24" s="8"/>
      <c r="I24" s="8" t="s">
        <v>1339</v>
      </c>
      <c r="J24" s="8" t="s">
        <v>11698</v>
      </c>
      <c r="K24" t="s">
        <v>11721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8" t="s">
        <v>227</v>
      </c>
      <c r="E25" s="8" t="s">
        <v>55</v>
      </c>
      <c r="F25" s="8" t="s">
        <v>58</v>
      </c>
      <c r="H25" s="8"/>
      <c r="I25" s="8" t="s">
        <v>1341</v>
      </c>
      <c r="J25" s="8" t="s">
        <v>11698</v>
      </c>
      <c r="K25" t="s">
        <v>11722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8" t="s">
        <v>1423</v>
      </c>
      <c r="E26" s="8" t="s">
        <v>55</v>
      </c>
      <c r="F26" s="8" t="s">
        <v>58</v>
      </c>
      <c r="H26" s="8"/>
      <c r="I26" s="8" t="s">
        <v>1343</v>
      </c>
      <c r="J26" s="8" t="s">
        <v>11698</v>
      </c>
      <c r="K26" t="s">
        <v>11723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8" t="s">
        <v>1423</v>
      </c>
      <c r="E27" s="8" t="s">
        <v>55</v>
      </c>
      <c r="F27" s="8" t="s">
        <v>58</v>
      </c>
      <c r="H27" s="8"/>
      <c r="I27" s="8" t="s">
        <v>1345</v>
      </c>
      <c r="J27" s="8" t="s">
        <v>11698</v>
      </c>
      <c r="K27" t="s">
        <v>11724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8" t="s">
        <v>4</v>
      </c>
      <c r="E28" s="8" t="s">
        <v>8</v>
      </c>
      <c r="F28" s="8"/>
      <c r="H28" s="8" t="s">
        <v>1292</v>
      </c>
      <c r="I28" s="8" t="s">
        <v>1347</v>
      </c>
      <c r="J28" s="8" t="s">
        <v>11698</v>
      </c>
      <c r="K28" t="s">
        <v>11725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1349</v>
      </c>
      <c r="J29" s="8" t="s">
        <v>11698</v>
      </c>
      <c r="K29" t="s">
        <v>11726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8" t="s">
        <v>137</v>
      </c>
      <c r="E30" s="8" t="s">
        <v>86</v>
      </c>
      <c r="F30" s="8" t="s">
        <v>890</v>
      </c>
      <c r="H30" s="8"/>
      <c r="I30" s="8" t="s">
        <v>1351</v>
      </c>
      <c r="J30" s="8" t="s">
        <v>11698</v>
      </c>
      <c r="K30" t="s">
        <v>11727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8" t="s">
        <v>1422</v>
      </c>
      <c r="E31" s="8" t="s">
        <v>86</v>
      </c>
      <c r="F31" s="8" t="s">
        <v>890</v>
      </c>
      <c r="H31" s="8" t="s">
        <v>1421</v>
      </c>
      <c r="I31" s="8" t="s">
        <v>1353</v>
      </c>
      <c r="J31" s="8" t="s">
        <v>11698</v>
      </c>
      <c r="K31" t="s">
        <v>11728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8" t="s">
        <v>4</v>
      </c>
      <c r="E32" s="8" t="s">
        <v>8</v>
      </c>
      <c r="F32" s="8"/>
      <c r="H32" s="8"/>
      <c r="I32" s="8" t="s">
        <v>1355</v>
      </c>
      <c r="J32" s="8" t="s">
        <v>11698</v>
      </c>
      <c r="K32" t="s">
        <v>11729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8" t="s">
        <v>1282</v>
      </c>
      <c r="E33" s="8" t="s">
        <v>86</v>
      </c>
      <c r="F33" s="8" t="s">
        <v>60</v>
      </c>
      <c r="H33" s="8"/>
      <c r="I33" s="8" t="s">
        <v>1357</v>
      </c>
      <c r="J33" s="8" t="s">
        <v>11698</v>
      </c>
      <c r="K33" t="s">
        <v>11730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8" t="s">
        <v>1282</v>
      </c>
      <c r="E34" s="8" t="s">
        <v>86</v>
      </c>
      <c r="F34" s="8" t="s">
        <v>60</v>
      </c>
      <c r="H34" s="8"/>
      <c r="I34" s="8" t="s">
        <v>1359</v>
      </c>
      <c r="J34" s="8" t="s">
        <v>11698</v>
      </c>
      <c r="K34" t="s">
        <v>11731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8" t="s">
        <v>1282</v>
      </c>
      <c r="E35" s="8" t="s">
        <v>86</v>
      </c>
      <c r="F35" s="8" t="s">
        <v>60</v>
      </c>
      <c r="H35" s="8"/>
      <c r="I35" s="8" t="s">
        <v>1361</v>
      </c>
      <c r="J35" s="8" t="s">
        <v>11698</v>
      </c>
      <c r="K35" t="s">
        <v>11732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8" t="s">
        <v>1282</v>
      </c>
      <c r="E36" s="8" t="s">
        <v>86</v>
      </c>
      <c r="F36" s="8" t="s">
        <v>60</v>
      </c>
      <c r="H36" s="8"/>
      <c r="I36" s="8" t="s">
        <v>1363</v>
      </c>
      <c r="J36" s="8" t="s">
        <v>11698</v>
      </c>
      <c r="K36" t="s">
        <v>11733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8" t="s">
        <v>1282</v>
      </c>
      <c r="E37" s="8" t="s">
        <v>86</v>
      </c>
      <c r="F37" s="8" t="s">
        <v>60</v>
      </c>
      <c r="H37" s="8"/>
      <c r="I37" s="8" t="s">
        <v>1365</v>
      </c>
      <c r="J37" s="8" t="s">
        <v>11698</v>
      </c>
      <c r="K37" t="s">
        <v>11734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8" t="s">
        <v>4</v>
      </c>
      <c r="E38" s="8" t="s">
        <v>8</v>
      </c>
      <c r="F38" s="8"/>
      <c r="H38" s="8"/>
      <c r="I38" s="8" t="s">
        <v>1367</v>
      </c>
      <c r="J38" s="8" t="s">
        <v>11698</v>
      </c>
      <c r="K38" t="s">
        <v>11735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8" t="s">
        <v>4</v>
      </c>
      <c r="E39" s="8" t="s">
        <v>8</v>
      </c>
      <c r="F39" s="8"/>
      <c r="H39" s="8" t="s">
        <v>1292</v>
      </c>
      <c r="I39" s="8" t="s">
        <v>1369</v>
      </c>
      <c r="J39" s="8" t="s">
        <v>11698</v>
      </c>
      <c r="K39" t="s">
        <v>11736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1371</v>
      </c>
      <c r="J40" s="8" t="s">
        <v>11698</v>
      </c>
      <c r="K40" t="s">
        <v>11737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8" t="s">
        <v>226</v>
      </c>
      <c r="E41" s="8" t="s">
        <v>86</v>
      </c>
      <c r="F41" s="8" t="s">
        <v>60</v>
      </c>
      <c r="H41" s="8" t="s">
        <v>1425</v>
      </c>
      <c r="I41" s="8" t="s">
        <v>1373</v>
      </c>
      <c r="J41" s="8" t="s">
        <v>11698</v>
      </c>
      <c r="K41" t="s">
        <v>11738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8" t="s">
        <v>1273</v>
      </c>
      <c r="E42" s="8" t="s">
        <v>66</v>
      </c>
      <c r="F42" s="8" t="s">
        <v>69</v>
      </c>
      <c r="H42" s="8"/>
      <c r="I42" s="8" t="s">
        <v>1375</v>
      </c>
      <c r="J42" s="8" t="s">
        <v>11698</v>
      </c>
      <c r="K42" t="s">
        <v>11739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8" t="s">
        <v>227</v>
      </c>
      <c r="E43" s="8" t="s">
        <v>66</v>
      </c>
      <c r="F43" s="8" t="s">
        <v>69</v>
      </c>
      <c r="H43" s="8"/>
      <c r="I43" s="8" t="s">
        <v>1377</v>
      </c>
      <c r="J43" s="8" t="s">
        <v>11698</v>
      </c>
      <c r="K43" t="s">
        <v>11740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8" t="s">
        <v>587</v>
      </c>
      <c r="E44" s="8" t="s">
        <v>66</v>
      </c>
      <c r="F44" s="8" t="s">
        <v>51</v>
      </c>
      <c r="H44" s="8"/>
      <c r="I44" s="8" t="s">
        <v>1379</v>
      </c>
      <c r="J44" s="8" t="s">
        <v>11698</v>
      </c>
      <c r="K44" t="s">
        <v>11741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8" t="s">
        <v>4</v>
      </c>
      <c r="E45" s="8" t="s">
        <v>8</v>
      </c>
      <c r="F45" s="8"/>
      <c r="H45" s="8" t="s">
        <v>1292</v>
      </c>
      <c r="I45" s="8" t="s">
        <v>1381</v>
      </c>
      <c r="J45" s="8" t="s">
        <v>11698</v>
      </c>
      <c r="K45" t="s">
        <v>11742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1383</v>
      </c>
      <c r="J46" s="8" t="s">
        <v>11698</v>
      </c>
      <c r="K46" t="s">
        <v>11743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8" t="s">
        <v>4</v>
      </c>
      <c r="E47" s="8" t="s">
        <v>70</v>
      </c>
      <c r="F47" s="8"/>
      <c r="H47" s="8" t="s">
        <v>1426</v>
      </c>
      <c r="I47" s="8" t="s">
        <v>1385</v>
      </c>
      <c r="J47" s="8" t="s">
        <v>11698</v>
      </c>
      <c r="K47" t="s">
        <v>11744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8" t="s">
        <v>4</v>
      </c>
      <c r="E48" s="8" t="s">
        <v>86</v>
      </c>
      <c r="F48" s="8"/>
      <c r="H48" s="8" t="s">
        <v>1427</v>
      </c>
      <c r="I48" s="8" t="s">
        <v>1387</v>
      </c>
      <c r="J48" s="8" t="s">
        <v>11698</v>
      </c>
      <c r="K48" t="s">
        <v>11745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8" t="s">
        <v>137</v>
      </c>
      <c r="E49" s="8" t="s">
        <v>86</v>
      </c>
      <c r="F49" s="8" t="s">
        <v>465</v>
      </c>
      <c r="H49" s="8"/>
      <c r="I49" s="8" t="s">
        <v>1389</v>
      </c>
      <c r="J49" s="8" t="s">
        <v>11698</v>
      </c>
      <c r="K49" t="s">
        <v>11746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8" t="s">
        <v>4</v>
      </c>
      <c r="E50" s="8" t="s">
        <v>8</v>
      </c>
      <c r="F50" s="8"/>
      <c r="H50" s="8" t="s">
        <v>1292</v>
      </c>
      <c r="I50" s="8" t="s">
        <v>1391</v>
      </c>
      <c r="J50" s="8" t="s">
        <v>11698</v>
      </c>
      <c r="K50" t="s">
        <v>11747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1393</v>
      </c>
      <c r="J51" s="8" t="s">
        <v>11698</v>
      </c>
      <c r="K51" t="s">
        <v>11748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8" t="s">
        <v>137</v>
      </c>
      <c r="E52" s="8" t="s">
        <v>86</v>
      </c>
      <c r="F52" s="8" t="s">
        <v>165</v>
      </c>
      <c r="H52" s="8"/>
      <c r="I52" s="8" t="s">
        <v>1395</v>
      </c>
      <c r="J52" s="8" t="s">
        <v>11698</v>
      </c>
      <c r="K52" t="s">
        <v>11749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8" t="s">
        <v>1422</v>
      </c>
      <c r="E53" s="8" t="s">
        <v>86</v>
      </c>
      <c r="F53" s="8"/>
      <c r="H53" s="8" t="s">
        <v>1421</v>
      </c>
      <c r="I53" s="8" t="s">
        <v>1397</v>
      </c>
      <c r="J53" s="8" t="s">
        <v>11698</v>
      </c>
      <c r="K53" t="s">
        <v>11750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8" t="s">
        <v>137</v>
      </c>
      <c r="E54" s="8" t="s">
        <v>86</v>
      </c>
      <c r="F54" s="8" t="s">
        <v>165</v>
      </c>
      <c r="H54" s="8" t="s">
        <v>1421</v>
      </c>
      <c r="I54" s="8" t="s">
        <v>1399</v>
      </c>
      <c r="J54" s="8" t="s">
        <v>11698</v>
      </c>
      <c r="K54" t="s">
        <v>11751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8" t="s">
        <v>4</v>
      </c>
      <c r="E55" s="8" t="s">
        <v>8</v>
      </c>
      <c r="F55" s="8"/>
      <c r="H55" s="8"/>
      <c r="I55" s="8" t="s">
        <v>1401</v>
      </c>
      <c r="J55" s="8" t="s">
        <v>11698</v>
      </c>
      <c r="K55" t="s">
        <v>11752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8" t="s">
        <v>137</v>
      </c>
      <c r="E56" s="8" t="s">
        <v>86</v>
      </c>
      <c r="F56" s="8" t="s">
        <v>165</v>
      </c>
      <c r="H56" s="8" t="s">
        <v>1428</v>
      </c>
      <c r="I56" s="8" t="s">
        <v>1403</v>
      </c>
      <c r="J56" s="8" t="s">
        <v>11698</v>
      </c>
      <c r="K56" t="s">
        <v>11753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8" t="s">
        <v>137</v>
      </c>
      <c r="E57" s="8" t="s">
        <v>86</v>
      </c>
      <c r="F57" s="8" t="s">
        <v>165</v>
      </c>
      <c r="H57" s="8" t="s">
        <v>1428</v>
      </c>
      <c r="I57" s="8" t="s">
        <v>1405</v>
      </c>
      <c r="J57" s="8" t="s">
        <v>11698</v>
      </c>
      <c r="K57" t="s">
        <v>11754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8" t="s">
        <v>4</v>
      </c>
      <c r="E58" s="8" t="s">
        <v>8</v>
      </c>
      <c r="F58" s="8"/>
      <c r="H58" s="8" t="s">
        <v>1292</v>
      </c>
      <c r="I58" s="8" t="s">
        <v>1407</v>
      </c>
      <c r="J58" s="8" t="s">
        <v>11698</v>
      </c>
      <c r="K58" t="s">
        <v>11755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1409</v>
      </c>
      <c r="J59" s="8" t="s">
        <v>11698</v>
      </c>
      <c r="K59" t="s">
        <v>11756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8" t="s">
        <v>4</v>
      </c>
      <c r="E60" s="8" t="s">
        <v>8</v>
      </c>
      <c r="F60" s="8"/>
      <c r="H60" s="8"/>
      <c r="I60" s="8" t="s">
        <v>1411</v>
      </c>
      <c r="J60" s="8" t="s">
        <v>11698</v>
      </c>
      <c r="K60" t="s">
        <v>11757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8" t="s">
        <v>4</v>
      </c>
      <c r="E61" s="8" t="s">
        <v>8</v>
      </c>
      <c r="F61" s="8"/>
      <c r="H61" s="8" t="s">
        <v>1292</v>
      </c>
      <c r="I61" s="8" t="s">
        <v>1413</v>
      </c>
      <c r="J61" s="8" t="s">
        <v>11698</v>
      </c>
      <c r="K61" t="s">
        <v>11758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1415</v>
      </c>
      <c r="J62" s="8" t="s">
        <v>11698</v>
      </c>
      <c r="K62" t="s">
        <v>11759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8" t="s">
        <v>4</v>
      </c>
      <c r="E63" s="8" t="s">
        <v>8</v>
      </c>
      <c r="F63" s="8"/>
      <c r="H63" s="8"/>
      <c r="I63" s="8" t="s">
        <v>1417</v>
      </c>
      <c r="J63" s="8" t="s">
        <v>11698</v>
      </c>
      <c r="K63" t="s">
        <v>11760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8" t="s">
        <v>4</v>
      </c>
      <c r="E64" s="8" t="s">
        <v>8</v>
      </c>
      <c r="F64" s="8"/>
      <c r="H64" s="8" t="s">
        <v>1292</v>
      </c>
      <c r="I64" s="8" t="s">
        <v>1419</v>
      </c>
      <c r="J64" s="8" t="s">
        <v>11698</v>
      </c>
      <c r="K64" t="s">
        <v>11761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8" t="s">
        <v>470</v>
      </c>
      <c r="E65" s="8" t="s">
        <v>1274</v>
      </c>
      <c r="F65" s="8" t="s">
        <v>2377</v>
      </c>
      <c r="H65" s="8" t="s">
        <v>2374</v>
      </c>
      <c r="I65" s="8" t="s">
        <v>2015</v>
      </c>
      <c r="J65" s="8" t="s">
        <v>11698</v>
      </c>
      <c r="K65" t="s">
        <v>11762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8" t="s">
        <v>470</v>
      </c>
      <c r="E66" s="8" t="s">
        <v>468</v>
      </c>
      <c r="F66" s="8" t="s">
        <v>58</v>
      </c>
      <c r="H66" s="8" t="s">
        <v>2383</v>
      </c>
      <c r="I66" s="8" t="s">
        <v>2017</v>
      </c>
      <c r="J66" s="8" t="s">
        <v>11698</v>
      </c>
      <c r="K66" t="s">
        <v>11763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8" t="s">
        <v>2393</v>
      </c>
      <c r="E67" s="8" t="s">
        <v>2336</v>
      </c>
      <c r="F67" s="8" t="s">
        <v>58</v>
      </c>
      <c r="H67" s="8" t="s">
        <v>2373</v>
      </c>
      <c r="I67" s="8" t="s">
        <v>2019</v>
      </c>
      <c r="J67" s="8" t="s">
        <v>11698</v>
      </c>
      <c r="K67" t="s">
        <v>11764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8" t="s">
        <v>1602</v>
      </c>
      <c r="E68" s="8" t="s">
        <v>2336</v>
      </c>
      <c r="F68" s="8" t="s">
        <v>58</v>
      </c>
      <c r="H68" s="8" t="s">
        <v>2373</v>
      </c>
      <c r="I68" s="8" t="s">
        <v>2021</v>
      </c>
      <c r="J68" s="8" t="s">
        <v>11698</v>
      </c>
      <c r="K68" t="s">
        <v>11765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8" t="s">
        <v>1602</v>
      </c>
      <c r="E69" s="8" t="s">
        <v>2336</v>
      </c>
      <c r="F69" s="8" t="s">
        <v>58</v>
      </c>
      <c r="H69" s="8" t="s">
        <v>2373</v>
      </c>
      <c r="I69" s="8" t="s">
        <v>2024</v>
      </c>
      <c r="J69" s="8" t="s">
        <v>11698</v>
      </c>
      <c r="K69" t="s">
        <v>11766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8" t="s">
        <v>1602</v>
      </c>
      <c r="E70" s="8" t="s">
        <v>2336</v>
      </c>
      <c r="F70" s="8" t="s">
        <v>58</v>
      </c>
      <c r="H70" s="8" t="s">
        <v>2373</v>
      </c>
      <c r="I70" s="8" t="s">
        <v>2027</v>
      </c>
      <c r="J70" s="8" t="s">
        <v>11698</v>
      </c>
      <c r="K70" t="s">
        <v>11767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8" t="s">
        <v>1602</v>
      </c>
      <c r="E71" s="8" t="s">
        <v>2336</v>
      </c>
      <c r="F71" s="8" t="s">
        <v>58</v>
      </c>
      <c r="H71" s="8" t="s">
        <v>2373</v>
      </c>
      <c r="I71" s="8" t="s">
        <v>2030</v>
      </c>
      <c r="J71" s="8" t="s">
        <v>11698</v>
      </c>
      <c r="K71" t="s">
        <v>11768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8" t="s">
        <v>1602</v>
      </c>
      <c r="E72" s="8" t="s">
        <v>2336</v>
      </c>
      <c r="F72" s="8" t="s">
        <v>58</v>
      </c>
      <c r="H72" s="8" t="s">
        <v>2373</v>
      </c>
      <c r="I72" s="8" t="s">
        <v>2032</v>
      </c>
      <c r="J72" s="8" t="s">
        <v>11698</v>
      </c>
      <c r="K72" t="s">
        <v>11769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8" t="s">
        <v>1602</v>
      </c>
      <c r="E73" s="8" t="s">
        <v>2336</v>
      </c>
      <c r="F73" s="8" t="s">
        <v>58</v>
      </c>
      <c r="H73" s="8" t="s">
        <v>2373</v>
      </c>
      <c r="I73" s="8" t="s">
        <v>2035</v>
      </c>
      <c r="J73" s="8" t="s">
        <v>11698</v>
      </c>
      <c r="K73" t="s">
        <v>11770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8" t="s">
        <v>4</v>
      </c>
      <c r="E74" s="8" t="s">
        <v>8</v>
      </c>
      <c r="F74" s="8"/>
      <c r="H74" s="8"/>
      <c r="I74" s="8" t="s">
        <v>2038</v>
      </c>
      <c r="J74" s="8" t="s">
        <v>11698</v>
      </c>
      <c r="K74" t="s">
        <v>11771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8" t="s">
        <v>470</v>
      </c>
      <c r="E75" s="8" t="s">
        <v>468</v>
      </c>
      <c r="F75" s="8" t="s">
        <v>58</v>
      </c>
      <c r="H75" s="8" t="s">
        <v>2374</v>
      </c>
      <c r="I75" s="8" t="s">
        <v>2040</v>
      </c>
      <c r="J75" s="8" t="s">
        <v>11698</v>
      </c>
      <c r="K75" t="s">
        <v>11772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8" t="s">
        <v>470</v>
      </c>
      <c r="E76" s="8" t="s">
        <v>1274</v>
      </c>
      <c r="F76" s="8" t="s">
        <v>58</v>
      </c>
      <c r="H76" s="8" t="s">
        <v>2374</v>
      </c>
      <c r="I76" s="8" t="s">
        <v>2042</v>
      </c>
      <c r="J76" s="8" t="s">
        <v>11698</v>
      </c>
      <c r="K76" t="s">
        <v>11773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8" t="s">
        <v>470</v>
      </c>
      <c r="E77" s="8" t="s">
        <v>1274</v>
      </c>
      <c r="F77" s="8" t="s">
        <v>58</v>
      </c>
      <c r="H77" s="8" t="s">
        <v>2374</v>
      </c>
      <c r="I77" s="8" t="s">
        <v>2044</v>
      </c>
      <c r="J77" s="8" t="s">
        <v>11698</v>
      </c>
      <c r="K77" t="s">
        <v>11774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8" t="s">
        <v>4</v>
      </c>
      <c r="E78" s="8" t="s">
        <v>8</v>
      </c>
      <c r="F78" s="8"/>
      <c r="H78" s="8"/>
      <c r="I78" s="8" t="s">
        <v>2046</v>
      </c>
      <c r="J78" s="8" t="s">
        <v>11698</v>
      </c>
      <c r="K78" t="s">
        <v>11775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8" t="s">
        <v>470</v>
      </c>
      <c r="E79" s="8" t="s">
        <v>1274</v>
      </c>
      <c r="F79" s="8" t="s">
        <v>58</v>
      </c>
      <c r="H79" s="8" t="s">
        <v>2374</v>
      </c>
      <c r="I79" s="8" t="s">
        <v>2048</v>
      </c>
      <c r="J79" s="8" t="s">
        <v>11698</v>
      </c>
      <c r="K79" t="s">
        <v>11776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8" t="s">
        <v>4</v>
      </c>
      <c r="E80" s="8" t="s">
        <v>8</v>
      </c>
      <c r="F80" s="8"/>
      <c r="H80" s="8"/>
      <c r="I80" s="8" t="s">
        <v>2050</v>
      </c>
      <c r="J80" s="8" t="s">
        <v>11698</v>
      </c>
      <c r="K80" t="s">
        <v>11777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8" t="s">
        <v>1607</v>
      </c>
      <c r="E81" s="8"/>
      <c r="F81" s="8"/>
      <c r="H81" s="8"/>
      <c r="I81" s="8" t="s">
        <v>2052</v>
      </c>
      <c r="J81" s="8" t="s">
        <v>11698</v>
      </c>
      <c r="K81" t="s">
        <v>11778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8" t="s">
        <v>4</v>
      </c>
      <c r="E82" s="8" t="s">
        <v>8</v>
      </c>
      <c r="F82" s="8"/>
      <c r="H82" s="8"/>
      <c r="I82" s="8" t="s">
        <v>2384</v>
      </c>
      <c r="J82" s="8" t="s">
        <v>11698</v>
      </c>
      <c r="K82" t="s">
        <v>11779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8" t="s">
        <v>4</v>
      </c>
      <c r="E83" s="8" t="s">
        <v>8</v>
      </c>
      <c r="F83" s="8"/>
      <c r="H83" s="8" t="s">
        <v>2388</v>
      </c>
      <c r="I83" s="8" t="s">
        <v>2386</v>
      </c>
      <c r="J83" s="8" t="s">
        <v>11698</v>
      </c>
      <c r="K83" t="s">
        <v>11780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8" t="s">
        <v>4</v>
      </c>
      <c r="E84" s="8" t="s">
        <v>8</v>
      </c>
      <c r="F84" s="8"/>
      <c r="H84" s="8" t="s">
        <v>2388</v>
      </c>
      <c r="I84" s="8" t="s">
        <v>2054</v>
      </c>
      <c r="J84" s="8" t="s">
        <v>11698</v>
      </c>
      <c r="K84" t="s">
        <v>11781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8" t="s">
        <v>4</v>
      </c>
      <c r="E85" s="8" t="s">
        <v>8</v>
      </c>
      <c r="F85" s="8"/>
      <c r="H85" s="8"/>
      <c r="I85" s="8" t="s">
        <v>2056</v>
      </c>
      <c r="J85" s="8" t="s">
        <v>11698</v>
      </c>
      <c r="K85" t="s">
        <v>11782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8" t="s">
        <v>1607</v>
      </c>
      <c r="E86" s="8"/>
      <c r="F86" s="8"/>
      <c r="H86" s="8"/>
      <c r="I86" s="8" t="s">
        <v>2058</v>
      </c>
      <c r="J86" s="8" t="s">
        <v>11698</v>
      </c>
      <c r="K86" t="s">
        <v>11783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8" t="s">
        <v>1607</v>
      </c>
      <c r="E87" s="8"/>
      <c r="F87" s="8"/>
      <c r="H87" s="8"/>
      <c r="I87" s="8" t="s">
        <v>2060</v>
      </c>
      <c r="J87" s="8" t="s">
        <v>11698</v>
      </c>
      <c r="K87" t="s">
        <v>11784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8" t="s">
        <v>4</v>
      </c>
      <c r="E88" s="8" t="s">
        <v>8</v>
      </c>
      <c r="F88" s="8"/>
      <c r="H88" s="8"/>
      <c r="I88" s="8" t="s">
        <v>3250</v>
      </c>
      <c r="J88" s="8" t="s">
        <v>11698</v>
      </c>
      <c r="K88" t="s">
        <v>11785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8" t="s">
        <v>470</v>
      </c>
      <c r="E89" s="8" t="s">
        <v>468</v>
      </c>
      <c r="F89" s="8" t="s">
        <v>3407</v>
      </c>
      <c r="G89">
        <v>2</v>
      </c>
      <c r="H89" s="8" t="s">
        <v>3408</v>
      </c>
      <c r="I89" s="8" t="s">
        <v>3252</v>
      </c>
      <c r="J89" s="8" t="s">
        <v>11698</v>
      </c>
      <c r="K89" t="s">
        <v>11786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8" t="s">
        <v>470</v>
      </c>
      <c r="E90" s="8" t="s">
        <v>468</v>
      </c>
      <c r="F90" s="8" t="s">
        <v>3407</v>
      </c>
      <c r="G90">
        <v>2</v>
      </c>
      <c r="H90" s="8" t="s">
        <v>3408</v>
      </c>
      <c r="I90" s="8" t="s">
        <v>3254</v>
      </c>
      <c r="J90" s="8" t="s">
        <v>11698</v>
      </c>
      <c r="K90" t="s">
        <v>11787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8" t="s">
        <v>3381</v>
      </c>
      <c r="E91" s="8" t="s">
        <v>468</v>
      </c>
      <c r="F91" s="8" t="s">
        <v>58</v>
      </c>
      <c r="H91" s="8" t="s">
        <v>3409</v>
      </c>
      <c r="I91" s="8" t="s">
        <v>3256</v>
      </c>
      <c r="J91" s="8" t="s">
        <v>11698</v>
      </c>
      <c r="K91" t="s">
        <v>11788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8" t="s">
        <v>3381</v>
      </c>
      <c r="E92" s="8" t="s">
        <v>468</v>
      </c>
      <c r="F92" s="8" t="s">
        <v>58</v>
      </c>
      <c r="H92" s="8" t="s">
        <v>2352</v>
      </c>
      <c r="I92" s="8" t="s">
        <v>3258</v>
      </c>
      <c r="J92" s="8" t="s">
        <v>11698</v>
      </c>
      <c r="K92" t="s">
        <v>11789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8" t="s">
        <v>3381</v>
      </c>
      <c r="E93" s="8" t="s">
        <v>468</v>
      </c>
      <c r="F93" s="8" t="s">
        <v>58</v>
      </c>
      <c r="H93" s="8" t="s">
        <v>2352</v>
      </c>
      <c r="I93" s="8" t="s">
        <v>3260</v>
      </c>
      <c r="J93" s="8" t="s">
        <v>11698</v>
      </c>
      <c r="K93" t="s">
        <v>11790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8" t="s">
        <v>3381</v>
      </c>
      <c r="E94" s="8" t="s">
        <v>468</v>
      </c>
      <c r="F94" s="8" t="s">
        <v>58</v>
      </c>
      <c r="H94" s="8" t="s">
        <v>2352</v>
      </c>
      <c r="I94" s="8" t="s">
        <v>3262</v>
      </c>
      <c r="J94" s="8" t="s">
        <v>11698</v>
      </c>
      <c r="K94" t="s">
        <v>11791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8" t="s">
        <v>3381</v>
      </c>
      <c r="E95" s="8" t="s">
        <v>468</v>
      </c>
      <c r="F95" s="8" t="s">
        <v>58</v>
      </c>
      <c r="H95" s="8" t="s">
        <v>2352</v>
      </c>
      <c r="I95" s="8" t="s">
        <v>3264</v>
      </c>
      <c r="J95" s="8" t="s">
        <v>11698</v>
      </c>
      <c r="K95" t="s">
        <v>11792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8" t="s">
        <v>226</v>
      </c>
      <c r="E96" s="8" t="s">
        <v>3357</v>
      </c>
      <c r="F96" s="8" t="s">
        <v>58</v>
      </c>
      <c r="H96" s="8"/>
      <c r="I96" s="8" t="s">
        <v>3266</v>
      </c>
      <c r="J96" s="8" t="s">
        <v>11698</v>
      </c>
      <c r="K96" t="s">
        <v>11793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8" t="s">
        <v>226</v>
      </c>
      <c r="E97" s="8" t="s">
        <v>3357</v>
      </c>
      <c r="F97" s="8" t="s">
        <v>58</v>
      </c>
      <c r="H97" s="8" t="s">
        <v>2352</v>
      </c>
      <c r="I97" s="8" t="s">
        <v>3269</v>
      </c>
      <c r="J97" s="8" t="s">
        <v>11698</v>
      </c>
      <c r="K97" t="s">
        <v>11794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8" t="s">
        <v>226</v>
      </c>
      <c r="E98" s="8" t="s">
        <v>3357</v>
      </c>
      <c r="F98" s="8" t="s">
        <v>58</v>
      </c>
      <c r="H98" s="8" t="s">
        <v>2352</v>
      </c>
      <c r="I98" s="8" t="s">
        <v>3272</v>
      </c>
      <c r="J98" s="8" t="s">
        <v>11698</v>
      </c>
      <c r="K98" t="s">
        <v>11795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8" t="s">
        <v>226</v>
      </c>
      <c r="E99" s="8" t="s">
        <v>3357</v>
      </c>
      <c r="F99" s="8" t="s">
        <v>58</v>
      </c>
      <c r="H99" s="8" t="s">
        <v>2352</v>
      </c>
      <c r="I99" s="8" t="s">
        <v>3275</v>
      </c>
      <c r="J99" s="8" t="s">
        <v>11698</v>
      </c>
      <c r="K99" t="s">
        <v>11796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8" t="s">
        <v>4</v>
      </c>
      <c r="E100" s="8" t="s">
        <v>8</v>
      </c>
      <c r="F100" s="8"/>
      <c r="H100" s="8"/>
      <c r="I100" s="8" t="s">
        <v>3278</v>
      </c>
      <c r="J100" s="8" t="s">
        <v>11698</v>
      </c>
      <c r="K100" t="s">
        <v>11797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8" t="s">
        <v>887</v>
      </c>
      <c r="E101" s="8" t="s">
        <v>86</v>
      </c>
      <c r="F101" s="8" t="s">
        <v>58</v>
      </c>
      <c r="H101" s="8" t="s">
        <v>1287</v>
      </c>
      <c r="I101" s="8" t="s">
        <v>3280</v>
      </c>
      <c r="J101" s="8" t="s">
        <v>11698</v>
      </c>
      <c r="K101" t="s">
        <v>11798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8" t="s">
        <v>887</v>
      </c>
      <c r="E102" s="8" t="s">
        <v>86</v>
      </c>
      <c r="F102" s="8" t="s">
        <v>58</v>
      </c>
      <c r="H102" s="8" t="s">
        <v>3410</v>
      </c>
      <c r="I102" s="8" t="s">
        <v>3282</v>
      </c>
      <c r="J102" s="8" t="s">
        <v>11698</v>
      </c>
      <c r="K102" t="s">
        <v>11799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8" t="s">
        <v>887</v>
      </c>
      <c r="E103" s="8" t="s">
        <v>86</v>
      </c>
      <c r="F103" s="8" t="s">
        <v>58</v>
      </c>
      <c r="H103" s="8" t="s">
        <v>3410</v>
      </c>
      <c r="I103" s="8" t="s">
        <v>3284</v>
      </c>
      <c r="J103" s="8" t="s">
        <v>11698</v>
      </c>
      <c r="K103" t="s">
        <v>11800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8" t="s">
        <v>470</v>
      </c>
      <c r="E104" s="8" t="s">
        <v>1274</v>
      </c>
      <c r="F104" s="8" t="s">
        <v>58</v>
      </c>
      <c r="H104" s="8"/>
      <c r="I104" s="8" t="s">
        <v>3286</v>
      </c>
      <c r="J104" s="8" t="s">
        <v>11698</v>
      </c>
      <c r="K104" t="s">
        <v>11801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8" t="s">
        <v>4</v>
      </c>
      <c r="E105" s="8" t="s">
        <v>8</v>
      </c>
      <c r="F105" s="8"/>
      <c r="H105" s="8"/>
      <c r="I105" s="8" t="s">
        <v>3288</v>
      </c>
      <c r="J105" s="8" t="s">
        <v>11698</v>
      </c>
      <c r="K105" t="s">
        <v>11802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8" t="s">
        <v>4</v>
      </c>
      <c r="E106" s="8" t="s">
        <v>8</v>
      </c>
      <c r="F106" s="8"/>
      <c r="H106" s="8"/>
      <c r="I106" s="8" t="s">
        <v>3290</v>
      </c>
      <c r="J106" s="8" t="s">
        <v>11698</v>
      </c>
      <c r="K106" t="s">
        <v>11803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8" t="s">
        <v>1607</v>
      </c>
      <c r="E107" s="8"/>
      <c r="F107" s="8"/>
      <c r="H107" s="8"/>
      <c r="I107" s="8" t="s">
        <v>3446</v>
      </c>
      <c r="J107" s="8" t="s">
        <v>11698</v>
      </c>
      <c r="K107" t="s">
        <v>11804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8" t="s">
        <v>1607</v>
      </c>
      <c r="E108" s="8"/>
      <c r="F108" s="8"/>
      <c r="H108" s="8"/>
      <c r="I108" s="8" t="s">
        <v>3901</v>
      </c>
      <c r="J108" s="8" t="s">
        <v>11698</v>
      </c>
      <c r="K108" t="s">
        <v>11805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8" t="s">
        <v>1607</v>
      </c>
      <c r="E109" s="8"/>
      <c r="F109" s="8"/>
      <c r="H109" s="8"/>
      <c r="I109" s="8" t="s">
        <v>3903</v>
      </c>
      <c r="J109" s="8" t="s">
        <v>11698</v>
      </c>
      <c r="K109" t="s">
        <v>11806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8" t="s">
        <v>137</v>
      </c>
      <c r="E110" s="8" t="s">
        <v>86</v>
      </c>
      <c r="F110" s="8" t="s">
        <v>4097</v>
      </c>
      <c r="H110" s="8"/>
      <c r="I110" s="8" t="s">
        <v>3905</v>
      </c>
      <c r="J110" s="8" t="s">
        <v>11698</v>
      </c>
      <c r="K110" t="s">
        <v>11807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8" t="s">
        <v>2459</v>
      </c>
      <c r="E111" s="8" t="s">
        <v>86</v>
      </c>
      <c r="F111" s="8" t="s">
        <v>4097</v>
      </c>
      <c r="H111" s="8"/>
      <c r="I111" s="8" t="s">
        <v>3907</v>
      </c>
      <c r="J111" s="8" t="s">
        <v>11698</v>
      </c>
      <c r="K111" t="s">
        <v>11808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8" t="s">
        <v>1607</v>
      </c>
      <c r="E112" s="8"/>
      <c r="F112" s="8"/>
      <c r="H112" s="8"/>
      <c r="I112" s="8" t="s">
        <v>3909</v>
      </c>
      <c r="J112" s="8" t="s">
        <v>11698</v>
      </c>
      <c r="K112" t="s">
        <v>11809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8" t="s">
        <v>4</v>
      </c>
      <c r="E113" s="8" t="s">
        <v>4133</v>
      </c>
      <c r="F113" s="8"/>
      <c r="H113" s="8" t="s">
        <v>4134</v>
      </c>
      <c r="I113" s="8" t="s">
        <v>3911</v>
      </c>
      <c r="J113" s="8" t="s">
        <v>11698</v>
      </c>
      <c r="K113" t="s">
        <v>11810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8" t="s">
        <v>1607</v>
      </c>
      <c r="E114" s="8"/>
      <c r="F114" s="8"/>
      <c r="H114" s="8"/>
      <c r="I114" s="8" t="s">
        <v>3913</v>
      </c>
      <c r="J114" s="8" t="s">
        <v>11698</v>
      </c>
      <c r="K114" t="s">
        <v>11811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8" t="s">
        <v>4238</v>
      </c>
      <c r="E115" s="8" t="s">
        <v>4236</v>
      </c>
      <c r="F115" s="8" t="s">
        <v>3398</v>
      </c>
      <c r="H115" s="8"/>
      <c r="I115" s="8" t="s">
        <v>4187</v>
      </c>
      <c r="J115" s="8" t="s">
        <v>11698</v>
      </c>
      <c r="K115" t="s">
        <v>11812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8" t="s">
        <v>4238</v>
      </c>
      <c r="E116" s="8" t="s">
        <v>4236</v>
      </c>
      <c r="F116" s="8" t="s">
        <v>3398</v>
      </c>
      <c r="H116" s="8" t="s">
        <v>2352</v>
      </c>
      <c r="I116" s="8" t="s">
        <v>4189</v>
      </c>
      <c r="J116" s="8" t="s">
        <v>11698</v>
      </c>
      <c r="K116" t="s">
        <v>11813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8" t="s">
        <v>4238</v>
      </c>
      <c r="E117" s="8" t="s">
        <v>4236</v>
      </c>
      <c r="F117" s="8" t="s">
        <v>3398</v>
      </c>
      <c r="H117" s="8" t="s">
        <v>2352</v>
      </c>
      <c r="I117" s="8" t="s">
        <v>4191</v>
      </c>
      <c r="J117" s="8" t="s">
        <v>11698</v>
      </c>
      <c r="K117" t="s">
        <v>11814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8" t="s">
        <v>4238</v>
      </c>
      <c r="E118" s="8" t="s">
        <v>4236</v>
      </c>
      <c r="F118" s="8" t="s">
        <v>3398</v>
      </c>
      <c r="H118" s="8" t="s">
        <v>2352</v>
      </c>
      <c r="I118" s="8" t="s">
        <v>4193</v>
      </c>
      <c r="J118" s="8" t="s">
        <v>11698</v>
      </c>
      <c r="K118" t="s">
        <v>11815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8" t="s">
        <v>4238</v>
      </c>
      <c r="E119" s="8" t="s">
        <v>4236</v>
      </c>
      <c r="F119" s="8" t="s">
        <v>3398</v>
      </c>
      <c r="H119" s="8" t="s">
        <v>2352</v>
      </c>
      <c r="I119" s="8" t="s">
        <v>4195</v>
      </c>
      <c r="J119" s="8" t="s">
        <v>11698</v>
      </c>
      <c r="K119" t="s">
        <v>11816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8" t="s">
        <v>3400</v>
      </c>
      <c r="E120" s="8" t="s">
        <v>4236</v>
      </c>
      <c r="F120" s="8" t="s">
        <v>3398</v>
      </c>
      <c r="H120" s="8"/>
      <c r="I120" s="8" t="s">
        <v>4197</v>
      </c>
      <c r="J120" s="8" t="s">
        <v>11698</v>
      </c>
      <c r="K120" t="s">
        <v>11817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8" t="s">
        <v>887</v>
      </c>
      <c r="E121" s="8" t="s">
        <v>86</v>
      </c>
      <c r="F121" s="8" t="s">
        <v>58</v>
      </c>
      <c r="H121" s="8" t="s">
        <v>1287</v>
      </c>
      <c r="I121" s="8" t="s">
        <v>4371</v>
      </c>
      <c r="J121" s="8" t="s">
        <v>11698</v>
      </c>
      <c r="K121" t="s">
        <v>11818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8" t="s">
        <v>887</v>
      </c>
      <c r="E122" s="8" t="s">
        <v>86</v>
      </c>
      <c r="F122" s="8" t="s">
        <v>58</v>
      </c>
      <c r="H122" s="8" t="s">
        <v>1287</v>
      </c>
      <c r="I122" s="8" t="s">
        <v>4373</v>
      </c>
      <c r="J122" s="8" t="s">
        <v>11698</v>
      </c>
      <c r="K122" t="s">
        <v>11819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8" t="s">
        <v>4</v>
      </c>
      <c r="E123" s="8" t="s">
        <v>86</v>
      </c>
      <c r="F123" s="8" t="s">
        <v>465</v>
      </c>
      <c r="H123" s="8" t="s">
        <v>4098</v>
      </c>
      <c r="I123" s="8" t="s">
        <v>4504</v>
      </c>
      <c r="J123" s="8" t="s">
        <v>11698</v>
      </c>
      <c r="K123" t="s">
        <v>11820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8" t="s">
        <v>4</v>
      </c>
      <c r="E124" s="8" t="s">
        <v>86</v>
      </c>
      <c r="F124" s="8" t="s">
        <v>465</v>
      </c>
      <c r="H124" s="8" t="s">
        <v>4098</v>
      </c>
      <c r="I124" s="8" t="s">
        <v>4507</v>
      </c>
      <c r="J124" s="8" t="s">
        <v>11698</v>
      </c>
      <c r="K124" t="s">
        <v>11821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8" t="s">
        <v>4</v>
      </c>
      <c r="E125" s="8" t="s">
        <v>86</v>
      </c>
      <c r="F125" s="8" t="s">
        <v>465</v>
      </c>
      <c r="H125" s="8" t="s">
        <v>4098</v>
      </c>
      <c r="I125" s="8" t="s">
        <v>4509</v>
      </c>
      <c r="J125" s="8" t="s">
        <v>11698</v>
      </c>
      <c r="K125" t="s">
        <v>11822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8" t="s">
        <v>4</v>
      </c>
      <c r="E126" s="8" t="s">
        <v>86</v>
      </c>
      <c r="F126" s="8" t="s">
        <v>465</v>
      </c>
      <c r="H126" s="8" t="s">
        <v>4098</v>
      </c>
      <c r="I126" s="8" t="s">
        <v>4511</v>
      </c>
      <c r="J126" s="8" t="s">
        <v>11698</v>
      </c>
      <c r="K126" t="s">
        <v>11823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8" t="s">
        <v>4934</v>
      </c>
      <c r="E127" s="8" t="s">
        <v>58</v>
      </c>
      <c r="F127" s="8"/>
      <c r="H127" s="8" t="s">
        <v>4935</v>
      </c>
      <c r="I127" s="8" t="s">
        <v>4513</v>
      </c>
      <c r="J127" s="8" t="s">
        <v>11698</v>
      </c>
      <c r="K127" t="s">
        <v>11824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8" t="s">
        <v>4934</v>
      </c>
      <c r="E128" s="8" t="s">
        <v>58</v>
      </c>
      <c r="F128" s="8"/>
      <c r="H128" s="8" t="s">
        <v>2352</v>
      </c>
      <c r="I128" s="8" t="s">
        <v>4515</v>
      </c>
      <c r="J128" s="8" t="s">
        <v>11698</v>
      </c>
      <c r="K128" t="s">
        <v>11825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8" t="s">
        <v>4934</v>
      </c>
      <c r="E129" s="8" t="s">
        <v>58</v>
      </c>
      <c r="F129" s="8"/>
      <c r="H129" s="8" t="s">
        <v>2352</v>
      </c>
      <c r="I129" s="8" t="s">
        <v>4517</v>
      </c>
      <c r="J129" s="8" t="s">
        <v>11698</v>
      </c>
      <c r="K129" t="s">
        <v>11826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8" t="s">
        <v>4934</v>
      </c>
      <c r="E130" s="8" t="s">
        <v>58</v>
      </c>
      <c r="F130" s="8"/>
      <c r="H130" s="8" t="s">
        <v>2352</v>
      </c>
      <c r="I130" s="8" t="s">
        <v>4519</v>
      </c>
      <c r="J130" s="8" t="s">
        <v>11698</v>
      </c>
      <c r="K130" t="s">
        <v>11827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8" t="s">
        <v>887</v>
      </c>
      <c r="E131" s="8" t="s">
        <v>86</v>
      </c>
      <c r="F131" s="8" t="s">
        <v>58</v>
      </c>
      <c r="H131" s="8" t="s">
        <v>1287</v>
      </c>
      <c r="I131" s="8" t="s">
        <v>4726</v>
      </c>
      <c r="J131" s="8" t="s">
        <v>11698</v>
      </c>
      <c r="K131" t="s">
        <v>11828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8" t="s">
        <v>4</v>
      </c>
      <c r="E132" s="8" t="s">
        <v>8</v>
      </c>
      <c r="F132" s="8"/>
      <c r="H132" s="8"/>
      <c r="I132" s="8" t="s">
        <v>4728</v>
      </c>
      <c r="J132" s="8" t="s">
        <v>11698</v>
      </c>
      <c r="K132" t="s">
        <v>11829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8" t="s">
        <v>4</v>
      </c>
      <c r="E133" s="8" t="s">
        <v>8</v>
      </c>
      <c r="F133" s="8"/>
      <c r="H133" s="8"/>
      <c r="I133" s="8" t="s">
        <v>4730</v>
      </c>
      <c r="J133" s="8" t="s">
        <v>11698</v>
      </c>
      <c r="K133" t="s">
        <v>11830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8" t="s">
        <v>1273</v>
      </c>
      <c r="E134" s="8" t="s">
        <v>4917</v>
      </c>
      <c r="F134" s="8" t="s">
        <v>4936</v>
      </c>
      <c r="H134" s="8" t="s">
        <v>4914</v>
      </c>
      <c r="I134" s="8" t="s">
        <v>4867</v>
      </c>
      <c r="J134" s="8" t="s">
        <v>11698</v>
      </c>
      <c r="K134" t="s">
        <v>11831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8" t="s">
        <v>4937</v>
      </c>
      <c r="E135" s="8" t="s">
        <v>4917</v>
      </c>
      <c r="F135" s="8"/>
      <c r="H135" s="8"/>
      <c r="I135" s="8" t="s">
        <v>4869</v>
      </c>
      <c r="J135" s="8" t="s">
        <v>11698</v>
      </c>
      <c r="K135" t="s">
        <v>11832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8" t="s">
        <v>226</v>
      </c>
      <c r="E136" s="8" t="s">
        <v>4917</v>
      </c>
      <c r="F136" s="8" t="s">
        <v>4938</v>
      </c>
      <c r="H136" s="8" t="s">
        <v>2352</v>
      </c>
      <c r="I136" s="8" t="s">
        <v>4871</v>
      </c>
      <c r="J136" s="8" t="s">
        <v>11698</v>
      </c>
      <c r="K136" t="s">
        <v>11833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8" t="s">
        <v>226</v>
      </c>
      <c r="E137" s="8" t="s">
        <v>4917</v>
      </c>
      <c r="F137" s="8" t="s">
        <v>4938</v>
      </c>
      <c r="H137" s="8" t="s">
        <v>2352</v>
      </c>
      <c r="I137" s="8" t="s">
        <v>4874</v>
      </c>
      <c r="J137" s="8" t="s">
        <v>11698</v>
      </c>
      <c r="K137" t="s">
        <v>11834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8" t="s">
        <v>226</v>
      </c>
      <c r="E138" s="8" t="s">
        <v>4917</v>
      </c>
      <c r="F138" s="8" t="s">
        <v>4938</v>
      </c>
      <c r="H138" s="8" t="s">
        <v>2352</v>
      </c>
      <c r="I138" s="8" t="s">
        <v>4877</v>
      </c>
      <c r="J138" s="8" t="s">
        <v>11698</v>
      </c>
      <c r="K138" t="s">
        <v>11835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8" t="s">
        <v>226</v>
      </c>
      <c r="E139" s="8" t="s">
        <v>4917</v>
      </c>
      <c r="F139" s="8" t="s">
        <v>4938</v>
      </c>
      <c r="H139" s="8" t="s">
        <v>2352</v>
      </c>
      <c r="I139" s="8" t="s">
        <v>4880</v>
      </c>
      <c r="J139" s="8" t="s">
        <v>11698</v>
      </c>
      <c r="K139" t="s">
        <v>11836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8" t="s">
        <v>226</v>
      </c>
      <c r="E140" s="8" t="s">
        <v>4917</v>
      </c>
      <c r="F140" s="8" t="s">
        <v>4938</v>
      </c>
      <c r="H140" s="8" t="s">
        <v>2352</v>
      </c>
      <c r="I140" s="8" t="s">
        <v>4883</v>
      </c>
      <c r="J140" s="8" t="s">
        <v>11698</v>
      </c>
      <c r="K140" t="s">
        <v>11837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8" t="s">
        <v>226</v>
      </c>
      <c r="E141" s="8" t="s">
        <v>4917</v>
      </c>
      <c r="F141" s="8" t="s">
        <v>4938</v>
      </c>
      <c r="H141" s="8" t="s">
        <v>2352</v>
      </c>
      <c r="I141" s="8" t="s">
        <v>4886</v>
      </c>
      <c r="J141" s="8" t="s">
        <v>11698</v>
      </c>
      <c r="K141" t="s">
        <v>11838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8" t="s">
        <v>226</v>
      </c>
      <c r="E142" s="8" t="s">
        <v>4917</v>
      </c>
      <c r="F142" s="8" t="s">
        <v>4938</v>
      </c>
      <c r="H142" s="8" t="s">
        <v>2352</v>
      </c>
      <c r="I142" s="8" t="s">
        <v>4889</v>
      </c>
      <c r="J142" s="8" t="s">
        <v>11698</v>
      </c>
      <c r="K142" t="s">
        <v>11839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8" t="s">
        <v>226</v>
      </c>
      <c r="E143" s="8" t="s">
        <v>4917</v>
      </c>
      <c r="F143" s="8" t="s">
        <v>4938</v>
      </c>
      <c r="H143" s="8" t="s">
        <v>2352</v>
      </c>
      <c r="I143" s="8" t="s">
        <v>4892</v>
      </c>
      <c r="J143" s="8" t="s">
        <v>11698</v>
      </c>
      <c r="K143" t="s">
        <v>11840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8" t="s">
        <v>587</v>
      </c>
      <c r="E144" s="8" t="s">
        <v>4917</v>
      </c>
      <c r="F144" s="8" t="s">
        <v>4938</v>
      </c>
      <c r="H144" s="8"/>
      <c r="I144" s="8" t="s">
        <v>4895</v>
      </c>
      <c r="J144" s="8" t="s">
        <v>11698</v>
      </c>
      <c r="K144" t="s">
        <v>11841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8" t="s">
        <v>1273</v>
      </c>
      <c r="E145" s="8" t="s">
        <v>4917</v>
      </c>
      <c r="F145" s="8" t="s">
        <v>1276</v>
      </c>
      <c r="H145" s="8"/>
      <c r="I145" s="8" t="s">
        <v>4897</v>
      </c>
      <c r="J145" s="8" t="s">
        <v>11698</v>
      </c>
      <c r="K145" t="s">
        <v>11842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8" t="s">
        <v>227</v>
      </c>
      <c r="E146" s="8" t="s">
        <v>4917</v>
      </c>
      <c r="F146" s="8" t="s">
        <v>58</v>
      </c>
      <c r="H146" s="8"/>
      <c r="I146" s="8" t="s">
        <v>4899</v>
      </c>
      <c r="J146" s="8" t="s">
        <v>11698</v>
      </c>
      <c r="K146" t="s">
        <v>11843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8" t="s">
        <v>227</v>
      </c>
      <c r="E147" s="8" t="s">
        <v>4917</v>
      </c>
      <c r="F147" s="8" t="s">
        <v>58</v>
      </c>
      <c r="H147" s="8" t="s">
        <v>2352</v>
      </c>
      <c r="I147" s="8" t="s">
        <v>4901</v>
      </c>
      <c r="J147" s="8" t="s">
        <v>11698</v>
      </c>
      <c r="K147" t="s">
        <v>11844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8" t="s">
        <v>227</v>
      </c>
      <c r="E148" s="8" t="s">
        <v>4917</v>
      </c>
      <c r="F148" s="8" t="s">
        <v>58</v>
      </c>
      <c r="H148" s="8" t="s">
        <v>2352</v>
      </c>
      <c r="I148" s="8" t="s">
        <v>4903</v>
      </c>
      <c r="J148" s="8" t="s">
        <v>11698</v>
      </c>
      <c r="K148" t="s">
        <v>11845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8" t="s">
        <v>227</v>
      </c>
      <c r="E149" s="8" t="s">
        <v>4917</v>
      </c>
      <c r="F149" s="8" t="s">
        <v>58</v>
      </c>
      <c r="H149" s="8" t="s">
        <v>2352</v>
      </c>
      <c r="I149" s="8" t="s">
        <v>4905</v>
      </c>
      <c r="J149" s="8" t="s">
        <v>11698</v>
      </c>
      <c r="K149" t="s">
        <v>11846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8" t="s">
        <v>587</v>
      </c>
      <c r="E150" s="8" t="s">
        <v>4917</v>
      </c>
      <c r="F150" s="8" t="s">
        <v>4939</v>
      </c>
      <c r="H150" s="8"/>
      <c r="I150" s="8" t="s">
        <v>4907</v>
      </c>
      <c r="J150" s="8" t="s">
        <v>11698</v>
      </c>
      <c r="K150" t="s">
        <v>11847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8" t="s">
        <v>4</v>
      </c>
      <c r="E151" s="8" t="s">
        <v>8</v>
      </c>
      <c r="F151" s="8"/>
      <c r="H151" s="8"/>
      <c r="I151" s="8" t="s">
        <v>4909</v>
      </c>
      <c r="J151" s="8" t="s">
        <v>11698</v>
      </c>
      <c r="K151" t="s">
        <v>11848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8" t="s">
        <v>1607</v>
      </c>
      <c r="E152" s="8" t="s">
        <v>8</v>
      </c>
      <c r="F152" s="8"/>
      <c r="H152" s="8"/>
      <c r="I152" s="8" t="s">
        <v>4991</v>
      </c>
      <c r="J152" s="8" t="s">
        <v>11698</v>
      </c>
      <c r="K152" t="s">
        <v>11849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8" t="s">
        <v>137</v>
      </c>
      <c r="E153" s="8" t="s">
        <v>5045</v>
      </c>
      <c r="F153" s="8" t="s">
        <v>51</v>
      </c>
      <c r="H153" s="8"/>
      <c r="I153" s="8" t="s">
        <v>5194</v>
      </c>
      <c r="J153" s="8" t="s">
        <v>11698</v>
      </c>
      <c r="K153" t="s">
        <v>11850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8" t="s">
        <v>137</v>
      </c>
      <c r="E154" s="8" t="s">
        <v>86</v>
      </c>
      <c r="F154" s="8" t="s">
        <v>58</v>
      </c>
      <c r="H154" s="8" t="s">
        <v>5217</v>
      </c>
      <c r="I154" s="8" t="s">
        <v>5196</v>
      </c>
      <c r="J154" s="8" t="s">
        <v>11698</v>
      </c>
      <c r="K154" t="s">
        <v>11851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8" t="s">
        <v>4</v>
      </c>
      <c r="E155" s="8" t="s">
        <v>8</v>
      </c>
      <c r="F155" s="8"/>
      <c r="H155" s="8"/>
      <c r="I155" s="8" t="s">
        <v>5198</v>
      </c>
      <c r="J155" s="8" t="s">
        <v>11698</v>
      </c>
      <c r="K155" t="s">
        <v>11852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8" t="s">
        <v>1607</v>
      </c>
      <c r="E156" s="8" t="s">
        <v>8</v>
      </c>
      <c r="F156" s="8"/>
      <c r="H156" s="8"/>
      <c r="I156" s="8" t="s">
        <v>5293</v>
      </c>
      <c r="J156" s="8" t="s">
        <v>11698</v>
      </c>
      <c r="K156" t="s">
        <v>11853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8" t="s">
        <v>1607</v>
      </c>
      <c r="E157" s="8" t="s">
        <v>8</v>
      </c>
      <c r="F157" s="8"/>
      <c r="H157" s="8"/>
      <c r="I157" s="8" t="s">
        <v>5425</v>
      </c>
      <c r="J157" s="8" t="s">
        <v>11698</v>
      </c>
      <c r="K157" t="s">
        <v>11854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8" t="s">
        <v>136</v>
      </c>
      <c r="E158" s="8" t="s">
        <v>4396</v>
      </c>
      <c r="F158" s="8" t="s">
        <v>2360</v>
      </c>
      <c r="H158" s="8" t="s">
        <v>2370</v>
      </c>
      <c r="I158" s="8" t="s">
        <v>5641</v>
      </c>
      <c r="J158" s="8" t="s">
        <v>11698</v>
      </c>
      <c r="K158" t="s">
        <v>11855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8" t="s">
        <v>136</v>
      </c>
      <c r="E159" s="8" t="s">
        <v>4396</v>
      </c>
      <c r="F159" s="8" t="s">
        <v>2360</v>
      </c>
      <c r="H159" s="8" t="s">
        <v>2352</v>
      </c>
      <c r="I159" s="8" t="s">
        <v>5643</v>
      </c>
      <c r="J159" s="8" t="s">
        <v>11698</v>
      </c>
      <c r="K159" t="s">
        <v>11856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8" t="s">
        <v>5699</v>
      </c>
      <c r="E160" s="8" t="s">
        <v>4396</v>
      </c>
      <c r="F160" s="8" t="s">
        <v>5476</v>
      </c>
      <c r="H160" s="8"/>
      <c r="I160" s="8" t="s">
        <v>5645</v>
      </c>
      <c r="J160" s="8" t="s">
        <v>11698</v>
      </c>
      <c r="K160" t="s">
        <v>11857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8" t="s">
        <v>136</v>
      </c>
      <c r="E161" s="8" t="s">
        <v>4396</v>
      </c>
      <c r="F161" s="8" t="s">
        <v>2377</v>
      </c>
      <c r="H161" s="8" t="s">
        <v>2370</v>
      </c>
      <c r="I161" s="8" t="s">
        <v>5647</v>
      </c>
      <c r="J161" s="8" t="s">
        <v>11698</v>
      </c>
      <c r="K161" t="s">
        <v>11858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8" t="s">
        <v>136</v>
      </c>
      <c r="E162" s="8" t="s">
        <v>4396</v>
      </c>
      <c r="F162" s="8" t="s">
        <v>2377</v>
      </c>
      <c r="H162" s="8" t="s">
        <v>2352</v>
      </c>
      <c r="I162" s="8" t="s">
        <v>5649</v>
      </c>
      <c r="J162" s="8" t="s">
        <v>11698</v>
      </c>
      <c r="K162" t="s">
        <v>11859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8" t="s">
        <v>4</v>
      </c>
      <c r="E163" s="8" t="s">
        <v>8</v>
      </c>
      <c r="F163" s="8"/>
      <c r="H163" s="8"/>
      <c r="I163" s="8" t="s">
        <v>5651</v>
      </c>
      <c r="J163" s="8" t="s">
        <v>11698</v>
      </c>
      <c r="K163" t="s">
        <v>11860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8" t="s">
        <v>1607</v>
      </c>
      <c r="E164" s="8" t="s">
        <v>8</v>
      </c>
      <c r="F164" s="8"/>
      <c r="H164" s="8"/>
      <c r="I164" s="8" t="s">
        <v>5653</v>
      </c>
      <c r="J164" s="8" t="s">
        <v>11698</v>
      </c>
      <c r="K164" t="s">
        <v>11861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8" t="s">
        <v>1607</v>
      </c>
      <c r="E165" s="8" t="s">
        <v>8</v>
      </c>
      <c r="F165" s="8"/>
      <c r="H165" s="8"/>
      <c r="I165" s="8" t="s">
        <v>5725</v>
      </c>
      <c r="J165" s="8" t="s">
        <v>11698</v>
      </c>
      <c r="K165" t="s">
        <v>11862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8" t="s">
        <v>1607</v>
      </c>
      <c r="E166" s="8" t="s">
        <v>8</v>
      </c>
      <c r="F166" s="8"/>
      <c r="H166" s="8"/>
      <c r="I166" s="8" t="s">
        <v>5802</v>
      </c>
      <c r="J166" s="8" t="s">
        <v>11698</v>
      </c>
      <c r="K166" t="s">
        <v>11863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8" t="s">
        <v>1607</v>
      </c>
      <c r="E167" s="8" t="s">
        <v>8</v>
      </c>
      <c r="F167" s="8"/>
      <c r="H167" s="8"/>
      <c r="I167" s="8" t="s">
        <v>5804</v>
      </c>
      <c r="J167" s="8" t="s">
        <v>11698</v>
      </c>
      <c r="K167" t="s">
        <v>11864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8" t="s">
        <v>227</v>
      </c>
      <c r="E168" s="8" t="s">
        <v>86</v>
      </c>
      <c r="F168" s="8" t="s">
        <v>60</v>
      </c>
      <c r="H168" s="8" t="s">
        <v>4098</v>
      </c>
      <c r="I168" s="8" t="s">
        <v>5996</v>
      </c>
      <c r="J168" s="8" t="s">
        <v>11698</v>
      </c>
      <c r="K168" t="s">
        <v>11865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8" t="s">
        <v>227</v>
      </c>
      <c r="E169" s="8" t="s">
        <v>86</v>
      </c>
      <c r="F169" s="8" t="s">
        <v>60</v>
      </c>
      <c r="H169" s="8" t="s">
        <v>4098</v>
      </c>
      <c r="I169" s="8" t="s">
        <v>5998</v>
      </c>
      <c r="J169" s="8" t="s">
        <v>11698</v>
      </c>
      <c r="K169" t="s">
        <v>11866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8" t="s">
        <v>227</v>
      </c>
      <c r="E170" s="8" t="s">
        <v>86</v>
      </c>
      <c r="F170" s="8" t="s">
        <v>60</v>
      </c>
      <c r="H170" s="8" t="s">
        <v>4098</v>
      </c>
      <c r="I170" s="8" t="s">
        <v>6000</v>
      </c>
      <c r="J170" s="8" t="s">
        <v>11698</v>
      </c>
      <c r="K170" t="s">
        <v>11867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8" t="s">
        <v>4</v>
      </c>
      <c r="E171" s="8" t="s">
        <v>8</v>
      </c>
      <c r="F171" s="8"/>
      <c r="H171" s="8"/>
      <c r="I171" s="8" t="s">
        <v>6002</v>
      </c>
      <c r="J171" s="8" t="s">
        <v>11698</v>
      </c>
      <c r="K171" t="s">
        <v>11868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8" t="s">
        <v>4</v>
      </c>
      <c r="E172" s="8" t="s">
        <v>86</v>
      </c>
      <c r="F172" s="8" t="s">
        <v>6161</v>
      </c>
      <c r="H172" s="8"/>
      <c r="I172" s="8" t="s">
        <v>6004</v>
      </c>
      <c r="J172" s="8" t="s">
        <v>11698</v>
      </c>
      <c r="K172" t="s">
        <v>11869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8" t="s">
        <v>4</v>
      </c>
      <c r="E173" s="8" t="s">
        <v>86</v>
      </c>
      <c r="F173" s="8" t="s">
        <v>6161</v>
      </c>
      <c r="H173" s="8" t="s">
        <v>2352</v>
      </c>
      <c r="I173" s="8" t="s">
        <v>6006</v>
      </c>
      <c r="J173" s="8" t="s">
        <v>11698</v>
      </c>
      <c r="K173" t="s">
        <v>11870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8" t="s">
        <v>4</v>
      </c>
      <c r="E174" s="8" t="s">
        <v>86</v>
      </c>
      <c r="F174" s="8" t="s">
        <v>6161</v>
      </c>
      <c r="H174" s="8"/>
      <c r="I174" s="8" t="s">
        <v>6008</v>
      </c>
      <c r="J174" s="8" t="s">
        <v>11698</v>
      </c>
      <c r="K174" t="s">
        <v>11871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8" t="s">
        <v>4</v>
      </c>
      <c r="E175" s="8" t="s">
        <v>86</v>
      </c>
      <c r="F175" s="8" t="s">
        <v>6162</v>
      </c>
      <c r="H175" s="8"/>
      <c r="I175" s="8" t="s">
        <v>6010</v>
      </c>
      <c r="J175" s="8" t="s">
        <v>11698</v>
      </c>
      <c r="K175" t="s">
        <v>11872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8" t="s">
        <v>4</v>
      </c>
      <c r="E176" s="8" t="s">
        <v>3358</v>
      </c>
      <c r="F176" s="8" t="s">
        <v>3405</v>
      </c>
      <c r="H176" s="8"/>
      <c r="I176" s="8" t="s">
        <v>6012</v>
      </c>
      <c r="J176" s="8" t="s">
        <v>11698</v>
      </c>
      <c r="K176" t="s">
        <v>11873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8" t="s">
        <v>587</v>
      </c>
      <c r="E177" s="8" t="s">
        <v>3358</v>
      </c>
      <c r="F177" s="8" t="s">
        <v>3405</v>
      </c>
      <c r="H177" s="8"/>
      <c r="I177" s="8" t="s">
        <v>6014</v>
      </c>
      <c r="J177" s="8" t="s">
        <v>11698</v>
      </c>
      <c r="K177" t="s">
        <v>11874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8" t="s">
        <v>226</v>
      </c>
      <c r="E178" s="8" t="s">
        <v>86</v>
      </c>
      <c r="F178" s="8" t="s">
        <v>6167</v>
      </c>
      <c r="H178" s="8"/>
      <c r="I178" s="8" t="s">
        <v>6186</v>
      </c>
      <c r="J178" s="8" t="s">
        <v>11698</v>
      </c>
      <c r="K178" t="s">
        <v>11875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8" t="s">
        <v>136</v>
      </c>
      <c r="E179" s="8" t="s">
        <v>86</v>
      </c>
      <c r="F179" s="8" t="s">
        <v>6162</v>
      </c>
      <c r="H179" s="8"/>
      <c r="I179" s="8" t="s">
        <v>6188</v>
      </c>
      <c r="J179" s="8" t="s">
        <v>11698</v>
      </c>
      <c r="K179" t="s">
        <v>11876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8" t="s">
        <v>1273</v>
      </c>
      <c r="E180" s="8" t="s">
        <v>3358</v>
      </c>
      <c r="F180" s="8" t="s">
        <v>4070</v>
      </c>
      <c r="H180" s="8"/>
      <c r="I180" s="8" t="s">
        <v>6190</v>
      </c>
      <c r="J180" s="8" t="s">
        <v>11698</v>
      </c>
      <c r="K180" t="s">
        <v>11877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8" t="s">
        <v>1273</v>
      </c>
      <c r="E181" s="8" t="s">
        <v>3358</v>
      </c>
      <c r="F181" s="8" t="s">
        <v>4070</v>
      </c>
      <c r="H181" s="8" t="s">
        <v>2352</v>
      </c>
      <c r="I181" s="8" t="s">
        <v>6192</v>
      </c>
      <c r="J181" s="8" t="s">
        <v>11698</v>
      </c>
      <c r="K181" t="s">
        <v>11878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8" t="s">
        <v>3388</v>
      </c>
      <c r="E182" s="8" t="s">
        <v>86</v>
      </c>
      <c r="F182" s="8" t="s">
        <v>465</v>
      </c>
      <c r="H182" s="8"/>
      <c r="I182" s="8" t="s">
        <v>6194</v>
      </c>
      <c r="J182" s="8" t="s">
        <v>11698</v>
      </c>
      <c r="K182" t="s">
        <v>11879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8" t="s">
        <v>3388</v>
      </c>
      <c r="E183" s="8" t="s">
        <v>86</v>
      </c>
      <c r="F183" s="8" t="s">
        <v>465</v>
      </c>
      <c r="H183" s="8" t="s">
        <v>2352</v>
      </c>
      <c r="I183" s="8" t="s">
        <v>6196</v>
      </c>
      <c r="J183" s="8" t="s">
        <v>11698</v>
      </c>
      <c r="K183" t="s">
        <v>11880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8" t="s">
        <v>6299</v>
      </c>
      <c r="E184" s="8" t="s">
        <v>468</v>
      </c>
      <c r="F184" s="8"/>
      <c r="H184" s="8"/>
      <c r="I184" s="8" t="s">
        <v>6198</v>
      </c>
      <c r="J184" s="8" t="s">
        <v>11698</v>
      </c>
      <c r="K184" t="s">
        <v>11881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8" t="s">
        <v>587</v>
      </c>
      <c r="E185" s="8" t="s">
        <v>3358</v>
      </c>
      <c r="F185" s="8" t="s">
        <v>4070</v>
      </c>
      <c r="H185" s="8"/>
      <c r="I185" s="8" t="s">
        <v>6200</v>
      </c>
      <c r="J185" s="8" t="s">
        <v>11698</v>
      </c>
      <c r="K185" t="s">
        <v>11882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8" t="s">
        <v>3388</v>
      </c>
      <c r="E186" s="8" t="s">
        <v>86</v>
      </c>
      <c r="F186" s="8" t="s">
        <v>465</v>
      </c>
      <c r="H186" s="8"/>
      <c r="I186" s="8" t="s">
        <v>6202</v>
      </c>
      <c r="J186" s="8" t="s">
        <v>11698</v>
      </c>
      <c r="K186" t="s">
        <v>11883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8" t="s">
        <v>4</v>
      </c>
      <c r="E187" s="8" t="s">
        <v>8</v>
      </c>
      <c r="F187" s="8"/>
      <c r="H187" s="8"/>
      <c r="I187" s="8" t="s">
        <v>6204</v>
      </c>
      <c r="J187" s="8" t="s">
        <v>11698</v>
      </c>
      <c r="K187" t="s">
        <v>11884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8" t="s">
        <v>6436</v>
      </c>
      <c r="E188" s="8" t="s">
        <v>5310</v>
      </c>
      <c r="F188" s="8" t="s">
        <v>4070</v>
      </c>
      <c r="H188" s="8"/>
      <c r="I188" s="8" t="s">
        <v>6365</v>
      </c>
      <c r="J188" s="8" t="s">
        <v>11698</v>
      </c>
      <c r="K188" t="s">
        <v>11885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8" t="s">
        <v>4</v>
      </c>
      <c r="E189" s="8" t="s">
        <v>6439</v>
      </c>
      <c r="F189" s="8"/>
      <c r="H189" s="8"/>
      <c r="I189" s="8" t="s">
        <v>6367</v>
      </c>
      <c r="J189" s="8" t="s">
        <v>11698</v>
      </c>
      <c r="K189" t="s">
        <v>11886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8" t="s">
        <v>4</v>
      </c>
      <c r="E190" s="8" t="s">
        <v>8</v>
      </c>
      <c r="F190" s="8"/>
      <c r="H190" s="8"/>
      <c r="I190" s="8" t="s">
        <v>6369</v>
      </c>
      <c r="J190" s="8" t="s">
        <v>11698</v>
      </c>
      <c r="K190" t="s">
        <v>11887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8" t="s">
        <v>227</v>
      </c>
      <c r="E191" s="8" t="s">
        <v>70</v>
      </c>
      <c r="F191" s="8" t="s">
        <v>58</v>
      </c>
      <c r="H191" s="8" t="s">
        <v>6686</v>
      </c>
      <c r="I191" s="8" t="s">
        <v>6524</v>
      </c>
      <c r="J191" s="8" t="s">
        <v>11698</v>
      </c>
      <c r="K191" t="s">
        <v>11888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8" t="s">
        <v>227</v>
      </c>
      <c r="E192" s="8" t="s">
        <v>70</v>
      </c>
      <c r="F192" s="8" t="s">
        <v>58</v>
      </c>
      <c r="H192" s="8" t="s">
        <v>2352</v>
      </c>
      <c r="I192" s="8" t="s">
        <v>6526</v>
      </c>
      <c r="J192" s="8" t="s">
        <v>11698</v>
      </c>
      <c r="K192" t="s">
        <v>11889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8" t="s">
        <v>227</v>
      </c>
      <c r="E193" s="8" t="s">
        <v>70</v>
      </c>
      <c r="F193" s="8" t="s">
        <v>58</v>
      </c>
      <c r="H193" s="8" t="s">
        <v>2352</v>
      </c>
      <c r="I193" s="8" t="s">
        <v>6528</v>
      </c>
      <c r="J193" s="8" t="s">
        <v>11698</v>
      </c>
      <c r="K193" t="s">
        <v>11890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8" t="s">
        <v>227</v>
      </c>
      <c r="E194" s="8" t="s">
        <v>70</v>
      </c>
      <c r="F194" s="8" t="s">
        <v>58</v>
      </c>
      <c r="H194" s="8" t="s">
        <v>2352</v>
      </c>
      <c r="I194" s="8" t="s">
        <v>6530</v>
      </c>
      <c r="J194" s="8" t="s">
        <v>11698</v>
      </c>
      <c r="K194" t="s">
        <v>11891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8" t="s">
        <v>227</v>
      </c>
      <c r="E195" s="8" t="s">
        <v>70</v>
      </c>
      <c r="F195" s="8" t="s">
        <v>58</v>
      </c>
      <c r="H195" s="8" t="s">
        <v>2352</v>
      </c>
      <c r="I195" s="8" t="s">
        <v>6532</v>
      </c>
      <c r="J195" s="8" t="s">
        <v>11698</v>
      </c>
      <c r="K195" t="s">
        <v>11892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8" t="s">
        <v>227</v>
      </c>
      <c r="E196" s="8" t="s">
        <v>70</v>
      </c>
      <c r="F196" s="8" t="s">
        <v>58</v>
      </c>
      <c r="H196" s="8" t="s">
        <v>2352</v>
      </c>
      <c r="I196" s="8" t="s">
        <v>6534</v>
      </c>
      <c r="J196" s="8" t="s">
        <v>11698</v>
      </c>
      <c r="K196" t="s">
        <v>11893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8" t="s">
        <v>587</v>
      </c>
      <c r="E197" s="8" t="s">
        <v>70</v>
      </c>
      <c r="F197" s="8" t="s">
        <v>51</v>
      </c>
      <c r="H197" s="8"/>
      <c r="I197" s="8" t="s">
        <v>6536</v>
      </c>
      <c r="J197" s="8" t="s">
        <v>11698</v>
      </c>
      <c r="K197" t="s">
        <v>11894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8" t="s">
        <v>587</v>
      </c>
      <c r="E198" s="8" t="s">
        <v>6687</v>
      </c>
      <c r="F198" s="8" t="s">
        <v>1288</v>
      </c>
      <c r="H198" s="8"/>
      <c r="I198" s="8" t="s">
        <v>6538</v>
      </c>
      <c r="J198" s="8" t="s">
        <v>11698</v>
      </c>
      <c r="K198" t="s">
        <v>11895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8" t="s">
        <v>4</v>
      </c>
      <c r="E199" s="8" t="s">
        <v>6439</v>
      </c>
      <c r="F199" s="8"/>
      <c r="H199" s="8"/>
      <c r="I199" s="8" t="s">
        <v>6540</v>
      </c>
      <c r="J199" s="8" t="s">
        <v>11698</v>
      </c>
      <c r="K199" t="s">
        <v>11896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8" t="s">
        <v>4</v>
      </c>
      <c r="E200" s="8" t="s">
        <v>6439</v>
      </c>
      <c r="F200" s="8"/>
      <c r="H200" s="8"/>
      <c r="I200" s="8" t="s">
        <v>6542</v>
      </c>
      <c r="J200" s="8" t="s">
        <v>11698</v>
      </c>
      <c r="K200" t="s">
        <v>11897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8" t="s">
        <v>1607</v>
      </c>
      <c r="E201" s="8" t="s">
        <v>8</v>
      </c>
      <c r="F201" s="8"/>
      <c r="H201" s="8"/>
      <c r="I201" s="8" t="s">
        <v>6544</v>
      </c>
      <c r="J201" s="8" t="s">
        <v>11698</v>
      </c>
      <c r="K201" t="s">
        <v>11898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8" t="s">
        <v>4</v>
      </c>
      <c r="E202" s="8" t="s">
        <v>6439</v>
      </c>
      <c r="F202" s="8"/>
      <c r="H202" s="8"/>
      <c r="I202" s="8" t="s">
        <v>6546</v>
      </c>
      <c r="J202" s="8" t="s">
        <v>11698</v>
      </c>
      <c r="K202" t="s">
        <v>11899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8" t="s">
        <v>4</v>
      </c>
      <c r="E203" s="8" t="s">
        <v>6439</v>
      </c>
      <c r="F203" s="8"/>
      <c r="H203" s="8"/>
      <c r="I203" s="8" t="s">
        <v>6548</v>
      </c>
      <c r="J203" s="8" t="s">
        <v>11698</v>
      </c>
      <c r="K203" t="s">
        <v>11900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8" t="s">
        <v>1607</v>
      </c>
      <c r="E204" s="8" t="s">
        <v>8</v>
      </c>
      <c r="F204" s="8"/>
      <c r="H204" s="8"/>
      <c r="I204" s="8" t="s">
        <v>6755</v>
      </c>
      <c r="J204" s="8" t="s">
        <v>11698</v>
      </c>
      <c r="K204" t="s">
        <v>11901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8" t="s">
        <v>1607</v>
      </c>
      <c r="E205" s="8" t="s">
        <v>8</v>
      </c>
      <c r="F205" s="8"/>
      <c r="H205" s="8"/>
      <c r="I205" s="8" t="s">
        <v>6757</v>
      </c>
      <c r="J205" s="8" t="s">
        <v>11698</v>
      </c>
      <c r="K205" t="s">
        <v>11902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8" t="s">
        <v>1607</v>
      </c>
      <c r="E206" s="8" t="s">
        <v>8</v>
      </c>
      <c r="F206" s="8"/>
      <c r="H206" s="8"/>
      <c r="I206" s="8" t="s">
        <v>6759</v>
      </c>
      <c r="J206" s="8" t="s">
        <v>11698</v>
      </c>
      <c r="K206" t="s">
        <v>11903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8" t="s">
        <v>4</v>
      </c>
      <c r="E207" s="8" t="s">
        <v>6439</v>
      </c>
      <c r="F207" s="8"/>
      <c r="H207" s="8"/>
      <c r="I207" s="8" t="s">
        <v>6977</v>
      </c>
      <c r="J207" s="8" t="s">
        <v>11698</v>
      </c>
      <c r="K207" t="s">
        <v>11904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8" t="s">
        <v>4</v>
      </c>
      <c r="E208" s="8" t="s">
        <v>6439</v>
      </c>
      <c r="F208" s="8"/>
      <c r="H208" s="8"/>
      <c r="I208" s="8" t="s">
        <v>6979</v>
      </c>
      <c r="J208" s="8" t="s">
        <v>11698</v>
      </c>
      <c r="K208" t="s">
        <v>11905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8" t="s">
        <v>4</v>
      </c>
      <c r="E209" s="8" t="s">
        <v>6439</v>
      </c>
      <c r="F209" s="8"/>
      <c r="H209" s="8"/>
      <c r="I209" s="8" t="s">
        <v>6981</v>
      </c>
      <c r="J209" s="8" t="s">
        <v>11698</v>
      </c>
      <c r="K209" t="s">
        <v>11906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8" t="s">
        <v>4</v>
      </c>
      <c r="E210" s="8" t="s">
        <v>6439</v>
      </c>
      <c r="F210" s="8"/>
      <c r="H210" s="8"/>
      <c r="I210" s="8" t="s">
        <v>6983</v>
      </c>
      <c r="J210" s="8" t="s">
        <v>11698</v>
      </c>
      <c r="K210" t="s">
        <v>11907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8" t="s">
        <v>4</v>
      </c>
      <c r="E211" s="8" t="s">
        <v>6439</v>
      </c>
      <c r="F211" s="8"/>
      <c r="H211" s="8"/>
      <c r="I211" s="8" t="s">
        <v>6985</v>
      </c>
      <c r="J211" s="8" t="s">
        <v>11698</v>
      </c>
      <c r="K211" t="s">
        <v>11908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8" t="s">
        <v>4</v>
      </c>
      <c r="E212" s="8" t="s">
        <v>6439</v>
      </c>
      <c r="F212" s="8"/>
      <c r="H212" s="8"/>
      <c r="I212" s="8" t="s">
        <v>6987</v>
      </c>
      <c r="J212" s="8" t="s">
        <v>11698</v>
      </c>
      <c r="K212" t="s">
        <v>11909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8" t="s">
        <v>4</v>
      </c>
      <c r="E213" s="8" t="s">
        <v>6439</v>
      </c>
      <c r="F213" s="8"/>
      <c r="H213" s="8"/>
      <c r="I213" s="8" t="s">
        <v>6989</v>
      </c>
      <c r="J213" s="8" t="s">
        <v>11698</v>
      </c>
      <c r="K213" t="s">
        <v>11910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8" t="s">
        <v>1607</v>
      </c>
      <c r="E214" s="8" t="s">
        <v>8</v>
      </c>
      <c r="F214" s="8"/>
      <c r="H214" s="8"/>
      <c r="I214" s="8" t="s">
        <v>6991</v>
      </c>
      <c r="J214" s="8" t="s">
        <v>11698</v>
      </c>
      <c r="K214" t="s">
        <v>11911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8" t="s">
        <v>4</v>
      </c>
      <c r="E215" s="8" t="s">
        <v>6439</v>
      </c>
      <c r="F215" s="8"/>
      <c r="H215" s="8"/>
      <c r="I215" s="8" t="s">
        <v>6993</v>
      </c>
      <c r="J215" s="8" t="s">
        <v>11698</v>
      </c>
      <c r="K215" t="s">
        <v>11912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8" t="s">
        <v>4</v>
      </c>
      <c r="E216" s="8" t="s">
        <v>7069</v>
      </c>
      <c r="F216" s="8"/>
      <c r="H216" s="8"/>
      <c r="I216" s="8" t="s">
        <v>6995</v>
      </c>
      <c r="J216" s="8" t="s">
        <v>11698</v>
      </c>
      <c r="K216" t="s">
        <v>11913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8" t="s">
        <v>1607</v>
      </c>
      <c r="E217" s="8" t="s">
        <v>8</v>
      </c>
      <c r="F217" s="8"/>
      <c r="H217" s="8"/>
      <c r="I217" s="8" t="s">
        <v>6997</v>
      </c>
      <c r="J217" s="8" t="s">
        <v>11698</v>
      </c>
      <c r="K217" t="s">
        <v>11914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8" t="s">
        <v>5699</v>
      </c>
      <c r="E218" s="8" t="s">
        <v>4396</v>
      </c>
      <c r="F218" s="8" t="s">
        <v>7344</v>
      </c>
      <c r="H218" s="8"/>
      <c r="I218" s="8" t="s">
        <v>7279</v>
      </c>
      <c r="J218" s="8" t="s">
        <v>11698</v>
      </c>
      <c r="K218" t="s">
        <v>11915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8" t="s">
        <v>588</v>
      </c>
      <c r="E219" s="8" t="s">
        <v>4396</v>
      </c>
      <c r="F219" s="8"/>
      <c r="H219" s="8"/>
      <c r="I219" s="8" t="s">
        <v>7281</v>
      </c>
      <c r="J219" s="8" t="s">
        <v>11698</v>
      </c>
      <c r="K219" t="s">
        <v>11916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8" t="s">
        <v>588</v>
      </c>
      <c r="E220" s="8" t="s">
        <v>4396</v>
      </c>
      <c r="F220" s="8"/>
      <c r="H220" s="8"/>
      <c r="I220" s="8" t="s">
        <v>7283</v>
      </c>
      <c r="J220" s="8" t="s">
        <v>11698</v>
      </c>
      <c r="K220" t="s">
        <v>11917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8" t="s">
        <v>588</v>
      </c>
      <c r="E221" s="8" t="s">
        <v>4396</v>
      </c>
      <c r="F221" s="8"/>
      <c r="H221" s="8"/>
      <c r="I221" s="8" t="s">
        <v>7285</v>
      </c>
      <c r="J221" s="8" t="s">
        <v>11698</v>
      </c>
      <c r="K221" t="s">
        <v>11918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8" t="s">
        <v>5699</v>
      </c>
      <c r="E222" s="8" t="s">
        <v>4396</v>
      </c>
      <c r="F222" s="8" t="s">
        <v>7356</v>
      </c>
      <c r="H222" s="8"/>
      <c r="I222" s="8" t="s">
        <v>7287</v>
      </c>
      <c r="J222" s="8" t="s">
        <v>11698</v>
      </c>
      <c r="K222" t="s">
        <v>11919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8" t="s">
        <v>4</v>
      </c>
      <c r="E223" s="8" t="s">
        <v>8</v>
      </c>
      <c r="F223" s="8"/>
      <c r="H223" s="8"/>
      <c r="I223" s="8" t="s">
        <v>7289</v>
      </c>
      <c r="J223" s="8" t="s">
        <v>11698</v>
      </c>
      <c r="K223" t="s">
        <v>11920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8" t="s">
        <v>588</v>
      </c>
      <c r="E224" s="8" t="s">
        <v>4396</v>
      </c>
      <c r="F224" s="8"/>
      <c r="H224" s="8"/>
      <c r="I224" s="8" t="s">
        <v>7291</v>
      </c>
      <c r="J224" s="8" t="s">
        <v>11698</v>
      </c>
      <c r="K224" t="s">
        <v>11921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8" t="s">
        <v>588</v>
      </c>
      <c r="E225" s="8" t="s">
        <v>4396</v>
      </c>
      <c r="F225" s="8"/>
      <c r="H225" s="8"/>
      <c r="I225" s="8" t="s">
        <v>7293</v>
      </c>
      <c r="J225" s="8" t="s">
        <v>11698</v>
      </c>
      <c r="K225" t="s">
        <v>11922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8" t="s">
        <v>588</v>
      </c>
      <c r="E226" s="8" t="s">
        <v>4396</v>
      </c>
      <c r="F226" s="8"/>
      <c r="H226" s="8"/>
      <c r="I226" s="8" t="s">
        <v>7295</v>
      </c>
      <c r="J226" s="8" t="s">
        <v>11698</v>
      </c>
      <c r="K226" t="s">
        <v>11923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8" t="s">
        <v>588</v>
      </c>
      <c r="E227" s="8" t="s">
        <v>4396</v>
      </c>
      <c r="F227" s="8"/>
      <c r="H227" s="8"/>
      <c r="I227" s="8" t="s">
        <v>7297</v>
      </c>
      <c r="J227" s="8" t="s">
        <v>11698</v>
      </c>
      <c r="K227" t="s">
        <v>11924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8" t="s">
        <v>4</v>
      </c>
      <c r="E228" s="8" t="s">
        <v>8</v>
      </c>
      <c r="F228" s="8"/>
      <c r="H228" s="8"/>
      <c r="I228" s="8" t="s">
        <v>7299</v>
      </c>
      <c r="J228" s="8" t="s">
        <v>11698</v>
      </c>
      <c r="K228" t="s">
        <v>11925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8" t="s">
        <v>1607</v>
      </c>
      <c r="E229" s="8" t="s">
        <v>8</v>
      </c>
      <c r="F229" s="8"/>
      <c r="H229" s="8"/>
      <c r="I229" s="8" t="s">
        <v>7438</v>
      </c>
      <c r="J229" s="8" t="s">
        <v>11698</v>
      </c>
      <c r="K229" t="s">
        <v>11926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8" t="s">
        <v>4</v>
      </c>
      <c r="E230" s="8" t="s">
        <v>8</v>
      </c>
      <c r="F230" s="8"/>
      <c r="H230" s="8"/>
      <c r="I230" s="8" t="s">
        <v>7610</v>
      </c>
      <c r="J230" s="8" t="s">
        <v>11698</v>
      </c>
      <c r="K230" t="s">
        <v>11927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8" t="s">
        <v>588</v>
      </c>
      <c r="E231" s="8" t="s">
        <v>4396</v>
      </c>
      <c r="F231" s="8"/>
      <c r="H231" s="8"/>
      <c r="I231" s="8" t="s">
        <v>7612</v>
      </c>
      <c r="J231" s="8" t="s">
        <v>11698</v>
      </c>
      <c r="K231" t="s">
        <v>11928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8" t="s">
        <v>588</v>
      </c>
      <c r="E232" s="8" t="s">
        <v>4396</v>
      </c>
      <c r="F232" s="8"/>
      <c r="H232" s="8"/>
      <c r="I232" s="8" t="s">
        <v>7614</v>
      </c>
      <c r="J232" s="8" t="s">
        <v>11698</v>
      </c>
      <c r="K232" t="s">
        <v>11929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8" t="s">
        <v>588</v>
      </c>
      <c r="E233" s="8" t="s">
        <v>4396</v>
      </c>
      <c r="F233" s="8"/>
      <c r="H233" s="8"/>
      <c r="I233" s="8" t="s">
        <v>7616</v>
      </c>
      <c r="J233" s="8" t="s">
        <v>11698</v>
      </c>
      <c r="K233" t="s">
        <v>11930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8" t="s">
        <v>588</v>
      </c>
      <c r="E234" s="8" t="s">
        <v>4396</v>
      </c>
      <c r="F234" s="8"/>
      <c r="H234" s="8"/>
      <c r="I234" s="8" t="s">
        <v>7618</v>
      </c>
      <c r="J234" s="8" t="s">
        <v>11698</v>
      </c>
      <c r="K234" t="s">
        <v>11931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8" t="s">
        <v>588</v>
      </c>
      <c r="E235" s="8" t="s">
        <v>4396</v>
      </c>
      <c r="F235" s="8"/>
      <c r="H235" s="8"/>
      <c r="I235" s="8" t="s">
        <v>7620</v>
      </c>
      <c r="J235" s="8" t="s">
        <v>11698</v>
      </c>
      <c r="K235" t="s">
        <v>11932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8" t="s">
        <v>4</v>
      </c>
      <c r="E236" s="8" t="s">
        <v>8</v>
      </c>
      <c r="F236" s="8"/>
      <c r="H236" s="8"/>
      <c r="I236" s="8" t="s">
        <v>7622</v>
      </c>
      <c r="J236" s="8" t="s">
        <v>11698</v>
      </c>
      <c r="K236" t="s">
        <v>11933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8" t="s">
        <v>1607</v>
      </c>
      <c r="E237" s="8" t="s">
        <v>8</v>
      </c>
      <c r="F237" s="8"/>
      <c r="H237" s="8"/>
      <c r="I237" s="8" t="s">
        <v>7722</v>
      </c>
      <c r="J237" s="8" t="s">
        <v>11698</v>
      </c>
      <c r="K237" t="s">
        <v>11934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8" t="s">
        <v>1607</v>
      </c>
      <c r="E238" s="8" t="s">
        <v>8</v>
      </c>
      <c r="F238" s="8"/>
      <c r="H238" s="8"/>
      <c r="I238" s="8" t="s">
        <v>7723</v>
      </c>
      <c r="J238" s="8" t="s">
        <v>11698</v>
      </c>
      <c r="K238" t="s">
        <v>11935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8" t="s">
        <v>1607</v>
      </c>
      <c r="E239" s="8" t="s">
        <v>8</v>
      </c>
      <c r="F239" s="8"/>
      <c r="H239" s="8"/>
      <c r="I239" s="8" t="s">
        <v>7855</v>
      </c>
      <c r="J239" s="8" t="s">
        <v>11698</v>
      </c>
      <c r="K239" t="s">
        <v>11936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8" t="s">
        <v>5699</v>
      </c>
      <c r="E240" s="8" t="s">
        <v>4396</v>
      </c>
      <c r="F240" s="8"/>
      <c r="H240" s="8"/>
      <c r="I240" s="8" t="s">
        <v>7857</v>
      </c>
      <c r="J240" s="8" t="s">
        <v>11698</v>
      </c>
      <c r="K240" t="s">
        <v>11937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8" t="s">
        <v>5699</v>
      </c>
      <c r="E241" s="8" t="s">
        <v>4396</v>
      </c>
      <c r="F241" s="8"/>
      <c r="H241" s="8" t="s">
        <v>2352</v>
      </c>
      <c r="I241" s="8" t="s">
        <v>7859</v>
      </c>
      <c r="J241" s="8" t="s">
        <v>11698</v>
      </c>
      <c r="K241" t="s">
        <v>11938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8" t="s">
        <v>5699</v>
      </c>
      <c r="E242" s="8" t="s">
        <v>4396</v>
      </c>
      <c r="F242" s="8" t="s">
        <v>7356</v>
      </c>
      <c r="H242" s="8"/>
      <c r="I242" s="8" t="s">
        <v>7861</v>
      </c>
      <c r="J242" s="8" t="s">
        <v>11698</v>
      </c>
      <c r="K242" t="s">
        <v>11939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8" t="s">
        <v>4</v>
      </c>
      <c r="E243" s="8" t="s">
        <v>8</v>
      </c>
      <c r="F243" s="8"/>
      <c r="H243" s="8"/>
      <c r="I243" s="8" t="s">
        <v>8051</v>
      </c>
      <c r="J243" s="8" t="s">
        <v>11698</v>
      </c>
      <c r="K243" t="s">
        <v>11940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8" t="s">
        <v>5699</v>
      </c>
      <c r="E244" s="8" t="s">
        <v>4396</v>
      </c>
      <c r="F244" s="8" t="s">
        <v>7356</v>
      </c>
      <c r="H244" s="8"/>
      <c r="I244" s="8" t="s">
        <v>8053</v>
      </c>
      <c r="J244" s="8" t="s">
        <v>11698</v>
      </c>
      <c r="K244" t="s">
        <v>11941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8" t="s">
        <v>588</v>
      </c>
      <c r="E245" s="8" t="s">
        <v>4396</v>
      </c>
      <c r="F245" s="8"/>
      <c r="H245" s="8"/>
      <c r="I245" s="8" t="s">
        <v>8055</v>
      </c>
      <c r="J245" s="8" t="s">
        <v>11698</v>
      </c>
      <c r="K245" t="s">
        <v>11942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8" t="s">
        <v>588</v>
      </c>
      <c r="E246" s="8" t="s">
        <v>4396</v>
      </c>
      <c r="F246" s="8"/>
      <c r="H246" s="8"/>
      <c r="I246" s="8" t="s">
        <v>8057</v>
      </c>
      <c r="J246" s="8" t="s">
        <v>11698</v>
      </c>
      <c r="K246" t="s">
        <v>11943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8" t="s">
        <v>588</v>
      </c>
      <c r="E247" s="8" t="s">
        <v>4396</v>
      </c>
      <c r="F247" s="8"/>
      <c r="H247" s="8"/>
      <c r="I247" s="8" t="s">
        <v>8059</v>
      </c>
      <c r="J247" s="8" t="s">
        <v>11698</v>
      </c>
      <c r="K247" t="s">
        <v>11944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8" t="s">
        <v>588</v>
      </c>
      <c r="E248" s="8" t="s">
        <v>4396</v>
      </c>
      <c r="F248" s="8"/>
      <c r="H248" s="8"/>
      <c r="I248" s="8" t="s">
        <v>8061</v>
      </c>
      <c r="J248" s="8" t="s">
        <v>11698</v>
      </c>
      <c r="K248" t="s">
        <v>11945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8" t="s">
        <v>588</v>
      </c>
      <c r="E249" s="8" t="s">
        <v>4396</v>
      </c>
      <c r="F249" s="8"/>
      <c r="H249" s="8"/>
      <c r="I249" s="8" t="s">
        <v>8337</v>
      </c>
      <c r="J249" s="8" t="s">
        <v>11698</v>
      </c>
      <c r="K249" t="s">
        <v>11946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8" t="s">
        <v>588</v>
      </c>
      <c r="E250" s="8" t="s">
        <v>4396</v>
      </c>
      <c r="F250" s="8"/>
      <c r="H250" s="8"/>
      <c r="I250" s="8" t="s">
        <v>8339</v>
      </c>
      <c r="J250" s="8" t="s">
        <v>11698</v>
      </c>
      <c r="K250" t="s">
        <v>11947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8" t="s">
        <v>588</v>
      </c>
      <c r="E251" s="8" t="s">
        <v>4396</v>
      </c>
      <c r="F251" s="8"/>
      <c r="H251" s="8"/>
      <c r="I251" s="8" t="s">
        <v>8341</v>
      </c>
      <c r="J251" s="8" t="s">
        <v>11698</v>
      </c>
      <c r="K251" t="s">
        <v>11948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8" t="s">
        <v>588</v>
      </c>
      <c r="E252" s="8" t="s">
        <v>4396</v>
      </c>
      <c r="F252" s="8"/>
      <c r="H252" s="8"/>
      <c r="I252" s="8" t="s">
        <v>8343</v>
      </c>
      <c r="J252" s="8" t="s">
        <v>11698</v>
      </c>
      <c r="K252" t="s">
        <v>11949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8" t="s">
        <v>588</v>
      </c>
      <c r="E253" s="8" t="s">
        <v>4396</v>
      </c>
      <c r="F253" s="8"/>
      <c r="H253" s="8"/>
      <c r="I253" s="8" t="s">
        <v>8345</v>
      </c>
      <c r="J253" s="8" t="s">
        <v>11698</v>
      </c>
      <c r="K253" t="s">
        <v>11950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8" t="s">
        <v>588</v>
      </c>
      <c r="E254" s="8" t="s">
        <v>4396</v>
      </c>
      <c r="F254" s="8"/>
      <c r="H254" s="8"/>
      <c r="I254" s="8" t="s">
        <v>8347</v>
      </c>
      <c r="J254" s="8" t="s">
        <v>11698</v>
      </c>
      <c r="K254" t="s">
        <v>11951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8" t="s">
        <v>588</v>
      </c>
      <c r="E255" s="8" t="s">
        <v>4396</v>
      </c>
      <c r="F255" s="8"/>
      <c r="H255" s="8"/>
      <c r="I255" s="8" t="s">
        <v>8349</v>
      </c>
      <c r="J255" s="8" t="s">
        <v>11698</v>
      </c>
      <c r="K255" t="s">
        <v>11952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8" t="s">
        <v>588</v>
      </c>
      <c r="E256" s="8" t="s">
        <v>4396</v>
      </c>
      <c r="F256" s="8"/>
      <c r="H256" s="8"/>
      <c r="I256" s="8" t="s">
        <v>8351</v>
      </c>
      <c r="J256" s="8" t="s">
        <v>11698</v>
      </c>
      <c r="K256" t="s">
        <v>11953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8" t="s">
        <v>1607</v>
      </c>
      <c r="E257" s="8" t="s">
        <v>8</v>
      </c>
      <c r="F257" s="8"/>
      <c r="H257" s="8"/>
      <c r="I257" s="8" t="s">
        <v>8393</v>
      </c>
      <c r="J257" s="8" t="s">
        <v>11698</v>
      </c>
      <c r="K257" t="s">
        <v>11954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8" t="s">
        <v>1607</v>
      </c>
      <c r="E258" s="8" t="s">
        <v>8</v>
      </c>
      <c r="F258" s="8"/>
      <c r="H258" s="8"/>
      <c r="I258" s="8" t="s">
        <v>8395</v>
      </c>
      <c r="J258" s="8" t="s">
        <v>11698</v>
      </c>
      <c r="K258" t="s">
        <v>11955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8" t="s">
        <v>8529</v>
      </c>
      <c r="E259" s="8" t="s">
        <v>468</v>
      </c>
      <c r="F259" s="8"/>
      <c r="H259" s="8"/>
      <c r="I259" s="8" t="s">
        <v>8504</v>
      </c>
      <c r="J259" s="8" t="s">
        <v>11698</v>
      </c>
      <c r="K259" t="s">
        <v>11956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8" t="s">
        <v>8530</v>
      </c>
      <c r="E260" s="8" t="s">
        <v>468</v>
      </c>
      <c r="F260" s="8"/>
      <c r="H260" s="8"/>
      <c r="I260" s="8" t="s">
        <v>8506</v>
      </c>
      <c r="J260" s="8" t="s">
        <v>11698</v>
      </c>
      <c r="K260" t="s">
        <v>11957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8" t="s">
        <v>1607</v>
      </c>
      <c r="E261" s="8" t="s">
        <v>8</v>
      </c>
      <c r="F261" s="8"/>
      <c r="H261" s="8"/>
      <c r="I261" s="8" t="s">
        <v>8686</v>
      </c>
      <c r="J261" s="8" t="s">
        <v>11698</v>
      </c>
      <c r="K261" t="s">
        <v>11958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8" t="s">
        <v>1607</v>
      </c>
      <c r="E262" s="8" t="s">
        <v>8</v>
      </c>
      <c r="F262" s="8"/>
      <c r="H262" s="8"/>
      <c r="I262" s="8" t="s">
        <v>8688</v>
      </c>
      <c r="J262" s="8" t="s">
        <v>11698</v>
      </c>
      <c r="K262" t="s">
        <v>11959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8" t="s">
        <v>1607</v>
      </c>
      <c r="E263" s="8" t="s">
        <v>8</v>
      </c>
      <c r="F263" s="8"/>
      <c r="H263" s="8"/>
      <c r="I263" s="8" t="s">
        <v>8795</v>
      </c>
      <c r="J263" s="8" t="s">
        <v>11698</v>
      </c>
      <c r="K263" t="s">
        <v>11960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8" t="s">
        <v>1607</v>
      </c>
      <c r="E264" s="8" t="s">
        <v>8</v>
      </c>
      <c r="F264" s="8"/>
      <c r="H264" s="8"/>
      <c r="I264" s="8" t="s">
        <v>8797</v>
      </c>
      <c r="J264" s="8" t="s">
        <v>11698</v>
      </c>
      <c r="K264" t="s">
        <v>11961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8" t="s">
        <v>1607</v>
      </c>
      <c r="E265" s="8" t="s">
        <v>8</v>
      </c>
      <c r="F265" s="8"/>
      <c r="H265" s="8"/>
      <c r="I265" s="8" t="s">
        <v>8846</v>
      </c>
      <c r="J265" s="8" t="s">
        <v>11698</v>
      </c>
      <c r="K265" t="s">
        <v>11962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8" t="s">
        <v>8925</v>
      </c>
      <c r="E266" s="8"/>
      <c r="F266" s="8"/>
      <c r="H266" s="8"/>
      <c r="I266" s="8" t="s">
        <v>8923</v>
      </c>
      <c r="J266" s="8" t="s">
        <v>11698</v>
      </c>
      <c r="K266" t="s">
        <v>11963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8" t="s">
        <v>1607</v>
      </c>
      <c r="E267" s="8" t="s">
        <v>8</v>
      </c>
      <c r="F267" s="8"/>
      <c r="H267" s="8"/>
      <c r="I267" s="8" t="s">
        <v>9032</v>
      </c>
      <c r="J267" s="8" t="s">
        <v>11698</v>
      </c>
      <c r="K267" t="s">
        <v>11964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8" t="s">
        <v>227</v>
      </c>
      <c r="E268" s="8" t="s">
        <v>9129</v>
      </c>
      <c r="F268" s="8" t="s">
        <v>60</v>
      </c>
      <c r="H268" s="8"/>
      <c r="I268" s="8" t="s">
        <v>9034</v>
      </c>
      <c r="J268" s="8" t="s">
        <v>11698</v>
      </c>
      <c r="K268" t="s">
        <v>11965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8" t="s">
        <v>227</v>
      </c>
      <c r="E269" s="8" t="s">
        <v>9129</v>
      </c>
      <c r="F269" s="8" t="s">
        <v>60</v>
      </c>
      <c r="H269" s="8" t="s">
        <v>2352</v>
      </c>
      <c r="I269" s="8" t="s">
        <v>9036</v>
      </c>
      <c r="J269" s="8" t="s">
        <v>11698</v>
      </c>
      <c r="K269" t="s">
        <v>11966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8" t="s">
        <v>227</v>
      </c>
      <c r="E270" s="8" t="s">
        <v>9129</v>
      </c>
      <c r="F270" s="8" t="s">
        <v>60</v>
      </c>
      <c r="H270" s="8" t="s">
        <v>2352</v>
      </c>
      <c r="I270" s="8" t="s">
        <v>9038</v>
      </c>
      <c r="J270" s="8" t="s">
        <v>11698</v>
      </c>
      <c r="K270" t="s">
        <v>11967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8" t="s">
        <v>227</v>
      </c>
      <c r="E271" s="8" t="s">
        <v>9129</v>
      </c>
      <c r="F271" s="8" t="s">
        <v>60</v>
      </c>
      <c r="H271" s="8" t="s">
        <v>2352</v>
      </c>
      <c r="I271" s="8" t="s">
        <v>9040</v>
      </c>
      <c r="J271" s="8" t="s">
        <v>11698</v>
      </c>
      <c r="K271" t="s">
        <v>11968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8" t="s">
        <v>227</v>
      </c>
      <c r="E272" s="8" t="s">
        <v>9129</v>
      </c>
      <c r="F272" s="8" t="s">
        <v>60</v>
      </c>
      <c r="H272" s="8" t="s">
        <v>2352</v>
      </c>
      <c r="I272" s="8" t="s">
        <v>9042</v>
      </c>
      <c r="J272" s="8" t="s">
        <v>11698</v>
      </c>
      <c r="K272" t="s">
        <v>11969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8" t="s">
        <v>227</v>
      </c>
      <c r="E273" s="8" t="s">
        <v>9129</v>
      </c>
      <c r="F273" s="8" t="s">
        <v>60</v>
      </c>
      <c r="H273" s="8" t="s">
        <v>2352</v>
      </c>
      <c r="I273" s="8" t="s">
        <v>9044</v>
      </c>
      <c r="J273" s="8" t="s">
        <v>11698</v>
      </c>
      <c r="K273" t="s">
        <v>11970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8" t="s">
        <v>227</v>
      </c>
      <c r="E274" s="8" t="s">
        <v>9129</v>
      </c>
      <c r="F274" s="8" t="s">
        <v>60</v>
      </c>
      <c r="H274" s="8" t="s">
        <v>2352</v>
      </c>
      <c r="I274" s="8" t="s">
        <v>9046</v>
      </c>
      <c r="J274" s="8" t="s">
        <v>11698</v>
      </c>
      <c r="K274" t="s">
        <v>11971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8" t="s">
        <v>227</v>
      </c>
      <c r="E275" s="8" t="s">
        <v>9129</v>
      </c>
      <c r="F275" s="8" t="s">
        <v>60</v>
      </c>
      <c r="H275" s="8" t="s">
        <v>2352</v>
      </c>
      <c r="I275" s="8" t="s">
        <v>9048</v>
      </c>
      <c r="J275" s="8" t="s">
        <v>11698</v>
      </c>
      <c r="K275" t="s">
        <v>11972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8" t="s">
        <v>227</v>
      </c>
      <c r="E276" s="8" t="s">
        <v>9129</v>
      </c>
      <c r="F276" s="8" t="s">
        <v>60</v>
      </c>
      <c r="H276" s="8" t="s">
        <v>2352</v>
      </c>
      <c r="I276" s="8" t="s">
        <v>9050</v>
      </c>
      <c r="J276" s="8" t="s">
        <v>11698</v>
      </c>
      <c r="K276" t="s">
        <v>11973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8" t="s">
        <v>227</v>
      </c>
      <c r="E277" s="8" t="s">
        <v>9129</v>
      </c>
      <c r="F277" s="8" t="s">
        <v>60</v>
      </c>
      <c r="H277" s="8" t="s">
        <v>2352</v>
      </c>
      <c r="I277" s="8" t="s">
        <v>9052</v>
      </c>
      <c r="J277" s="8" t="s">
        <v>11698</v>
      </c>
      <c r="K277" t="s">
        <v>11974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8" t="s">
        <v>227</v>
      </c>
      <c r="E278" s="8" t="s">
        <v>9129</v>
      </c>
      <c r="F278" s="8" t="s">
        <v>60</v>
      </c>
      <c r="H278" s="8" t="s">
        <v>2352</v>
      </c>
      <c r="I278" s="8" t="s">
        <v>9054</v>
      </c>
      <c r="J278" s="8" t="s">
        <v>11698</v>
      </c>
      <c r="K278" t="s">
        <v>11975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8" t="s">
        <v>227</v>
      </c>
      <c r="E279" s="8" t="s">
        <v>9129</v>
      </c>
      <c r="F279" s="8" t="s">
        <v>60</v>
      </c>
      <c r="H279" s="8" t="s">
        <v>2352</v>
      </c>
      <c r="I279" s="8" t="s">
        <v>9056</v>
      </c>
      <c r="J279" s="8" t="s">
        <v>11698</v>
      </c>
      <c r="K279" t="s">
        <v>11976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8" t="s">
        <v>9139</v>
      </c>
      <c r="E280" s="8" t="s">
        <v>9129</v>
      </c>
      <c r="F280" s="8"/>
      <c r="H280" s="8"/>
      <c r="I280" s="8" t="s">
        <v>9058</v>
      </c>
      <c r="J280" s="8" t="s">
        <v>11698</v>
      </c>
      <c r="K280" t="s">
        <v>11977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8" t="s">
        <v>227</v>
      </c>
      <c r="E281" s="8" t="s">
        <v>9129</v>
      </c>
      <c r="F281" s="8" t="s">
        <v>60</v>
      </c>
      <c r="H281" s="8"/>
      <c r="I281" s="8" t="s">
        <v>9060</v>
      </c>
      <c r="J281" s="8" t="s">
        <v>11698</v>
      </c>
      <c r="K281" t="s">
        <v>11978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8" t="s">
        <v>227</v>
      </c>
      <c r="E282" s="8" t="s">
        <v>9129</v>
      </c>
      <c r="F282" s="8" t="s">
        <v>60</v>
      </c>
      <c r="H282" s="8" t="s">
        <v>2352</v>
      </c>
      <c r="I282" s="8" t="s">
        <v>9062</v>
      </c>
      <c r="J282" s="8" t="s">
        <v>11698</v>
      </c>
      <c r="K282" t="s">
        <v>11979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8" t="s">
        <v>227</v>
      </c>
      <c r="E283" s="8" t="s">
        <v>9129</v>
      </c>
      <c r="F283" s="8" t="s">
        <v>60</v>
      </c>
      <c r="H283" s="8" t="s">
        <v>2352</v>
      </c>
      <c r="I283" s="8" t="s">
        <v>9064</v>
      </c>
      <c r="J283" s="8" t="s">
        <v>11698</v>
      </c>
      <c r="K283" t="s">
        <v>11980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8" t="s">
        <v>227</v>
      </c>
      <c r="E284" s="8" t="s">
        <v>9129</v>
      </c>
      <c r="F284" s="8" t="s">
        <v>60</v>
      </c>
      <c r="H284" s="8" t="s">
        <v>2352</v>
      </c>
      <c r="I284" s="8" t="s">
        <v>9066</v>
      </c>
      <c r="J284" s="8" t="s">
        <v>11698</v>
      </c>
      <c r="K284" t="s">
        <v>11981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8" t="s">
        <v>227</v>
      </c>
      <c r="E285" s="8" t="s">
        <v>9129</v>
      </c>
      <c r="F285" s="8" t="s">
        <v>60</v>
      </c>
      <c r="H285" s="8" t="s">
        <v>2352</v>
      </c>
      <c r="I285" s="8" t="s">
        <v>9068</v>
      </c>
      <c r="J285" s="8" t="s">
        <v>11698</v>
      </c>
      <c r="K285" t="s">
        <v>11982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8" t="s">
        <v>227</v>
      </c>
      <c r="E286" s="8" t="s">
        <v>9129</v>
      </c>
      <c r="F286" s="8" t="s">
        <v>60</v>
      </c>
      <c r="H286" s="8" t="s">
        <v>2352</v>
      </c>
      <c r="I286" s="8" t="s">
        <v>9070</v>
      </c>
      <c r="J286" s="8" t="s">
        <v>11698</v>
      </c>
      <c r="K286" t="s">
        <v>11983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8" t="s">
        <v>227</v>
      </c>
      <c r="E287" s="8" t="s">
        <v>9129</v>
      </c>
      <c r="F287" s="8" t="s">
        <v>60</v>
      </c>
      <c r="H287" s="8" t="s">
        <v>2352</v>
      </c>
      <c r="I287" s="8" t="s">
        <v>9072</v>
      </c>
      <c r="J287" s="8" t="s">
        <v>11698</v>
      </c>
      <c r="K287" t="s">
        <v>11984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8" t="s">
        <v>227</v>
      </c>
      <c r="E288" s="8" t="s">
        <v>9129</v>
      </c>
      <c r="F288" s="8" t="s">
        <v>60</v>
      </c>
      <c r="H288" s="8" t="s">
        <v>2352</v>
      </c>
      <c r="I288" s="8" t="s">
        <v>9074</v>
      </c>
      <c r="J288" s="8" t="s">
        <v>11698</v>
      </c>
      <c r="K288" t="s">
        <v>11985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8" t="s">
        <v>227</v>
      </c>
      <c r="E289" s="8" t="s">
        <v>9129</v>
      </c>
      <c r="F289" s="8" t="s">
        <v>60</v>
      </c>
      <c r="H289" s="8" t="s">
        <v>2352</v>
      </c>
      <c r="I289" s="8" t="s">
        <v>9076</v>
      </c>
      <c r="J289" s="8" t="s">
        <v>11698</v>
      </c>
      <c r="K289" t="s">
        <v>11986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8" t="s">
        <v>227</v>
      </c>
      <c r="E290" s="8" t="s">
        <v>9129</v>
      </c>
      <c r="F290" s="8" t="s">
        <v>60</v>
      </c>
      <c r="H290" s="8" t="s">
        <v>2352</v>
      </c>
      <c r="I290" s="8" t="s">
        <v>9078</v>
      </c>
      <c r="J290" s="8" t="s">
        <v>11698</v>
      </c>
      <c r="K290" t="s">
        <v>11987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8" t="s">
        <v>227</v>
      </c>
      <c r="E291" s="8" t="s">
        <v>9129</v>
      </c>
      <c r="F291" s="8" t="s">
        <v>60</v>
      </c>
      <c r="H291" s="8" t="s">
        <v>2352</v>
      </c>
      <c r="I291" s="8" t="s">
        <v>9080</v>
      </c>
      <c r="J291" s="8" t="s">
        <v>11698</v>
      </c>
      <c r="K291" t="s">
        <v>11988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8" t="s">
        <v>4099</v>
      </c>
      <c r="E292" s="8" t="s">
        <v>9129</v>
      </c>
      <c r="F292" s="8"/>
      <c r="H292" s="8"/>
      <c r="I292" s="8" t="s">
        <v>9082</v>
      </c>
      <c r="J292" s="8" t="s">
        <v>11698</v>
      </c>
      <c r="K292" t="s">
        <v>11989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8" t="s">
        <v>588</v>
      </c>
      <c r="E293" s="8" t="s">
        <v>4396</v>
      </c>
      <c r="F293" s="8"/>
      <c r="H293" s="8"/>
      <c r="I293" s="8" t="s">
        <v>9084</v>
      </c>
      <c r="J293" s="8" t="s">
        <v>11698</v>
      </c>
      <c r="K293" t="s">
        <v>11990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8" t="s">
        <v>588</v>
      </c>
      <c r="E294" s="8" t="s">
        <v>4396</v>
      </c>
      <c r="F294" s="8"/>
      <c r="H294" s="8"/>
      <c r="I294" s="8" t="s">
        <v>9086</v>
      </c>
      <c r="J294" s="8" t="s">
        <v>11698</v>
      </c>
      <c r="K294" t="s">
        <v>11991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8" t="s">
        <v>588</v>
      </c>
      <c r="E295" s="8" t="s">
        <v>4396</v>
      </c>
      <c r="F295" s="8"/>
      <c r="H295" s="8"/>
      <c r="I295" s="8" t="s">
        <v>9088</v>
      </c>
      <c r="J295" s="8" t="s">
        <v>11698</v>
      </c>
      <c r="K295" t="s">
        <v>11992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8" t="s">
        <v>588</v>
      </c>
      <c r="E296" s="8" t="s">
        <v>4396</v>
      </c>
      <c r="F296" s="8"/>
      <c r="H296" s="8"/>
      <c r="I296" s="8" t="s">
        <v>9090</v>
      </c>
      <c r="J296" s="8" t="s">
        <v>11698</v>
      </c>
      <c r="K296" t="s">
        <v>11993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8" t="s">
        <v>588</v>
      </c>
      <c r="E297" s="8" t="s">
        <v>4396</v>
      </c>
      <c r="F297" s="8"/>
      <c r="H297" s="8"/>
      <c r="I297" s="8" t="s">
        <v>9092</v>
      </c>
      <c r="J297" s="8" t="s">
        <v>11698</v>
      </c>
      <c r="K297" t="s">
        <v>11994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8" t="s">
        <v>4</v>
      </c>
      <c r="E298" s="8" t="s">
        <v>8</v>
      </c>
      <c r="F298" s="8"/>
      <c r="H298" s="8"/>
      <c r="I298" s="8" t="s">
        <v>9094</v>
      </c>
      <c r="J298" s="8" t="s">
        <v>11698</v>
      </c>
      <c r="K298" t="s">
        <v>11995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8" t="s">
        <v>4</v>
      </c>
      <c r="E299" s="8" t="s">
        <v>6439</v>
      </c>
      <c r="F299" s="8"/>
      <c r="H299" s="8"/>
      <c r="I299" s="8" t="s">
        <v>9221</v>
      </c>
      <c r="J299" s="8" t="s">
        <v>11698</v>
      </c>
      <c r="K299" t="s">
        <v>11996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8" t="s">
        <v>1607</v>
      </c>
      <c r="E300" s="8" t="s">
        <v>8</v>
      </c>
      <c r="F300" s="8"/>
      <c r="H300" s="8"/>
      <c r="I300" s="8" t="s">
        <v>9223</v>
      </c>
      <c r="J300" s="8" t="s">
        <v>11698</v>
      </c>
      <c r="K300" t="s">
        <v>11997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8" t="s">
        <v>4</v>
      </c>
      <c r="E301" s="8" t="s">
        <v>6439</v>
      </c>
      <c r="F301" s="8"/>
      <c r="H301" s="8"/>
      <c r="I301" s="8" t="s">
        <v>9225</v>
      </c>
      <c r="J301" s="8" t="s">
        <v>11698</v>
      </c>
      <c r="K301" t="s">
        <v>11998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8" t="s">
        <v>1607</v>
      </c>
      <c r="E302" s="8" t="s">
        <v>8</v>
      </c>
      <c r="F302" s="8"/>
      <c r="H302" s="8"/>
      <c r="I302" s="8" t="s">
        <v>9390</v>
      </c>
      <c r="J302" s="8" t="s">
        <v>11698</v>
      </c>
      <c r="K302" t="s">
        <v>11999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8" t="s">
        <v>1607</v>
      </c>
      <c r="E303" s="8" t="s">
        <v>8</v>
      </c>
      <c r="F303" s="8"/>
      <c r="H303" s="8"/>
      <c r="I303" s="8" t="s">
        <v>9392</v>
      </c>
      <c r="J303" s="8" t="s">
        <v>11698</v>
      </c>
      <c r="K303" t="s">
        <v>12000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8" t="s">
        <v>11077</v>
      </c>
      <c r="E304" s="8" t="s">
        <v>86</v>
      </c>
      <c r="F304" s="8"/>
      <c r="H304" s="8"/>
      <c r="I304" s="8" t="s">
        <v>10783</v>
      </c>
      <c r="J304" s="8" t="s">
        <v>11698</v>
      </c>
      <c r="K304" t="s">
        <v>12001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8" t="s">
        <v>11077</v>
      </c>
      <c r="E305" s="8" t="s">
        <v>86</v>
      </c>
      <c r="F305" s="8"/>
      <c r="H305" s="8"/>
      <c r="I305" s="8" t="s">
        <v>10785</v>
      </c>
      <c r="J305" s="8" t="s">
        <v>11698</v>
      </c>
      <c r="K305" t="s">
        <v>12002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8" t="s">
        <v>4</v>
      </c>
      <c r="E306" s="8" t="s">
        <v>8</v>
      </c>
      <c r="F306" s="8"/>
      <c r="H306" s="8"/>
      <c r="I306" s="8" t="s">
        <v>10787</v>
      </c>
      <c r="J306" s="8" t="s">
        <v>11698</v>
      </c>
      <c r="K306" t="s">
        <v>12003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8" t="s">
        <v>11073</v>
      </c>
      <c r="E307" s="8" t="s">
        <v>86</v>
      </c>
      <c r="F307" s="8"/>
      <c r="H307" s="8"/>
      <c r="I307" s="8" t="s">
        <v>10789</v>
      </c>
      <c r="J307" s="8" t="s">
        <v>11698</v>
      </c>
      <c r="K307" t="s">
        <v>12004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8" t="s">
        <v>11073</v>
      </c>
      <c r="E308" s="8" t="s">
        <v>86</v>
      </c>
      <c r="F308" s="8"/>
      <c r="H308" s="8"/>
      <c r="I308" s="8" t="s">
        <v>10791</v>
      </c>
      <c r="J308" s="8" t="s">
        <v>11698</v>
      </c>
      <c r="K308" t="s">
        <v>12005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8" t="s">
        <v>11073</v>
      </c>
      <c r="E309" s="8" t="s">
        <v>86</v>
      </c>
      <c r="F309" s="8"/>
      <c r="H309" s="8"/>
      <c r="I309" s="8" t="s">
        <v>10793</v>
      </c>
      <c r="J309" s="8" t="s">
        <v>11698</v>
      </c>
      <c r="K309" t="s">
        <v>12006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8" t="s">
        <v>4</v>
      </c>
      <c r="E310" s="8" t="s">
        <v>8</v>
      </c>
      <c r="F310" s="8"/>
      <c r="H310" s="8"/>
      <c r="I310" s="8" t="s">
        <v>10795</v>
      </c>
      <c r="J310" s="8" t="s">
        <v>11698</v>
      </c>
      <c r="K310" t="s">
        <v>12007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8" t="s">
        <v>4</v>
      </c>
      <c r="E311" s="8" t="s">
        <v>8</v>
      </c>
      <c r="F311" s="8"/>
      <c r="H311" s="8"/>
      <c r="I311" s="8" t="s">
        <v>13537</v>
      </c>
      <c r="J311" s="8" t="s">
        <v>11698</v>
      </c>
      <c r="K311" t="s">
        <v>13538</v>
      </c>
      <c r="L311" t="s">
        <v>13539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8" t="s">
        <v>4</v>
      </c>
      <c r="E312" s="8" t="s">
        <v>11066</v>
      </c>
      <c r="F312" s="8"/>
      <c r="H312" s="8"/>
      <c r="I312" s="8" t="s">
        <v>13540</v>
      </c>
      <c r="J312" s="8" t="s">
        <v>11698</v>
      </c>
      <c r="K312" t="s">
        <v>13541</v>
      </c>
      <c r="L312" t="s">
        <v>13542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8" t="s">
        <v>4</v>
      </c>
      <c r="E313" s="8" t="s">
        <v>8</v>
      </c>
      <c r="F313" s="8"/>
      <c r="H313" s="8"/>
      <c r="I313" s="8" t="s">
        <v>13543</v>
      </c>
      <c r="J313" s="8" t="s">
        <v>11698</v>
      </c>
      <c r="K313" t="s">
        <v>13544</v>
      </c>
      <c r="L313" t="s">
        <v>13545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8" t="s">
        <v>4</v>
      </c>
      <c r="E314" s="8" t="s">
        <v>8</v>
      </c>
      <c r="F314" s="8"/>
      <c r="H314" s="8"/>
      <c r="I314" s="8" t="s">
        <v>13546</v>
      </c>
      <c r="J314" s="8" t="s">
        <v>11698</v>
      </c>
      <c r="K314" t="s">
        <v>13547</v>
      </c>
      <c r="L314" t="s">
        <v>13548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8" t="s">
        <v>1607</v>
      </c>
      <c r="E315" s="8" t="s">
        <v>8</v>
      </c>
      <c r="F315" s="8"/>
      <c r="H315" s="8"/>
      <c r="I315" s="8" t="s">
        <v>13549</v>
      </c>
      <c r="J315" s="8" t="s">
        <v>11698</v>
      </c>
      <c r="K315" t="s">
        <v>13550</v>
      </c>
      <c r="L315" t="s">
        <v>13551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8" t="s">
        <v>1607</v>
      </c>
      <c r="E316" s="8" t="s">
        <v>8</v>
      </c>
      <c r="F316" s="8"/>
      <c r="H316" s="8"/>
      <c r="I316" s="8" t="s">
        <v>13961</v>
      </c>
      <c r="J316" s="8" t="s">
        <v>11698</v>
      </c>
      <c r="K316" t="s">
        <v>13962</v>
      </c>
      <c r="L316" t="s">
        <v>13963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8" t="s">
        <v>1607</v>
      </c>
      <c r="E317" s="8" t="s">
        <v>8</v>
      </c>
      <c r="F317" s="8"/>
      <c r="H317" s="8"/>
      <c r="I317" s="8" t="s">
        <v>13964</v>
      </c>
      <c r="J317" s="8" t="s">
        <v>11698</v>
      </c>
      <c r="K317" t="s">
        <v>13965</v>
      </c>
      <c r="L317" t="s">
        <v>13966</v>
      </c>
      <c r="M317" s="2" t="str">
        <f>HYPERLINK(склад2въезд1319202122237[[#This Row],[RelativePath]])</f>
        <v>11 Навес пилмат\GA3948333_5_20260301T165917Z.jpg</v>
      </c>
    </row>
  </sheetData>
  <conditionalFormatting sqref="D318:D328 E318:E331 G2:H317 D2:E317">
    <cfRule type="containsText" dxfId="777" priority="14" operator="containsText" text="Выезд с территории">
      <formula>NOT(ISERROR(SEARCH("Выезд с территории",D2)))</formula>
    </cfRule>
  </conditionalFormatting>
  <conditionalFormatting sqref="F2:F317">
    <cfRule type="notContainsText" dxfId="776" priority="13" operator="notContains" text="порожний">
      <formula>ISERROR(SEARCH("порожний",F2))</formula>
    </cfRule>
  </conditionalFormatting>
  <conditionalFormatting sqref="E2:E331">
    <cfRule type="containsText" dxfId="775" priority="11" operator="containsText" text="Газель базы">
      <formula>NOT(ISERROR(SEARCH("Газель базы",E2)))</formula>
    </cfRule>
    <cfRule type="containsText" dxfId="774" priority="12" operator="containsText" text="Погрузчик базы">
      <formula>NOT(ISERROR(SEARCH("Погрузчик базы",E2)))</formula>
    </cfRule>
  </conditionalFormatting>
  <conditionalFormatting sqref="E2:E331">
    <cfRule type="containsText" dxfId="773" priority="10" operator="containsText" text="Трактор базы">
      <formula>NOT(ISERROR(SEARCH("Трактор базы",E2)))</formula>
    </cfRule>
  </conditionalFormatting>
  <conditionalFormatting sqref="A2:C317">
    <cfRule type="expression" dxfId="772" priority="9">
      <formula>$A2="пн"</formula>
    </cfRule>
  </conditionalFormatting>
  <conditionalFormatting sqref="A2:C319">
    <cfRule type="expression" dxfId="771" priority="3">
      <formula>$A2="вс"</formula>
    </cfRule>
    <cfRule type="expression" dxfId="770" priority="4">
      <formula>$A2="сб"</formula>
    </cfRule>
    <cfRule type="expression" dxfId="769" priority="5">
      <formula>$A2="пт"</formula>
    </cfRule>
    <cfRule type="expression" dxfId="768" priority="6">
      <formula>$A2="чт"</formula>
    </cfRule>
    <cfRule type="expression" dxfId="767" priority="7">
      <formula>$A2="ср"</formula>
    </cfRule>
    <cfRule type="expression" dxfId="766" priority="8">
      <formula>$A2="вт"</formula>
    </cfRule>
  </conditionalFormatting>
  <conditionalFormatting sqref="D2:D328">
    <cfRule type="containsText" dxfId="76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8">
    <cfRule type="containsText" dxfId="76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260"/>
  <sheetViews>
    <sheetView zoomScale="90" zoomScaleNormal="90" workbookViewId="0">
      <pane ySplit="1" topLeftCell="A242" activePane="bottomLeft" state="frozen"/>
      <selection pane="bottomLeft" activeCell="I253" sqref="I253:I26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1429</v>
      </c>
      <c r="J2" s="8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8" t="s">
        <v>4</v>
      </c>
      <c r="E3" s="8" t="s">
        <v>8</v>
      </c>
      <c r="F3" s="8"/>
      <c r="H3" s="8"/>
      <c r="I3" s="8" t="s">
        <v>1432</v>
      </c>
      <c r="J3" s="8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8" t="s">
        <v>4</v>
      </c>
      <c r="E4" s="8" t="s">
        <v>8</v>
      </c>
      <c r="F4" s="8"/>
      <c r="H4" s="8"/>
      <c r="I4" s="8" t="s">
        <v>1435</v>
      </c>
      <c r="J4" s="8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8" t="s">
        <v>4</v>
      </c>
      <c r="E5" s="8" t="s">
        <v>1538</v>
      </c>
      <c r="F5" s="8"/>
      <c r="H5" s="8"/>
      <c r="I5" s="8" t="s">
        <v>1438</v>
      </c>
      <c r="J5" s="8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8" t="s">
        <v>4</v>
      </c>
      <c r="E6" s="8" t="s">
        <v>8</v>
      </c>
      <c r="F6" s="8"/>
      <c r="H6" s="8"/>
      <c r="I6" s="8" t="s">
        <v>1441</v>
      </c>
      <c r="J6" s="8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8" t="s">
        <v>4</v>
      </c>
      <c r="E7" s="8" t="s">
        <v>8</v>
      </c>
      <c r="F7" s="8"/>
      <c r="H7" s="8"/>
      <c r="I7" s="8" t="s">
        <v>1444</v>
      </c>
      <c r="J7" s="8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8" t="s">
        <v>4</v>
      </c>
      <c r="E8" s="8" t="s">
        <v>21</v>
      </c>
      <c r="F8" s="8"/>
      <c r="H8" s="8"/>
      <c r="I8" s="8" t="s">
        <v>1447</v>
      </c>
      <c r="J8" s="8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8" t="s">
        <v>4</v>
      </c>
      <c r="E9" s="8" t="s">
        <v>8</v>
      </c>
      <c r="F9" s="8"/>
      <c r="H9" s="8"/>
      <c r="I9" s="8" t="s">
        <v>1450</v>
      </c>
      <c r="J9" s="8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8" t="s">
        <v>4</v>
      </c>
      <c r="E10" s="8" t="s">
        <v>8</v>
      </c>
      <c r="F10" s="8"/>
      <c r="H10" s="8"/>
      <c r="I10" s="8" t="s">
        <v>1453</v>
      </c>
      <c r="J10" s="8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8" t="s">
        <v>4</v>
      </c>
      <c r="E11" s="8" t="s">
        <v>8</v>
      </c>
      <c r="F11" s="8"/>
      <c r="H11" s="8" t="s">
        <v>1292</v>
      </c>
      <c r="I11" s="8" t="s">
        <v>1456</v>
      </c>
      <c r="J11" s="8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8" t="s">
        <v>4</v>
      </c>
      <c r="E12" s="8" t="s">
        <v>1539</v>
      </c>
      <c r="F12" s="8"/>
      <c r="H12" s="8"/>
      <c r="I12" s="8" t="s">
        <v>1459</v>
      </c>
      <c r="J12" s="8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8" t="s">
        <v>4</v>
      </c>
      <c r="E13" s="8" t="s">
        <v>1539</v>
      </c>
      <c r="F13" s="8"/>
      <c r="H13" s="8"/>
      <c r="I13" s="8" t="s">
        <v>1462</v>
      </c>
      <c r="J13" s="8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1465</v>
      </c>
      <c r="J14" s="8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8" t="s">
        <v>4</v>
      </c>
      <c r="E15" s="8" t="s">
        <v>8</v>
      </c>
      <c r="F15" s="8"/>
      <c r="H15" s="8"/>
      <c r="I15" s="8" t="s">
        <v>1468</v>
      </c>
      <c r="J15" s="8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8" t="s">
        <v>4</v>
      </c>
      <c r="E16" s="8" t="s">
        <v>8</v>
      </c>
      <c r="F16" s="8"/>
      <c r="H16" s="8"/>
      <c r="I16" s="8" t="s">
        <v>1471</v>
      </c>
      <c r="J16" s="8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8" t="s">
        <v>4</v>
      </c>
      <c r="E17" s="8" t="s">
        <v>8</v>
      </c>
      <c r="F17" s="8"/>
      <c r="H17" s="8"/>
      <c r="I17" s="8" t="s">
        <v>1474</v>
      </c>
      <c r="J17" s="8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8" t="s">
        <v>4</v>
      </c>
      <c r="E18" s="8" t="s">
        <v>8</v>
      </c>
      <c r="F18" s="8"/>
      <c r="H18" s="8" t="s">
        <v>1292</v>
      </c>
      <c r="I18" s="8" t="s">
        <v>1477</v>
      </c>
      <c r="J18" s="8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8" t="s">
        <v>4</v>
      </c>
      <c r="E19" s="8" t="s">
        <v>8</v>
      </c>
      <c r="F19" s="8"/>
      <c r="H19" s="8"/>
      <c r="I19" s="8" t="s">
        <v>1480</v>
      </c>
      <c r="J19" s="8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8" t="s">
        <v>4</v>
      </c>
      <c r="E20" s="8" t="s">
        <v>8</v>
      </c>
      <c r="F20" s="8"/>
      <c r="H20" s="8"/>
      <c r="I20" s="8" t="s">
        <v>1483</v>
      </c>
      <c r="J20" s="8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8" t="s">
        <v>4</v>
      </c>
      <c r="E21" s="8" t="s">
        <v>21</v>
      </c>
      <c r="F21" s="8"/>
      <c r="H21" s="8"/>
      <c r="I21" s="8" t="s">
        <v>1486</v>
      </c>
      <c r="J21" s="8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8" t="s">
        <v>4</v>
      </c>
      <c r="E22" s="8" t="s">
        <v>8</v>
      </c>
      <c r="F22" s="8"/>
      <c r="H22" s="8"/>
      <c r="I22" s="8" t="s">
        <v>1489</v>
      </c>
      <c r="J22" s="8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8" t="s">
        <v>4</v>
      </c>
      <c r="E23" s="8" t="s">
        <v>21</v>
      </c>
      <c r="F23" s="8"/>
      <c r="H23" s="8"/>
      <c r="I23" s="8" t="s">
        <v>1492</v>
      </c>
      <c r="J23" s="8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8" t="s">
        <v>4</v>
      </c>
      <c r="E24" s="8" t="s">
        <v>8</v>
      </c>
      <c r="F24" s="8"/>
      <c r="H24" s="8"/>
      <c r="I24" s="8" t="s">
        <v>1495</v>
      </c>
      <c r="J24" s="8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8" t="s">
        <v>4</v>
      </c>
      <c r="E25" s="8" t="s">
        <v>21</v>
      </c>
      <c r="F25" s="8"/>
      <c r="H25" s="8"/>
      <c r="I25" s="8" t="s">
        <v>1498</v>
      </c>
      <c r="J25" s="8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8" t="s">
        <v>4</v>
      </c>
      <c r="E26" s="8" t="s">
        <v>8</v>
      </c>
      <c r="F26" s="8"/>
      <c r="H26" s="8" t="s">
        <v>1292</v>
      </c>
      <c r="I26" s="8" t="s">
        <v>1501</v>
      </c>
      <c r="J26" s="8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8" t="s">
        <v>4</v>
      </c>
      <c r="E27" s="8" t="s">
        <v>8</v>
      </c>
      <c r="F27" s="8"/>
      <c r="H27" s="8"/>
      <c r="I27" s="8" t="s">
        <v>1504</v>
      </c>
      <c r="J27" s="8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8" t="s">
        <v>226</v>
      </c>
      <c r="E28" s="8" t="s">
        <v>86</v>
      </c>
      <c r="F28" s="8" t="s">
        <v>165</v>
      </c>
      <c r="H28" s="8"/>
      <c r="I28" s="8" t="s">
        <v>1507</v>
      </c>
      <c r="J28" s="8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8" t="s">
        <v>226</v>
      </c>
      <c r="E29" s="8" t="s">
        <v>86</v>
      </c>
      <c r="F29" s="8" t="s">
        <v>165</v>
      </c>
      <c r="H29" s="8"/>
      <c r="I29" s="8" t="s">
        <v>1510</v>
      </c>
      <c r="J29" s="8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8" t="s">
        <v>226</v>
      </c>
      <c r="E30" s="8" t="s">
        <v>86</v>
      </c>
      <c r="F30" s="8" t="s">
        <v>165</v>
      </c>
      <c r="H30" s="8"/>
      <c r="I30" s="8" t="s">
        <v>1513</v>
      </c>
      <c r="J30" s="8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8" t="s">
        <v>226</v>
      </c>
      <c r="E31" s="8" t="s">
        <v>86</v>
      </c>
      <c r="F31" s="8" t="s">
        <v>165</v>
      </c>
      <c r="H31" s="8"/>
      <c r="I31" s="8" t="s">
        <v>1516</v>
      </c>
      <c r="J31" s="8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8" t="s">
        <v>4</v>
      </c>
      <c r="E32" s="8" t="s">
        <v>8</v>
      </c>
      <c r="F32" s="8"/>
      <c r="H32" s="8" t="s">
        <v>1292</v>
      </c>
      <c r="I32" s="8" t="s">
        <v>1519</v>
      </c>
      <c r="J32" s="8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8" t="s">
        <v>4</v>
      </c>
      <c r="E33" s="8" t="s">
        <v>8</v>
      </c>
      <c r="F33" s="8"/>
      <c r="H33" s="8" t="s">
        <v>5</v>
      </c>
      <c r="I33" s="8" t="s">
        <v>1522</v>
      </c>
      <c r="J33" s="8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8" t="s">
        <v>4</v>
      </c>
      <c r="E34" s="8" t="s">
        <v>8</v>
      </c>
      <c r="F34" s="8"/>
      <c r="H34" s="8" t="s">
        <v>1292</v>
      </c>
      <c r="I34" s="8" t="s">
        <v>1525</v>
      </c>
      <c r="J34" s="8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1528</v>
      </c>
      <c r="J35" s="8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8" t="s">
        <v>4</v>
      </c>
      <c r="E36" s="8" t="s">
        <v>8</v>
      </c>
      <c r="F36" s="8"/>
      <c r="H36" s="8"/>
      <c r="I36" s="8" t="s">
        <v>1531</v>
      </c>
      <c r="J36" s="8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8" t="s">
        <v>4</v>
      </c>
      <c r="E37" s="8" t="s">
        <v>8</v>
      </c>
      <c r="F37" s="8"/>
      <c r="H37" s="8"/>
      <c r="I37" s="8" t="s">
        <v>1534</v>
      </c>
      <c r="J37" s="8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8" t="s">
        <v>4</v>
      </c>
      <c r="E38" s="8" t="s">
        <v>8</v>
      </c>
      <c r="F38" s="8"/>
      <c r="H38" s="8"/>
      <c r="I38" s="8" t="s">
        <v>2062</v>
      </c>
      <c r="J38" s="8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8" t="s">
        <v>7</v>
      </c>
      <c r="E39" s="8"/>
      <c r="F39" s="8"/>
      <c r="H39" s="8"/>
      <c r="I39" s="8" t="s">
        <v>2065</v>
      </c>
      <c r="J39" s="8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8" t="s">
        <v>4</v>
      </c>
      <c r="E40" s="8" t="s">
        <v>8</v>
      </c>
      <c r="F40" s="8"/>
      <c r="H40" s="8"/>
      <c r="I40" s="8" t="s">
        <v>2068</v>
      </c>
      <c r="J40" s="8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8" t="s">
        <v>11</v>
      </c>
      <c r="E41" s="8"/>
      <c r="F41" s="8"/>
      <c r="H41" s="8"/>
      <c r="I41" s="8" t="s">
        <v>2071</v>
      </c>
      <c r="J41" s="8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8" t="s">
        <v>4</v>
      </c>
      <c r="E42" s="8" t="s">
        <v>8</v>
      </c>
      <c r="F42" s="8"/>
      <c r="H42" s="8"/>
      <c r="I42" s="8" t="s">
        <v>2074</v>
      </c>
      <c r="J42" s="8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8" t="s">
        <v>1607</v>
      </c>
      <c r="E43" s="8"/>
      <c r="F43" s="8"/>
      <c r="H43" s="8"/>
      <c r="I43" s="8" t="s">
        <v>2077</v>
      </c>
      <c r="J43" s="8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8" t="s">
        <v>4</v>
      </c>
      <c r="E44" s="8" t="s">
        <v>8</v>
      </c>
      <c r="F44" s="8"/>
      <c r="H44" s="8"/>
      <c r="I44" s="8" t="s">
        <v>2080</v>
      </c>
      <c r="J44" s="8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8" t="s">
        <v>1607</v>
      </c>
      <c r="E45" s="8"/>
      <c r="F45" s="8"/>
      <c r="H45" s="8"/>
      <c r="I45" s="8" t="s">
        <v>2083</v>
      </c>
      <c r="J45" s="8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8" t="s">
        <v>4</v>
      </c>
      <c r="E46" s="8" t="s">
        <v>8</v>
      </c>
      <c r="F46" s="8"/>
      <c r="H46" s="8"/>
      <c r="I46" s="8" t="s">
        <v>2086</v>
      </c>
      <c r="J46" s="8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8" t="s">
        <v>1607</v>
      </c>
      <c r="E47" s="8"/>
      <c r="F47" s="8"/>
      <c r="H47" s="8"/>
      <c r="I47" s="8" t="s">
        <v>2089</v>
      </c>
      <c r="J47" s="8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8" t="s">
        <v>4</v>
      </c>
      <c r="E48" s="8" t="s">
        <v>8</v>
      </c>
      <c r="F48" s="8"/>
      <c r="H48" s="8"/>
      <c r="I48" s="8" t="s">
        <v>2092</v>
      </c>
      <c r="J48" s="8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8" t="s">
        <v>1607</v>
      </c>
      <c r="E49" s="8"/>
      <c r="F49" s="8"/>
      <c r="H49" s="8"/>
      <c r="I49" s="8" t="s">
        <v>2095</v>
      </c>
      <c r="J49" s="8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8" t="s">
        <v>4</v>
      </c>
      <c r="E50" s="8" t="s">
        <v>8</v>
      </c>
      <c r="F50" s="8"/>
      <c r="H50" s="8"/>
      <c r="I50" s="8" t="s">
        <v>2098</v>
      </c>
      <c r="J50" s="8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8" t="s">
        <v>1607</v>
      </c>
      <c r="E51" s="8"/>
      <c r="F51" s="8"/>
      <c r="H51" s="8"/>
      <c r="I51" s="8" t="s">
        <v>2101</v>
      </c>
      <c r="J51" s="8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8" t="s">
        <v>7</v>
      </c>
      <c r="E52" s="8"/>
      <c r="F52" s="8"/>
      <c r="H52" s="8"/>
      <c r="I52" s="8" t="s">
        <v>3292</v>
      </c>
      <c r="J52" s="8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8" t="s">
        <v>3411</v>
      </c>
      <c r="E53" s="8" t="s">
        <v>3412</v>
      </c>
      <c r="F53" s="8"/>
      <c r="H53" s="8"/>
      <c r="I53" s="8" t="s">
        <v>3295</v>
      </c>
      <c r="J53" s="8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8" t="s">
        <v>3411</v>
      </c>
      <c r="E54" s="8" t="s">
        <v>3412</v>
      </c>
      <c r="F54" s="8"/>
      <c r="H54" s="8"/>
      <c r="I54" s="8" t="s">
        <v>3298</v>
      </c>
      <c r="J54" s="8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8" t="s">
        <v>3411</v>
      </c>
      <c r="E55" s="8" t="s">
        <v>3412</v>
      </c>
      <c r="F55" s="8"/>
      <c r="H55" s="8"/>
      <c r="I55" s="8" t="s">
        <v>3301</v>
      </c>
      <c r="J55" s="8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8" t="s">
        <v>3411</v>
      </c>
      <c r="E56" s="8" t="s">
        <v>3412</v>
      </c>
      <c r="F56" s="8"/>
      <c r="H56" s="8"/>
      <c r="I56" s="8" t="s">
        <v>3304</v>
      </c>
      <c r="J56" s="8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8" t="s">
        <v>3411</v>
      </c>
      <c r="E57" s="8" t="s">
        <v>3412</v>
      </c>
      <c r="F57" s="8"/>
      <c r="H57" s="8"/>
      <c r="I57" s="8" t="s">
        <v>3307</v>
      </c>
      <c r="J57" s="8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8" t="s">
        <v>7</v>
      </c>
      <c r="E58" s="8" t="s">
        <v>3413</v>
      </c>
      <c r="F58" s="8"/>
      <c r="H58" s="8"/>
      <c r="I58" s="8" t="s">
        <v>3310</v>
      </c>
      <c r="J58" s="8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8" t="s">
        <v>7</v>
      </c>
      <c r="E59" s="8" t="s">
        <v>3413</v>
      </c>
      <c r="F59" s="8"/>
      <c r="H59" s="8"/>
      <c r="I59" s="8" t="s">
        <v>3313</v>
      </c>
      <c r="J59" s="8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8" t="s">
        <v>7</v>
      </c>
      <c r="E60" s="8" t="s">
        <v>3413</v>
      </c>
      <c r="F60" s="8"/>
      <c r="H60" s="8"/>
      <c r="I60" s="8" t="s">
        <v>3316</v>
      </c>
      <c r="J60" s="8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8" t="s">
        <v>7</v>
      </c>
      <c r="E61" s="8" t="s">
        <v>3413</v>
      </c>
      <c r="F61" s="8"/>
      <c r="H61" s="8"/>
      <c r="I61" s="8" t="s">
        <v>3319</v>
      </c>
      <c r="J61" s="8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8" t="s">
        <v>7</v>
      </c>
      <c r="E62" s="8" t="s">
        <v>3413</v>
      </c>
      <c r="F62" s="8"/>
      <c r="H62" s="8"/>
      <c r="I62" s="8" t="s">
        <v>3322</v>
      </c>
      <c r="J62" s="8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8" t="s">
        <v>7</v>
      </c>
      <c r="E63" s="8" t="s">
        <v>3413</v>
      </c>
      <c r="F63" s="8"/>
      <c r="H63" s="8"/>
      <c r="I63" s="8" t="s">
        <v>3325</v>
      </c>
      <c r="J63" s="8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8" t="s">
        <v>4</v>
      </c>
      <c r="E64" s="8" t="s">
        <v>8</v>
      </c>
      <c r="F64" s="8"/>
      <c r="H64" s="8"/>
      <c r="I64" s="8" t="s">
        <v>3328</v>
      </c>
      <c r="J64" s="8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8" t="s">
        <v>1607</v>
      </c>
      <c r="E65" s="8"/>
      <c r="F65" s="8"/>
      <c r="H65" s="8"/>
      <c r="I65" s="8" t="s">
        <v>3448</v>
      </c>
      <c r="J65" s="8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8" t="s">
        <v>4</v>
      </c>
      <c r="E66" s="8" t="s">
        <v>8</v>
      </c>
      <c r="F66" s="8"/>
      <c r="H66" s="8"/>
      <c r="I66" s="8" t="s">
        <v>3915</v>
      </c>
      <c r="J66" s="8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8" t="s">
        <v>4</v>
      </c>
      <c r="E67" s="8" t="s">
        <v>8</v>
      </c>
      <c r="F67" s="8"/>
      <c r="H67" s="8" t="s">
        <v>2352</v>
      </c>
      <c r="I67" s="8" t="s">
        <v>3918</v>
      </c>
      <c r="J67" s="8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8" t="s">
        <v>4</v>
      </c>
      <c r="E68" s="8" t="s">
        <v>8</v>
      </c>
      <c r="F68" s="8"/>
      <c r="H68" s="8" t="s">
        <v>2352</v>
      </c>
      <c r="I68" s="8" t="s">
        <v>3921</v>
      </c>
      <c r="J68" s="8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8" t="s">
        <v>4</v>
      </c>
      <c r="E69" s="8" t="s">
        <v>8</v>
      </c>
      <c r="F69" s="8"/>
      <c r="H69" s="8" t="s">
        <v>2352</v>
      </c>
      <c r="I69" s="8" t="s">
        <v>3924</v>
      </c>
      <c r="J69" s="8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8" t="s">
        <v>4</v>
      </c>
      <c r="E70" s="8" t="s">
        <v>8</v>
      </c>
      <c r="F70" s="8"/>
      <c r="H70" s="8" t="s">
        <v>2352</v>
      </c>
      <c r="I70" s="8" t="s">
        <v>3927</v>
      </c>
      <c r="J70" s="8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8" t="s">
        <v>4</v>
      </c>
      <c r="E71" s="8" t="s">
        <v>8</v>
      </c>
      <c r="F71" s="8"/>
      <c r="H71" s="8" t="s">
        <v>2352</v>
      </c>
      <c r="I71" s="8" t="s">
        <v>3930</v>
      </c>
      <c r="J71" s="8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8" t="s">
        <v>4</v>
      </c>
      <c r="E72" s="8" t="s">
        <v>8</v>
      </c>
      <c r="F72" s="8"/>
      <c r="H72" s="8" t="s">
        <v>2352</v>
      </c>
      <c r="I72" s="8" t="s">
        <v>3933</v>
      </c>
      <c r="J72" s="8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8" t="s">
        <v>4</v>
      </c>
      <c r="E73" s="8" t="s">
        <v>8</v>
      </c>
      <c r="F73" s="8"/>
      <c r="H73" s="8" t="s">
        <v>2352</v>
      </c>
      <c r="I73" s="8" t="s">
        <v>3936</v>
      </c>
      <c r="J73" s="8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8" t="s">
        <v>4</v>
      </c>
      <c r="E74" s="8" t="s">
        <v>8</v>
      </c>
      <c r="F74" s="8"/>
      <c r="H74" s="8" t="s">
        <v>2352</v>
      </c>
      <c r="I74" s="8" t="s">
        <v>3939</v>
      </c>
      <c r="J74" s="8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8" t="s">
        <v>4</v>
      </c>
      <c r="E75" s="8" t="s">
        <v>8</v>
      </c>
      <c r="F75" s="8"/>
      <c r="H75" s="8" t="s">
        <v>2352</v>
      </c>
      <c r="I75" s="8" t="s">
        <v>3942</v>
      </c>
      <c r="J75" s="8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8" t="s">
        <v>4</v>
      </c>
      <c r="E76" s="8" t="s">
        <v>8</v>
      </c>
      <c r="F76" s="8"/>
      <c r="H76" s="8" t="s">
        <v>2352</v>
      </c>
      <c r="I76" s="8" t="s">
        <v>3945</v>
      </c>
      <c r="J76" s="8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8" t="s">
        <v>4</v>
      </c>
      <c r="E77" s="8" t="s">
        <v>8</v>
      </c>
      <c r="F77" s="8"/>
      <c r="H77" s="8" t="s">
        <v>2352</v>
      </c>
      <c r="I77" s="8" t="s">
        <v>3948</v>
      </c>
      <c r="J77" s="8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8" t="s">
        <v>4</v>
      </c>
      <c r="E78" s="8" t="s">
        <v>8</v>
      </c>
      <c r="F78" s="8"/>
      <c r="H78" s="8" t="s">
        <v>2352</v>
      </c>
      <c r="I78" s="8" t="s">
        <v>3951</v>
      </c>
      <c r="J78" s="8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8" t="s">
        <v>4</v>
      </c>
      <c r="E79" s="8" t="s">
        <v>8</v>
      </c>
      <c r="F79" s="8"/>
      <c r="H79" s="8" t="s">
        <v>2352</v>
      </c>
      <c r="I79" s="8" t="s">
        <v>3954</v>
      </c>
      <c r="J79" s="8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8" t="s">
        <v>4</v>
      </c>
      <c r="E80" s="8" t="s">
        <v>8</v>
      </c>
      <c r="F80" s="8"/>
      <c r="H80" s="8" t="s">
        <v>2352</v>
      </c>
      <c r="I80" s="8" t="s">
        <v>3957</v>
      </c>
      <c r="J80" s="8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8" t="s">
        <v>4</v>
      </c>
      <c r="E81" s="8" t="s">
        <v>8</v>
      </c>
      <c r="F81" s="8"/>
      <c r="H81" s="8" t="s">
        <v>2352</v>
      </c>
      <c r="I81" s="8" t="s">
        <v>3960</v>
      </c>
      <c r="J81" s="8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8" t="s">
        <v>4</v>
      </c>
      <c r="E82" s="8" t="s">
        <v>8</v>
      </c>
      <c r="F82" s="8"/>
      <c r="H82" s="8" t="s">
        <v>2352</v>
      </c>
      <c r="I82" s="8" t="s">
        <v>3963</v>
      </c>
      <c r="J82" s="8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8" t="s">
        <v>4</v>
      </c>
      <c r="E83" s="8" t="s">
        <v>8</v>
      </c>
      <c r="F83" s="8"/>
      <c r="H83" s="8" t="s">
        <v>2352</v>
      </c>
      <c r="I83" s="8" t="s">
        <v>3966</v>
      </c>
      <c r="J83" s="8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8" t="s">
        <v>4</v>
      </c>
      <c r="E84" s="8" t="s">
        <v>8</v>
      </c>
      <c r="F84" s="8"/>
      <c r="H84" s="8" t="s">
        <v>2352</v>
      </c>
      <c r="I84" s="8" t="s">
        <v>3969</v>
      </c>
      <c r="J84" s="8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8" t="s">
        <v>1607</v>
      </c>
      <c r="E85" s="8" t="s">
        <v>8</v>
      </c>
      <c r="F85" s="8"/>
      <c r="H85" s="8"/>
      <c r="I85" s="8" t="s">
        <v>3972</v>
      </c>
      <c r="J85" s="8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8" t="s">
        <v>1607</v>
      </c>
      <c r="E86" s="8" t="s">
        <v>8</v>
      </c>
      <c r="F86" s="8"/>
      <c r="H86" s="8"/>
      <c r="I86" s="8" t="s">
        <v>4199</v>
      </c>
      <c r="J86" s="8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8" t="s">
        <v>4</v>
      </c>
      <c r="E87" s="8" t="s">
        <v>4394</v>
      </c>
      <c r="F87" s="8"/>
      <c r="H87" s="8"/>
      <c r="I87" s="8" t="s">
        <v>4375</v>
      </c>
      <c r="J87" s="8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8" t="s">
        <v>4</v>
      </c>
      <c r="E88" s="8" t="s">
        <v>8</v>
      </c>
      <c r="F88" s="8"/>
      <c r="H88" s="8"/>
      <c r="I88" s="8" t="s">
        <v>4378</v>
      </c>
      <c r="J88" s="8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8" t="s">
        <v>4</v>
      </c>
      <c r="E89" s="8" t="s">
        <v>4394</v>
      </c>
      <c r="F89" s="8"/>
      <c r="H89" s="8" t="s">
        <v>4395</v>
      </c>
      <c r="I89" s="8" t="s">
        <v>4381</v>
      </c>
      <c r="J89" s="8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8" t="s">
        <v>1607</v>
      </c>
      <c r="E90" s="8" t="s">
        <v>8</v>
      </c>
      <c r="F90" s="8"/>
      <c r="H90" s="8"/>
      <c r="I90" s="8" t="s">
        <v>4521</v>
      </c>
      <c r="J90" s="8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8" t="s">
        <v>1607</v>
      </c>
      <c r="E91" s="8" t="s">
        <v>8</v>
      </c>
      <c r="F91" s="8"/>
      <c r="H91" s="8"/>
      <c r="I91" s="8" t="s">
        <v>4524</v>
      </c>
      <c r="J91" s="8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8" t="s">
        <v>1607</v>
      </c>
      <c r="E92" s="8" t="s">
        <v>8</v>
      </c>
      <c r="F92" s="8"/>
      <c r="H92" s="8"/>
      <c r="I92" s="8" t="s">
        <v>4527</v>
      </c>
      <c r="J92" s="8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8" t="s">
        <v>4</v>
      </c>
      <c r="E93" s="8" t="s">
        <v>8</v>
      </c>
      <c r="F93" s="8"/>
      <c r="H93" s="8"/>
      <c r="I93" s="8" t="s">
        <v>4785</v>
      </c>
      <c r="J93" s="8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8" t="s">
        <v>587</v>
      </c>
      <c r="E94" s="8" t="s">
        <v>4940</v>
      </c>
      <c r="F94" s="8"/>
      <c r="H94" s="8"/>
      <c r="I94" s="8" t="s">
        <v>4788</v>
      </c>
      <c r="J94" s="8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8" t="s">
        <v>587</v>
      </c>
      <c r="E95" s="8" t="s">
        <v>4940</v>
      </c>
      <c r="F95" s="8"/>
      <c r="H95" s="8" t="s">
        <v>2352</v>
      </c>
      <c r="I95" s="8" t="s">
        <v>4791</v>
      </c>
      <c r="J95" s="8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8" t="s">
        <v>4</v>
      </c>
      <c r="E96" s="8" t="s">
        <v>8</v>
      </c>
      <c r="F96" s="8"/>
      <c r="H96" s="8"/>
      <c r="I96" s="8" t="s">
        <v>4794</v>
      </c>
      <c r="J96" s="8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8" t="s">
        <v>1607</v>
      </c>
      <c r="E97" s="8" t="s">
        <v>8</v>
      </c>
      <c r="F97" s="8"/>
      <c r="H97" s="8"/>
      <c r="I97" s="8" t="s">
        <v>4797</v>
      </c>
      <c r="J97" s="8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8" t="s">
        <v>1607</v>
      </c>
      <c r="E98" s="8" t="s">
        <v>8</v>
      </c>
      <c r="F98" s="8"/>
      <c r="H98" s="8"/>
      <c r="I98" s="8" t="s">
        <v>4985</v>
      </c>
      <c r="J98" s="8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8" t="s">
        <v>4</v>
      </c>
      <c r="E99" s="8" t="s">
        <v>8</v>
      </c>
      <c r="F99" s="8"/>
      <c r="H99" s="8"/>
      <c r="I99" s="8" t="s">
        <v>5188</v>
      </c>
      <c r="J99" s="8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8" t="s">
        <v>4</v>
      </c>
      <c r="E100" s="8" t="s">
        <v>8</v>
      </c>
      <c r="F100" s="8"/>
      <c r="H100" s="8"/>
      <c r="I100" s="8" t="s">
        <v>5191</v>
      </c>
      <c r="J100" s="8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8" t="s">
        <v>1607</v>
      </c>
      <c r="E101" s="8" t="s">
        <v>8</v>
      </c>
      <c r="F101" s="8"/>
      <c r="H101" s="8"/>
      <c r="I101" s="8" t="s">
        <v>5295</v>
      </c>
      <c r="J101" s="8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8" t="s">
        <v>4</v>
      </c>
      <c r="E102" s="8" t="s">
        <v>8</v>
      </c>
      <c r="F102" s="8"/>
      <c r="H102" s="8"/>
      <c r="I102" s="8" t="s">
        <v>5427</v>
      </c>
      <c r="J102" s="8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8" t="s">
        <v>4</v>
      </c>
      <c r="E103" s="8" t="s">
        <v>8</v>
      </c>
      <c r="F103" s="8"/>
      <c r="H103" s="8" t="s">
        <v>2352</v>
      </c>
      <c r="I103" s="8" t="s">
        <v>5430</v>
      </c>
      <c r="J103" s="8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8" t="s">
        <v>4</v>
      </c>
      <c r="E104" s="8" t="s">
        <v>8</v>
      </c>
      <c r="F104" s="8"/>
      <c r="H104" s="8"/>
      <c r="I104" s="8" t="s">
        <v>5655</v>
      </c>
      <c r="J104" s="8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8" t="s">
        <v>4</v>
      </c>
      <c r="E105" s="8" t="s">
        <v>8</v>
      </c>
      <c r="F105" s="8"/>
      <c r="H105" s="8" t="s">
        <v>2352</v>
      </c>
      <c r="I105" s="8" t="s">
        <v>5658</v>
      </c>
      <c r="J105" s="8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8" t="s">
        <v>1607</v>
      </c>
      <c r="E106" s="8" t="s">
        <v>8</v>
      </c>
      <c r="F106" s="8"/>
      <c r="H106" s="8"/>
      <c r="I106" s="8" t="s">
        <v>5661</v>
      </c>
      <c r="J106" s="8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8" t="s">
        <v>1607</v>
      </c>
      <c r="E107" s="8" t="s">
        <v>8</v>
      </c>
      <c r="F107" s="8"/>
      <c r="H107" s="8" t="s">
        <v>1617</v>
      </c>
      <c r="I107" s="8" t="s">
        <v>5664</v>
      </c>
      <c r="J107" s="8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8" t="s">
        <v>1607</v>
      </c>
      <c r="E108" s="8" t="s">
        <v>8</v>
      </c>
      <c r="F108" s="8"/>
      <c r="H108" s="8"/>
      <c r="I108" s="8" t="s">
        <v>5727</v>
      </c>
      <c r="J108" s="8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8" t="s">
        <v>1607</v>
      </c>
      <c r="E109" s="8" t="s">
        <v>8</v>
      </c>
      <c r="F109" s="8"/>
      <c r="H109" s="8"/>
      <c r="I109" s="8" t="s">
        <v>5894</v>
      </c>
      <c r="J109" s="8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8" t="s">
        <v>1607</v>
      </c>
      <c r="E110" s="8" t="s">
        <v>8</v>
      </c>
      <c r="F110" s="8"/>
      <c r="H110" s="8"/>
      <c r="I110" s="8" t="s">
        <v>5897</v>
      </c>
      <c r="J110" s="8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8" t="s">
        <v>4</v>
      </c>
      <c r="E111" s="8" t="s">
        <v>5910</v>
      </c>
      <c r="F111" s="8"/>
      <c r="H111" s="8"/>
      <c r="I111" s="8" t="s">
        <v>5900</v>
      </c>
      <c r="J111" s="8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8" t="s">
        <v>4</v>
      </c>
      <c r="E112" s="8" t="s">
        <v>6163</v>
      </c>
      <c r="F112" s="8"/>
      <c r="H112" s="8"/>
      <c r="I112" s="8" t="s">
        <v>6031</v>
      </c>
      <c r="J112" s="8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8" t="s">
        <v>4</v>
      </c>
      <c r="E113" s="8" t="s">
        <v>6164</v>
      </c>
      <c r="F113" s="8"/>
      <c r="H113" s="8" t="s">
        <v>2352</v>
      </c>
      <c r="I113" s="8" t="s">
        <v>6034</v>
      </c>
      <c r="J113" s="8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8" t="s">
        <v>4</v>
      </c>
      <c r="E114" s="8" t="s">
        <v>8</v>
      </c>
      <c r="F114" s="8"/>
      <c r="H114" s="8" t="s">
        <v>6165</v>
      </c>
      <c r="I114" s="8" t="s">
        <v>6037</v>
      </c>
      <c r="J114" s="8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8" t="s">
        <v>4</v>
      </c>
      <c r="E115" s="8" t="s">
        <v>8</v>
      </c>
      <c r="F115" s="8"/>
      <c r="H115" s="8" t="s">
        <v>2464</v>
      </c>
      <c r="I115" s="8" t="s">
        <v>6040</v>
      </c>
      <c r="J115" s="8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8" t="s">
        <v>4</v>
      </c>
      <c r="E116" s="8" t="s">
        <v>8</v>
      </c>
      <c r="F116" s="8"/>
      <c r="H116" s="8"/>
      <c r="I116" s="8" t="s">
        <v>6206</v>
      </c>
      <c r="J116" s="8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8" t="s">
        <v>4</v>
      </c>
      <c r="E117" s="8" t="s">
        <v>8</v>
      </c>
      <c r="F117" s="8"/>
      <c r="H117" s="8" t="s">
        <v>2352</v>
      </c>
      <c r="I117" s="8" t="s">
        <v>6209</v>
      </c>
      <c r="J117" s="8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8" t="s">
        <v>4</v>
      </c>
      <c r="E118" s="8" t="s">
        <v>8</v>
      </c>
      <c r="F118" s="8"/>
      <c r="H118" s="8" t="s">
        <v>2352</v>
      </c>
      <c r="I118" s="8" t="s">
        <v>6212</v>
      </c>
      <c r="J118" s="8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8" t="s">
        <v>4</v>
      </c>
      <c r="E119" s="8" t="s">
        <v>8</v>
      </c>
      <c r="F119" s="8"/>
      <c r="H119" s="8" t="s">
        <v>2352</v>
      </c>
      <c r="I119" s="8" t="s">
        <v>6215</v>
      </c>
      <c r="J119" s="8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8" t="s">
        <v>4</v>
      </c>
      <c r="E120" s="8" t="s">
        <v>8</v>
      </c>
      <c r="F120" s="8"/>
      <c r="H120" s="8" t="s">
        <v>2352</v>
      </c>
      <c r="I120" s="8" t="s">
        <v>6218</v>
      </c>
      <c r="J120" s="8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8" t="s">
        <v>4</v>
      </c>
      <c r="E121" s="8" t="s">
        <v>8</v>
      </c>
      <c r="F121" s="8"/>
      <c r="H121" s="8"/>
      <c r="I121" s="8" t="s">
        <v>6371</v>
      </c>
      <c r="J121" s="8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8" t="s">
        <v>4</v>
      </c>
      <c r="E122" s="8" t="s">
        <v>12</v>
      </c>
      <c r="F122" s="8"/>
      <c r="H122" s="8"/>
      <c r="I122" s="8" t="s">
        <v>6374</v>
      </c>
      <c r="J122" s="8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8" t="s">
        <v>4</v>
      </c>
      <c r="E123" s="8" t="s">
        <v>8</v>
      </c>
      <c r="F123" s="8"/>
      <c r="H123" s="8"/>
      <c r="I123" s="8" t="s">
        <v>6377</v>
      </c>
      <c r="J123" s="8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8" t="s">
        <v>4</v>
      </c>
      <c r="E124" s="8" t="s">
        <v>12</v>
      </c>
      <c r="F124" s="8"/>
      <c r="H124" s="8"/>
      <c r="I124" s="8" t="s">
        <v>6380</v>
      </c>
      <c r="J124" s="8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8" t="s">
        <v>1607</v>
      </c>
      <c r="E125" s="8" t="s">
        <v>8</v>
      </c>
      <c r="F125" s="8"/>
      <c r="H125" s="8"/>
      <c r="I125" s="8" t="s">
        <v>6643</v>
      </c>
      <c r="J125" s="8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8" t="s">
        <v>1607</v>
      </c>
      <c r="E126" s="8" t="s">
        <v>8</v>
      </c>
      <c r="F126" s="8"/>
      <c r="H126" s="8"/>
      <c r="I126" s="8" t="s">
        <v>6646</v>
      </c>
      <c r="J126" s="8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8" t="s">
        <v>1607</v>
      </c>
      <c r="E127" s="8" t="s">
        <v>8</v>
      </c>
      <c r="F127" s="8"/>
      <c r="H127" s="8"/>
      <c r="I127" s="8" t="s">
        <v>6649</v>
      </c>
      <c r="J127" s="8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8" t="s">
        <v>1607</v>
      </c>
      <c r="E128" s="8" t="s">
        <v>8</v>
      </c>
      <c r="F128" s="8"/>
      <c r="H128" s="8"/>
      <c r="I128" s="8" t="s">
        <v>6652</v>
      </c>
      <c r="J128" s="8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8" t="s">
        <v>1607</v>
      </c>
      <c r="E129" s="8" t="s">
        <v>8</v>
      </c>
      <c r="F129" s="8"/>
      <c r="H129" s="8"/>
      <c r="I129" s="8" t="s">
        <v>6655</v>
      </c>
      <c r="J129" s="8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8" t="s">
        <v>1607</v>
      </c>
      <c r="E130" s="8" t="s">
        <v>8</v>
      </c>
      <c r="F130" s="8"/>
      <c r="H130" s="8"/>
      <c r="I130" s="8" t="s">
        <v>6761</v>
      </c>
      <c r="J130" s="8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8" t="s">
        <v>1607</v>
      </c>
      <c r="E131" s="8" t="s">
        <v>8</v>
      </c>
      <c r="F131" s="8"/>
      <c r="H131" s="8"/>
      <c r="I131" s="8" t="s">
        <v>6764</v>
      </c>
      <c r="J131" s="8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8" t="s">
        <v>1607</v>
      </c>
      <c r="E132" s="8" t="s">
        <v>8</v>
      </c>
      <c r="F132" s="8"/>
      <c r="H132" s="8"/>
      <c r="I132" s="8" t="s">
        <v>6767</v>
      </c>
      <c r="J132" s="8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8" t="s">
        <v>1607</v>
      </c>
      <c r="E133" s="8" t="s">
        <v>8</v>
      </c>
      <c r="F133" s="8"/>
      <c r="H133" s="8"/>
      <c r="I133" s="8" t="s">
        <v>6999</v>
      </c>
      <c r="J133" s="8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8" t="s">
        <v>1607</v>
      </c>
      <c r="E134" s="8" t="s">
        <v>8</v>
      </c>
      <c r="F134" s="8"/>
      <c r="H134" s="8"/>
      <c r="I134" s="8" t="s">
        <v>7002</v>
      </c>
      <c r="J134" s="8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8" t="s">
        <v>1607</v>
      </c>
      <c r="E135" s="8" t="s">
        <v>8</v>
      </c>
      <c r="F135" s="8"/>
      <c r="H135" s="8"/>
      <c r="I135" s="8" t="s">
        <v>7005</v>
      </c>
      <c r="J135" s="8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8" t="s">
        <v>1607</v>
      </c>
      <c r="E136" s="8" t="s">
        <v>8</v>
      </c>
      <c r="F136" s="8"/>
      <c r="H136" s="8"/>
      <c r="I136" s="8" t="s">
        <v>7008</v>
      </c>
      <c r="J136" s="8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8" t="s">
        <v>1607</v>
      </c>
      <c r="E137" s="8" t="s">
        <v>8</v>
      </c>
      <c r="F137" s="8"/>
      <c r="H137" s="8"/>
      <c r="I137" s="8" t="s">
        <v>7011</v>
      </c>
      <c r="J137" s="8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8" t="s">
        <v>1607</v>
      </c>
      <c r="E138" s="8" t="s">
        <v>8</v>
      </c>
      <c r="F138" s="8"/>
      <c r="H138" s="8"/>
      <c r="I138" s="8" t="s">
        <v>7014</v>
      </c>
      <c r="J138" s="8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8" t="s">
        <v>1607</v>
      </c>
      <c r="E139" s="8" t="s">
        <v>8</v>
      </c>
      <c r="F139" s="8"/>
      <c r="H139" s="8"/>
      <c r="I139" s="8" t="s">
        <v>7017</v>
      </c>
      <c r="J139" s="8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8" t="s">
        <v>4</v>
      </c>
      <c r="E140" s="8" t="s">
        <v>4396</v>
      </c>
      <c r="F140" s="8" t="s">
        <v>7344</v>
      </c>
      <c r="H140" s="8"/>
      <c r="I140" s="8" t="s">
        <v>7301</v>
      </c>
      <c r="J140" s="8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8" t="s">
        <v>4</v>
      </c>
      <c r="E141" s="8" t="s">
        <v>8</v>
      </c>
      <c r="F141" s="8"/>
      <c r="H141" s="8"/>
      <c r="I141" s="8" t="s">
        <v>7304</v>
      </c>
      <c r="J141" s="8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8" t="s">
        <v>4</v>
      </c>
      <c r="E142" s="8" t="s">
        <v>12</v>
      </c>
      <c r="F142" s="8"/>
      <c r="H142" s="8"/>
      <c r="I142" s="8" t="s">
        <v>7307</v>
      </c>
      <c r="J142" s="8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8" t="s">
        <v>4</v>
      </c>
      <c r="E143" s="8" t="s">
        <v>7365</v>
      </c>
      <c r="F143" s="8"/>
      <c r="H143" s="8"/>
      <c r="I143" s="8" t="s">
        <v>7310</v>
      </c>
      <c r="J143" s="8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8" t="s">
        <v>4</v>
      </c>
      <c r="E144" s="8" t="s">
        <v>8</v>
      </c>
      <c r="F144" s="8"/>
      <c r="H144" s="8"/>
      <c r="I144" s="8" t="s">
        <v>7313</v>
      </c>
      <c r="J144" s="8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8" t="s">
        <v>4</v>
      </c>
      <c r="E145" s="8" t="s">
        <v>12</v>
      </c>
      <c r="F145" s="8"/>
      <c r="H145" s="8"/>
      <c r="I145" s="8" t="s">
        <v>7316</v>
      </c>
      <c r="J145" s="8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8" t="s">
        <v>4</v>
      </c>
      <c r="E146" s="8" t="s">
        <v>12</v>
      </c>
      <c r="F146" s="8"/>
      <c r="H146" s="8"/>
      <c r="I146" s="8" t="s">
        <v>7319</v>
      </c>
      <c r="J146" s="8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8" t="s">
        <v>4</v>
      </c>
      <c r="E147" s="8" t="s">
        <v>8</v>
      </c>
      <c r="F147" s="8"/>
      <c r="H147" s="8"/>
      <c r="I147" s="8" t="s">
        <v>7440</v>
      </c>
      <c r="J147" s="8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8" t="s">
        <v>4</v>
      </c>
      <c r="E148" s="8" t="s">
        <v>12</v>
      </c>
      <c r="F148" s="8"/>
      <c r="H148" s="8"/>
      <c r="I148" s="8" t="s">
        <v>7443</v>
      </c>
      <c r="J148" s="8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8" t="s">
        <v>4</v>
      </c>
      <c r="E149" s="8" t="s">
        <v>8</v>
      </c>
      <c r="F149" s="8"/>
      <c r="H149" s="8"/>
      <c r="I149" s="8" t="s">
        <v>7446</v>
      </c>
      <c r="J149" s="8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8" t="s">
        <v>4</v>
      </c>
      <c r="E150" s="8" t="s">
        <v>12</v>
      </c>
      <c r="F150" s="8"/>
      <c r="H150" s="8"/>
      <c r="I150" s="8" t="s">
        <v>7624</v>
      </c>
      <c r="J150" s="8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8" t="s">
        <v>4</v>
      </c>
      <c r="E151" s="8" t="s">
        <v>12</v>
      </c>
      <c r="F151" s="8"/>
      <c r="H151" s="8"/>
      <c r="I151" s="8" t="s">
        <v>7627</v>
      </c>
      <c r="J151" s="8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8" t="s">
        <v>1607</v>
      </c>
      <c r="E152" s="8" t="s">
        <v>8</v>
      </c>
      <c r="F152" s="8"/>
      <c r="H152" s="8"/>
      <c r="I152" s="8" t="s">
        <v>7725</v>
      </c>
      <c r="J152" s="8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8" t="s">
        <v>1607</v>
      </c>
      <c r="E153" s="8" t="s">
        <v>8</v>
      </c>
      <c r="F153" s="8"/>
      <c r="H153" s="8"/>
      <c r="I153" s="8" t="s">
        <v>7728</v>
      </c>
      <c r="J153" s="8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8" t="s">
        <v>7887</v>
      </c>
      <c r="E154" s="8" t="s">
        <v>7355</v>
      </c>
      <c r="F154" s="8"/>
      <c r="H154" s="8"/>
      <c r="I154" s="8" t="s">
        <v>7863</v>
      </c>
      <c r="J154" s="8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8" t="s">
        <v>7887</v>
      </c>
      <c r="E155" s="8" t="s">
        <v>7355</v>
      </c>
      <c r="F155" s="8"/>
      <c r="H155" s="8" t="s">
        <v>2352</v>
      </c>
      <c r="I155" s="8" t="s">
        <v>7866</v>
      </c>
      <c r="J155" s="8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8" t="s">
        <v>7887</v>
      </c>
      <c r="E156" s="8" t="s">
        <v>7355</v>
      </c>
      <c r="F156" s="8"/>
      <c r="H156" s="8" t="s">
        <v>2352</v>
      </c>
      <c r="I156" s="8" t="s">
        <v>7869</v>
      </c>
      <c r="J156" s="8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8" t="s">
        <v>7925</v>
      </c>
      <c r="E157" s="8" t="s">
        <v>3412</v>
      </c>
      <c r="F157" s="8"/>
      <c r="H157" s="8" t="s">
        <v>2352</v>
      </c>
      <c r="I157" s="8" t="s">
        <v>7872</v>
      </c>
      <c r="J157" s="8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8" t="s">
        <v>7887</v>
      </c>
      <c r="E158" s="8" t="s">
        <v>7355</v>
      </c>
      <c r="F158" s="8"/>
      <c r="H158" s="8" t="s">
        <v>2352</v>
      </c>
      <c r="I158" s="8" t="s">
        <v>7875</v>
      </c>
      <c r="J158" s="8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8" t="s">
        <v>4</v>
      </c>
      <c r="E159" s="8" t="s">
        <v>8</v>
      </c>
      <c r="F159" s="8"/>
      <c r="H159" s="8"/>
      <c r="I159" s="8" t="s">
        <v>7878</v>
      </c>
      <c r="J159" s="8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8" t="s">
        <v>4</v>
      </c>
      <c r="E160" s="8" t="s">
        <v>8</v>
      </c>
      <c r="F160" s="8"/>
      <c r="H160" s="8"/>
      <c r="I160" s="8" t="s">
        <v>8063</v>
      </c>
      <c r="J160" s="8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8" t="s">
        <v>7887</v>
      </c>
      <c r="E161" s="8" t="s">
        <v>7355</v>
      </c>
      <c r="F161" s="8"/>
      <c r="H161" s="8"/>
      <c r="I161" s="8" t="s">
        <v>8066</v>
      </c>
      <c r="J161" s="8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8" t="s">
        <v>7887</v>
      </c>
      <c r="E162" s="8" t="s">
        <v>7355</v>
      </c>
      <c r="F162" s="8"/>
      <c r="H162" s="8"/>
      <c r="I162" s="8" t="s">
        <v>8069</v>
      </c>
      <c r="J162" s="8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8" t="s">
        <v>4</v>
      </c>
      <c r="E163" s="8" t="s">
        <v>8</v>
      </c>
      <c r="F163" s="8"/>
      <c r="H163" s="8"/>
      <c r="I163" s="8" t="s">
        <v>8353</v>
      </c>
      <c r="J163" s="8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8" t="s">
        <v>4</v>
      </c>
      <c r="E164" s="8" t="s">
        <v>8</v>
      </c>
      <c r="F164" s="8"/>
      <c r="H164" s="8" t="s">
        <v>2352</v>
      </c>
      <c r="I164" s="8" t="s">
        <v>8356</v>
      </c>
      <c r="J164" s="8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8" t="s">
        <v>4</v>
      </c>
      <c r="E165" s="8" t="s">
        <v>8</v>
      </c>
      <c r="F165" s="8"/>
      <c r="H165" s="8" t="s">
        <v>2352</v>
      </c>
      <c r="I165" s="8" t="s">
        <v>8359</v>
      </c>
      <c r="J165" s="8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8" t="s">
        <v>1607</v>
      </c>
      <c r="E166" s="8" t="s">
        <v>8</v>
      </c>
      <c r="F166" s="8"/>
      <c r="H166" s="8"/>
      <c r="I166" s="8" t="s">
        <v>8397</v>
      </c>
      <c r="J166" s="8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8" t="s">
        <v>1607</v>
      </c>
      <c r="E167" s="8" t="s">
        <v>8</v>
      </c>
      <c r="F167" s="8"/>
      <c r="H167" s="8"/>
      <c r="I167" s="8" t="s">
        <v>8400</v>
      </c>
      <c r="J167" s="8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8" t="s">
        <v>1607</v>
      </c>
      <c r="E168" s="8" t="s">
        <v>8</v>
      </c>
      <c r="F168" s="8"/>
      <c r="H168" s="8"/>
      <c r="I168" s="8" t="s">
        <v>8508</v>
      </c>
      <c r="J168" s="8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8" t="s">
        <v>7925</v>
      </c>
      <c r="E169" s="8" t="s">
        <v>3412</v>
      </c>
      <c r="F169" s="8"/>
      <c r="H169" s="8"/>
      <c r="I169" s="8" t="s">
        <v>8511</v>
      </c>
      <c r="J169" s="8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8" t="s">
        <v>7887</v>
      </c>
      <c r="E170" s="8" t="s">
        <v>7355</v>
      </c>
      <c r="F170" s="8"/>
      <c r="H170" s="8"/>
      <c r="I170" s="8" t="s">
        <v>8690</v>
      </c>
      <c r="J170" s="8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8" t="s">
        <v>7887</v>
      </c>
      <c r="E171" s="8" t="s">
        <v>7355</v>
      </c>
      <c r="F171" s="8"/>
      <c r="H171" s="8" t="s">
        <v>2352</v>
      </c>
      <c r="I171" s="8" t="s">
        <v>8693</v>
      </c>
      <c r="J171" s="8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8" t="s">
        <v>7887</v>
      </c>
      <c r="E172" s="8" t="s">
        <v>7355</v>
      </c>
      <c r="F172" s="8"/>
      <c r="H172" s="8" t="s">
        <v>2352</v>
      </c>
      <c r="I172" s="8" t="s">
        <v>8696</v>
      </c>
      <c r="J172" s="8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8" t="s">
        <v>7887</v>
      </c>
      <c r="E173" s="8" t="s">
        <v>7355</v>
      </c>
      <c r="F173" s="8"/>
      <c r="H173" s="8" t="s">
        <v>2352</v>
      </c>
      <c r="I173" s="8" t="s">
        <v>8699</v>
      </c>
      <c r="J173" s="8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8" t="s">
        <v>8813</v>
      </c>
      <c r="E174" s="8" t="s">
        <v>7355</v>
      </c>
      <c r="F174" s="8"/>
      <c r="H174" s="8"/>
      <c r="I174" s="8" t="s">
        <v>8799</v>
      </c>
      <c r="J174" s="8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8" t="s">
        <v>4</v>
      </c>
      <c r="E175" s="8" t="s">
        <v>8</v>
      </c>
      <c r="F175" s="8"/>
      <c r="H175" s="8"/>
      <c r="I175" s="8" t="s">
        <v>8802</v>
      </c>
      <c r="J175" s="8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8" t="s">
        <v>1607</v>
      </c>
      <c r="E176" s="8" t="s">
        <v>8</v>
      </c>
      <c r="F176" s="8"/>
      <c r="H176" s="8" t="s">
        <v>1617</v>
      </c>
      <c r="I176" s="8" t="s">
        <v>8906</v>
      </c>
      <c r="J176" s="8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8" t="s">
        <v>1607</v>
      </c>
      <c r="E177" s="8" t="s">
        <v>8</v>
      </c>
      <c r="F177" s="8"/>
      <c r="H177" s="8" t="s">
        <v>1617</v>
      </c>
      <c r="I177" s="8" t="s">
        <v>8909</v>
      </c>
      <c r="J177" s="8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8" t="s">
        <v>4</v>
      </c>
      <c r="E178" s="8" t="s">
        <v>8</v>
      </c>
      <c r="F178" s="8"/>
      <c r="H178" s="8"/>
      <c r="I178" s="8" t="s">
        <v>9096</v>
      </c>
      <c r="J178" s="8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8" t="s">
        <v>7887</v>
      </c>
      <c r="E179" s="8" t="s">
        <v>4131</v>
      </c>
      <c r="F179" s="8"/>
      <c r="H179" s="8"/>
      <c r="I179" s="8" t="s">
        <v>9099</v>
      </c>
      <c r="J179" s="8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8" t="s">
        <v>7887</v>
      </c>
      <c r="E180" s="8" t="s">
        <v>4131</v>
      </c>
      <c r="F180" s="8"/>
      <c r="H180" s="8"/>
      <c r="I180" s="8" t="s">
        <v>9102</v>
      </c>
      <c r="J180" s="8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8" t="s">
        <v>7887</v>
      </c>
      <c r="E181" s="8" t="s">
        <v>4131</v>
      </c>
      <c r="F181" s="8"/>
      <c r="H181" s="8"/>
      <c r="I181" s="8" t="s">
        <v>9105</v>
      </c>
      <c r="J181" s="8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8" t="s">
        <v>7925</v>
      </c>
      <c r="E182" s="8" t="s">
        <v>3412</v>
      </c>
      <c r="F182" s="8"/>
      <c r="H182" s="8"/>
      <c r="I182" s="8" t="s">
        <v>9227</v>
      </c>
      <c r="J182" s="8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8" t="s">
        <v>1607</v>
      </c>
      <c r="E183" s="8" t="s">
        <v>8</v>
      </c>
      <c r="F183" s="8"/>
      <c r="H183" s="8"/>
      <c r="I183" s="8" t="s">
        <v>9230</v>
      </c>
      <c r="J183" s="8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8" t="s">
        <v>4</v>
      </c>
      <c r="E184" s="8" t="s">
        <v>8</v>
      </c>
      <c r="F184" s="8"/>
      <c r="H184" s="8"/>
      <c r="I184" s="8" t="s">
        <v>9233</v>
      </c>
      <c r="J184" s="8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8" t="s">
        <v>7887</v>
      </c>
      <c r="E185" s="8" t="s">
        <v>4131</v>
      </c>
      <c r="F185" s="8"/>
      <c r="H185" s="8"/>
      <c r="I185" s="8" t="s">
        <v>9236</v>
      </c>
      <c r="J185" s="8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8" t="s">
        <v>4</v>
      </c>
      <c r="E186" s="8" t="s">
        <v>8</v>
      </c>
      <c r="F186" s="8"/>
      <c r="H186" s="8"/>
      <c r="I186" s="8" t="s">
        <v>9239</v>
      </c>
      <c r="J186" s="8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8" t="s">
        <v>1607</v>
      </c>
      <c r="E187" s="8" t="s">
        <v>8</v>
      </c>
      <c r="F187" s="8"/>
      <c r="H187" s="8"/>
      <c r="I187" s="8" t="s">
        <v>9394</v>
      </c>
      <c r="J187" s="8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8" t="s">
        <v>7887</v>
      </c>
      <c r="E188" s="8" t="s">
        <v>4131</v>
      </c>
      <c r="F188" s="8"/>
      <c r="H188" s="8"/>
      <c r="I188" s="8" t="s">
        <v>9397</v>
      </c>
      <c r="J188" s="8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8" t="s">
        <v>7887</v>
      </c>
      <c r="E189" s="8" t="s">
        <v>4131</v>
      </c>
      <c r="F189" s="8"/>
      <c r="H189" s="8"/>
      <c r="I189" s="8" t="s">
        <v>9400</v>
      </c>
      <c r="J189" s="8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8" t="s">
        <v>4</v>
      </c>
      <c r="E190" s="8" t="s">
        <v>8</v>
      </c>
      <c r="F190" s="8"/>
      <c r="H190" s="8"/>
      <c r="I190" s="8" t="s">
        <v>9403</v>
      </c>
      <c r="J190" s="8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8" t="s">
        <v>4</v>
      </c>
      <c r="E191" s="8" t="s">
        <v>8</v>
      </c>
      <c r="F191" s="8"/>
      <c r="H191" s="8"/>
      <c r="I191" s="8" t="s">
        <v>9459</v>
      </c>
      <c r="J191" s="8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8" t="s">
        <v>4</v>
      </c>
      <c r="E192" s="8" t="s">
        <v>8</v>
      </c>
      <c r="F192" s="8"/>
      <c r="H192" s="8" t="s">
        <v>2352</v>
      </c>
      <c r="I192" s="8" t="s">
        <v>9462</v>
      </c>
      <c r="J192" s="8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8" t="s">
        <v>4</v>
      </c>
      <c r="E193" s="8" t="s">
        <v>2348</v>
      </c>
      <c r="F193" s="8"/>
      <c r="H193" s="8"/>
      <c r="I193" s="8" t="s">
        <v>9465</v>
      </c>
      <c r="J193" s="8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8" t="s">
        <v>4</v>
      </c>
      <c r="E194" s="8" t="s">
        <v>2348</v>
      </c>
      <c r="F194" s="8"/>
      <c r="H194" s="8"/>
      <c r="I194" s="8" t="s">
        <v>9468</v>
      </c>
      <c r="J194" s="8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8" t="s">
        <v>9600</v>
      </c>
      <c r="E195" s="8"/>
      <c r="F195" s="8"/>
      <c r="H195" s="8"/>
      <c r="I195" s="8" t="s">
        <v>9471</v>
      </c>
      <c r="J195" s="8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8" t="s">
        <v>4</v>
      </c>
      <c r="E196" s="8" t="s">
        <v>8</v>
      </c>
      <c r="F196" s="8"/>
      <c r="H196" s="8"/>
      <c r="I196" s="8" t="s">
        <v>9474</v>
      </c>
      <c r="J196" s="8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8" t="s">
        <v>1607</v>
      </c>
      <c r="E197" s="8" t="s">
        <v>8</v>
      </c>
      <c r="F197" s="8"/>
      <c r="H197" s="8"/>
      <c r="I197" s="8" t="s">
        <v>9477</v>
      </c>
      <c r="J197" s="8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8" t="s">
        <v>4</v>
      </c>
      <c r="E198" s="8" t="s">
        <v>9602</v>
      </c>
      <c r="F198" s="8"/>
      <c r="H198" s="8"/>
      <c r="I198" s="8" t="s">
        <v>9480</v>
      </c>
      <c r="J198" s="8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8" t="s">
        <v>4</v>
      </c>
      <c r="E199" s="8" t="s">
        <v>9602</v>
      </c>
      <c r="F199" s="8"/>
      <c r="H199" s="8" t="s">
        <v>2352</v>
      </c>
      <c r="I199" s="8" t="s">
        <v>9483</v>
      </c>
      <c r="J199" s="8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8" t="s">
        <v>4</v>
      </c>
      <c r="E200" s="8" t="s">
        <v>9666</v>
      </c>
      <c r="F200" s="8"/>
      <c r="H200" s="8"/>
      <c r="I200" s="8" t="s">
        <v>9604</v>
      </c>
      <c r="J200" s="8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8" t="s">
        <v>1607</v>
      </c>
      <c r="E201" s="8" t="s">
        <v>8</v>
      </c>
      <c r="F201" s="8"/>
      <c r="H201" s="8"/>
      <c r="I201" s="8" t="s">
        <v>9607</v>
      </c>
      <c r="J201" s="8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8" t="s">
        <v>4</v>
      </c>
      <c r="E202" s="8" t="s">
        <v>8528</v>
      </c>
      <c r="F202" s="8"/>
      <c r="H202" s="8"/>
      <c r="I202" s="8" t="s">
        <v>9682</v>
      </c>
      <c r="J202" s="8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8" t="s">
        <v>4</v>
      </c>
      <c r="E203" s="8" t="s">
        <v>9700</v>
      </c>
      <c r="F203" s="8"/>
      <c r="H203" s="8" t="s">
        <v>2352</v>
      </c>
      <c r="I203" s="8" t="s">
        <v>9685</v>
      </c>
      <c r="J203" s="8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8" t="s">
        <v>12</v>
      </c>
      <c r="E204" s="8"/>
      <c r="F204" s="8"/>
      <c r="H204" s="8"/>
      <c r="I204" s="8" t="s">
        <v>9688</v>
      </c>
      <c r="J204" s="8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8" t="s">
        <v>4</v>
      </c>
      <c r="E205" s="8" t="s">
        <v>8</v>
      </c>
      <c r="F205" s="8"/>
      <c r="H205" s="8" t="s">
        <v>2352</v>
      </c>
      <c r="I205" s="8" t="s">
        <v>9691</v>
      </c>
      <c r="J205" s="8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8" t="s">
        <v>12</v>
      </c>
      <c r="E206" s="8" t="s">
        <v>1274</v>
      </c>
      <c r="F206" s="8"/>
      <c r="H206" s="8"/>
      <c r="I206" s="8" t="s">
        <v>9872</v>
      </c>
      <c r="J206" s="8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8" t="s">
        <v>7365</v>
      </c>
      <c r="E207" s="8" t="s">
        <v>86</v>
      </c>
      <c r="F207" s="8"/>
      <c r="H207" s="8"/>
      <c r="I207" s="8" t="s">
        <v>9875</v>
      </c>
      <c r="J207" s="8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8" t="s">
        <v>12</v>
      </c>
      <c r="E208" s="8" t="s">
        <v>1274</v>
      </c>
      <c r="F208" s="8"/>
      <c r="H208" s="8"/>
      <c r="I208" s="8" t="s">
        <v>9878</v>
      </c>
      <c r="J208" s="8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8" t="s">
        <v>7</v>
      </c>
      <c r="E209" s="8"/>
      <c r="F209" s="8"/>
      <c r="H209" s="8"/>
      <c r="I209" s="8" t="s">
        <v>9881</v>
      </c>
      <c r="J209" s="8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8" t="s">
        <v>10020</v>
      </c>
      <c r="E210" s="8" t="s">
        <v>1274</v>
      </c>
      <c r="F210" s="8"/>
      <c r="H210" s="8"/>
      <c r="I210" s="8" t="s">
        <v>9884</v>
      </c>
      <c r="J210" s="8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8" t="s">
        <v>4</v>
      </c>
      <c r="E211" s="8" t="s">
        <v>8</v>
      </c>
      <c r="F211" s="8"/>
      <c r="H211" s="8"/>
      <c r="I211" s="8" t="s">
        <v>9887</v>
      </c>
      <c r="J211" s="8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8" t="s">
        <v>7365</v>
      </c>
      <c r="E212" s="8" t="s">
        <v>86</v>
      </c>
      <c r="F212" s="8"/>
      <c r="H212" s="8"/>
      <c r="I212" s="8" t="s">
        <v>9890</v>
      </c>
      <c r="J212" s="8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8" t="s">
        <v>4</v>
      </c>
      <c r="E213" s="8" t="s">
        <v>8</v>
      </c>
      <c r="F213" s="8"/>
      <c r="H213" s="8"/>
      <c r="I213" s="8" t="s">
        <v>9893</v>
      </c>
      <c r="J213" s="8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8" t="s">
        <v>10020</v>
      </c>
      <c r="E214" s="8"/>
      <c r="F214" s="8"/>
      <c r="H214" s="8"/>
      <c r="I214" s="8" t="s">
        <v>10024</v>
      </c>
      <c r="J214" s="8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8" t="s">
        <v>7365</v>
      </c>
      <c r="E215" s="8" t="s">
        <v>86</v>
      </c>
      <c r="F215" s="8"/>
      <c r="H215" s="8"/>
      <c r="I215" s="8" t="s">
        <v>10027</v>
      </c>
      <c r="J215" s="8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8" t="s">
        <v>10020</v>
      </c>
      <c r="E216" s="8"/>
      <c r="F216" s="8"/>
      <c r="H216" s="8"/>
      <c r="I216" s="8" t="s">
        <v>10030</v>
      </c>
      <c r="J216" s="8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8" t="s">
        <v>10020</v>
      </c>
      <c r="E217" s="8"/>
      <c r="F217" s="8"/>
      <c r="H217" s="8"/>
      <c r="I217" s="8" t="s">
        <v>10033</v>
      </c>
      <c r="J217" s="8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8" t="s">
        <v>10020</v>
      </c>
      <c r="E218" s="8"/>
      <c r="F218" s="8"/>
      <c r="H218" s="8"/>
      <c r="I218" s="8" t="s">
        <v>10036</v>
      </c>
      <c r="J218" s="8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8" t="s">
        <v>10020</v>
      </c>
      <c r="E219" s="8"/>
      <c r="F219" s="8"/>
      <c r="H219" s="8"/>
      <c r="I219" s="8" t="s">
        <v>10039</v>
      </c>
      <c r="J219" s="8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8" t="s">
        <v>10020</v>
      </c>
      <c r="E220" s="8"/>
      <c r="F220" s="8"/>
      <c r="H220" s="8"/>
      <c r="I220" s="8" t="s">
        <v>10042</v>
      </c>
      <c r="J220" s="8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8" t="s">
        <v>10020</v>
      </c>
      <c r="E221" s="8"/>
      <c r="F221" s="8"/>
      <c r="H221" s="8"/>
      <c r="I221" s="8" t="s">
        <v>10182</v>
      </c>
      <c r="J221" s="8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8" t="s">
        <v>10020</v>
      </c>
      <c r="E222" s="8"/>
      <c r="F222" s="8"/>
      <c r="H222" s="8"/>
      <c r="I222" s="8" t="s">
        <v>10185</v>
      </c>
      <c r="J222" s="8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8" t="s">
        <v>10020</v>
      </c>
      <c r="E223" s="8"/>
      <c r="F223" s="8"/>
      <c r="H223" s="8"/>
      <c r="I223" s="8" t="s">
        <v>10188</v>
      </c>
      <c r="J223" s="8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8" t="s">
        <v>10020</v>
      </c>
      <c r="E224" s="8"/>
      <c r="F224" s="8"/>
      <c r="H224" s="8"/>
      <c r="I224" s="8" t="s">
        <v>10191</v>
      </c>
      <c r="J224" s="8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8" t="s">
        <v>10020</v>
      </c>
      <c r="E225" s="8"/>
      <c r="F225" s="8"/>
      <c r="H225" s="8"/>
      <c r="I225" s="8" t="s">
        <v>10194</v>
      </c>
      <c r="J225" s="8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8" t="s">
        <v>10020</v>
      </c>
      <c r="E226" s="8"/>
      <c r="F226" s="8"/>
      <c r="H226" s="8"/>
      <c r="I226" s="8" t="s">
        <v>10197</v>
      </c>
      <c r="J226" s="8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8" t="s">
        <v>4</v>
      </c>
      <c r="E227" s="8" t="s">
        <v>8</v>
      </c>
      <c r="F227" s="8"/>
      <c r="H227" s="8"/>
      <c r="I227" s="8" t="s">
        <v>10200</v>
      </c>
      <c r="J227" s="8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8" t="s">
        <v>10020</v>
      </c>
      <c r="E228" s="8"/>
      <c r="F228" s="8"/>
      <c r="H228" s="8"/>
      <c r="I228" s="8" t="s">
        <v>10271</v>
      </c>
      <c r="J228" s="8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8" t="s">
        <v>10020</v>
      </c>
      <c r="E229" s="8"/>
      <c r="F229" s="8"/>
      <c r="H229" s="8"/>
      <c r="I229" s="8" t="s">
        <v>10274</v>
      </c>
      <c r="J229" s="8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8" t="s">
        <v>10020</v>
      </c>
      <c r="E230" s="8"/>
      <c r="F230" s="8"/>
      <c r="H230" s="8"/>
      <c r="I230" s="8" t="s">
        <v>10277</v>
      </c>
      <c r="J230" s="8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8" t="s">
        <v>10020</v>
      </c>
      <c r="E231" s="8"/>
      <c r="F231" s="8"/>
      <c r="H231" s="8"/>
      <c r="I231" s="8" t="s">
        <v>10280</v>
      </c>
      <c r="J231" s="8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8" t="s">
        <v>10020</v>
      </c>
      <c r="E232" s="8"/>
      <c r="F232" s="8"/>
      <c r="H232" s="8"/>
      <c r="I232" s="8" t="s">
        <v>10283</v>
      </c>
      <c r="J232" s="8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8" t="s">
        <v>10020</v>
      </c>
      <c r="E233" s="8"/>
      <c r="F233" s="8"/>
      <c r="H233" s="8"/>
      <c r="I233" s="8" t="s">
        <v>10286</v>
      </c>
      <c r="J233" s="8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8" t="s">
        <v>4</v>
      </c>
      <c r="E234" s="8" t="s">
        <v>8</v>
      </c>
      <c r="F234" s="8"/>
      <c r="H234" s="8"/>
      <c r="I234" s="8" t="s">
        <v>10289</v>
      </c>
      <c r="J234" s="8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8" t="s">
        <v>10020</v>
      </c>
      <c r="E235" s="8"/>
      <c r="F235" s="8"/>
      <c r="H235" s="8"/>
      <c r="I235" s="8" t="s">
        <v>10292</v>
      </c>
      <c r="J235" s="8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8" t="s">
        <v>10020</v>
      </c>
      <c r="E236" s="8"/>
      <c r="F236" s="8"/>
      <c r="H236" s="8"/>
      <c r="I236" s="8" t="s">
        <v>10295</v>
      </c>
      <c r="J236" s="8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8" t="s">
        <v>4</v>
      </c>
      <c r="E237" s="8" t="s">
        <v>8</v>
      </c>
      <c r="F237" s="8"/>
      <c r="H237" s="8"/>
      <c r="I237" s="8" t="s">
        <v>10298</v>
      </c>
      <c r="J237" s="8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8" t="s">
        <v>12</v>
      </c>
      <c r="E238" s="8"/>
      <c r="F238" s="8"/>
      <c r="H238" s="8"/>
      <c r="I238" s="8" t="s">
        <v>10547</v>
      </c>
      <c r="J238" s="8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8" t="s">
        <v>4</v>
      </c>
      <c r="E239" s="8" t="s">
        <v>8</v>
      </c>
      <c r="F239" s="8"/>
      <c r="H239" s="8"/>
      <c r="I239" s="8" t="s">
        <v>10550</v>
      </c>
      <c r="J239" s="8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8" t="s">
        <v>12</v>
      </c>
      <c r="E240" s="8"/>
      <c r="F240" s="8"/>
      <c r="H240" s="8"/>
      <c r="I240" s="8" t="s">
        <v>10820</v>
      </c>
      <c r="J240" s="8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8" t="s">
        <v>12</v>
      </c>
      <c r="E241" s="8"/>
      <c r="F241" s="8"/>
      <c r="H241" s="8"/>
      <c r="I241" s="8" t="s">
        <v>10823</v>
      </c>
      <c r="J241" s="8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8" t="s">
        <v>4</v>
      </c>
      <c r="E242" s="8" t="s">
        <v>8</v>
      </c>
      <c r="F242" s="8"/>
      <c r="H242" s="8"/>
      <c r="I242" s="8" t="s">
        <v>10826</v>
      </c>
      <c r="J242" s="8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8" t="s">
        <v>4</v>
      </c>
      <c r="E243" s="8" t="s">
        <v>8</v>
      </c>
      <c r="F243" s="8"/>
      <c r="H243" s="8"/>
      <c r="I243" s="8" t="s">
        <v>10829</v>
      </c>
      <c r="J243" s="8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8" t="s">
        <v>7</v>
      </c>
      <c r="E244" s="8"/>
      <c r="F244" s="8"/>
      <c r="H244" s="8"/>
      <c r="I244" s="8" t="s">
        <v>10832</v>
      </c>
      <c r="J244" s="8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8" t="s">
        <v>4</v>
      </c>
      <c r="E245" s="8" t="s">
        <v>8</v>
      </c>
      <c r="F245" s="8"/>
      <c r="H245" s="8"/>
      <c r="I245" s="8" t="s">
        <v>10835</v>
      </c>
      <c r="J245" s="8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8" t="s">
        <v>4</v>
      </c>
      <c r="E246" s="8" t="s">
        <v>8</v>
      </c>
      <c r="F246" s="8"/>
      <c r="H246" s="8"/>
      <c r="I246" s="8" t="s">
        <v>13552</v>
      </c>
      <c r="J246" s="8" t="s">
        <v>2399</v>
      </c>
      <c r="K246" t="s">
        <v>13553</v>
      </c>
      <c r="L246" t="s">
        <v>13554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8" t="s">
        <v>13848</v>
      </c>
      <c r="E247" s="8" t="s">
        <v>468</v>
      </c>
      <c r="F247" s="8"/>
      <c r="H247" s="8"/>
      <c r="I247" s="8" t="s">
        <v>13555</v>
      </c>
      <c r="J247" s="8" t="s">
        <v>2399</v>
      </c>
      <c r="K247" t="s">
        <v>13556</v>
      </c>
      <c r="L247" t="s">
        <v>13557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8" t="s">
        <v>13848</v>
      </c>
      <c r="E248" s="8" t="s">
        <v>468</v>
      </c>
      <c r="F248" s="8"/>
      <c r="H248" s="8"/>
      <c r="I248" s="8" t="s">
        <v>13558</v>
      </c>
      <c r="J248" s="8" t="s">
        <v>2399</v>
      </c>
      <c r="K248" t="s">
        <v>13559</v>
      </c>
      <c r="L248" t="s">
        <v>13560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8" t="s">
        <v>4</v>
      </c>
      <c r="E249" s="8" t="s">
        <v>8</v>
      </c>
      <c r="F249" s="8"/>
      <c r="H249" s="8"/>
      <c r="I249" s="8" t="s">
        <v>13561</v>
      </c>
      <c r="J249" s="8" t="s">
        <v>2399</v>
      </c>
      <c r="K249" t="s">
        <v>13562</v>
      </c>
      <c r="L249" t="s">
        <v>13563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8" t="s">
        <v>4</v>
      </c>
      <c r="E250" s="8" t="s">
        <v>8</v>
      </c>
      <c r="F250" s="8"/>
      <c r="H250" s="8"/>
      <c r="I250" s="8" t="s">
        <v>13564</v>
      </c>
      <c r="J250" s="8" t="s">
        <v>2399</v>
      </c>
      <c r="K250" t="s">
        <v>13565</v>
      </c>
      <c r="L250" t="s">
        <v>13566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8" t="s">
        <v>13848</v>
      </c>
      <c r="E251" s="8" t="s">
        <v>468</v>
      </c>
      <c r="F251" s="8"/>
      <c r="H251" s="8"/>
      <c r="I251" s="8" t="s">
        <v>13567</v>
      </c>
      <c r="J251" s="8" t="s">
        <v>2399</v>
      </c>
      <c r="K251" t="s">
        <v>13568</v>
      </c>
      <c r="L251" t="s">
        <v>13569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8" t="s">
        <v>4</v>
      </c>
      <c r="E252" s="8" t="s">
        <v>8</v>
      </c>
      <c r="F252" s="8"/>
      <c r="H252" s="8"/>
      <c r="I252" s="8" t="s">
        <v>13570</v>
      </c>
      <c r="J252" s="8" t="s">
        <v>2399</v>
      </c>
      <c r="K252" t="s">
        <v>13571</v>
      </c>
      <c r="L252" t="s">
        <v>13572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8" t="s">
        <v>12</v>
      </c>
      <c r="E253" s="8"/>
      <c r="F253" s="8"/>
      <c r="H253" s="8"/>
      <c r="I253" s="8" t="s">
        <v>13967</v>
      </c>
      <c r="J253" s="8" t="s">
        <v>2399</v>
      </c>
      <c r="K253" t="s">
        <v>13968</v>
      </c>
      <c r="L253" t="s">
        <v>13969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8" t="s">
        <v>7</v>
      </c>
      <c r="E254" s="8"/>
      <c r="F254" s="8"/>
      <c r="H254" s="8"/>
      <c r="I254" s="8" t="s">
        <v>13970</v>
      </c>
      <c r="J254" s="8" t="s">
        <v>2399</v>
      </c>
      <c r="K254" t="s">
        <v>13971</v>
      </c>
      <c r="L254" t="s">
        <v>13972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8" t="s">
        <v>4</v>
      </c>
      <c r="E255" s="8" t="s">
        <v>8</v>
      </c>
      <c r="F255" s="8"/>
      <c r="H255" s="8"/>
      <c r="I255" s="8" t="s">
        <v>13973</v>
      </c>
      <c r="J255" s="8" t="s">
        <v>2399</v>
      </c>
      <c r="K255" t="s">
        <v>13974</v>
      </c>
      <c r="L255" t="s">
        <v>13975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8" t="s">
        <v>4</v>
      </c>
      <c r="E256" s="8" t="s">
        <v>8</v>
      </c>
      <c r="F256" s="8"/>
      <c r="H256" s="8"/>
      <c r="I256" s="8" t="s">
        <v>13976</v>
      </c>
      <c r="J256" s="8" t="s">
        <v>2399</v>
      </c>
      <c r="K256" t="s">
        <v>13977</v>
      </c>
      <c r="L256" t="s">
        <v>13978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8" t="s">
        <v>4</v>
      </c>
      <c r="E257" s="8" t="s">
        <v>8</v>
      </c>
      <c r="F257" s="8"/>
      <c r="H257" s="8"/>
      <c r="I257" s="8" t="s">
        <v>13979</v>
      </c>
      <c r="J257" s="8" t="s">
        <v>2399</v>
      </c>
      <c r="K257" t="s">
        <v>13980</v>
      </c>
      <c r="L257" t="s">
        <v>13981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8" t="s">
        <v>4</v>
      </c>
      <c r="E258" s="8" t="s">
        <v>8</v>
      </c>
      <c r="F258" s="8"/>
      <c r="H258" s="8"/>
      <c r="I258" s="8" t="s">
        <v>13982</v>
      </c>
      <c r="J258" s="8" t="s">
        <v>2399</v>
      </c>
      <c r="K258" t="s">
        <v>13983</v>
      </c>
      <c r="L258" t="s">
        <v>13984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8" t="s">
        <v>12</v>
      </c>
      <c r="E259" s="8"/>
      <c r="F259" s="8"/>
      <c r="H259" s="8"/>
      <c r="I259" s="8" t="s">
        <v>13985</v>
      </c>
      <c r="J259" s="8" t="s">
        <v>2399</v>
      </c>
      <c r="K259" t="s">
        <v>13986</v>
      </c>
      <c r="L259" t="s">
        <v>13987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8" t="s">
        <v>4</v>
      </c>
      <c r="E260" s="8" t="s">
        <v>8</v>
      </c>
      <c r="F260" s="8"/>
      <c r="H260" s="8"/>
      <c r="I260" s="8" t="s">
        <v>13988</v>
      </c>
      <c r="J260" s="8" t="s">
        <v>2399</v>
      </c>
      <c r="K260" t="s">
        <v>13989</v>
      </c>
      <c r="L260" t="s">
        <v>13990</v>
      </c>
      <c r="M260" s="2" t="str">
        <f>HYPERLINK(склад2въезд13192021222378[[#This Row],[RelativePath]])</f>
        <v>12 Площадка 3 кран\K07156189_20_20260301T192123Z.jpg</v>
      </c>
    </row>
  </sheetData>
  <conditionalFormatting sqref="D261:D271 E261:E274 G2:H260 D2:E260">
    <cfRule type="containsText" dxfId="763" priority="14" operator="containsText" text="Выезд с территории">
      <formula>NOT(ISERROR(SEARCH("Выезд с территории",D2)))</formula>
    </cfRule>
  </conditionalFormatting>
  <conditionalFormatting sqref="F2:F260">
    <cfRule type="notContainsText" dxfId="762" priority="13" operator="notContains" text="порожний">
      <formula>ISERROR(SEARCH("порожний",F2))</formula>
    </cfRule>
  </conditionalFormatting>
  <conditionalFormatting sqref="E2:E274">
    <cfRule type="containsText" dxfId="761" priority="11" operator="containsText" text="Газель базы">
      <formula>NOT(ISERROR(SEARCH("Газель базы",E2)))</formula>
    </cfRule>
    <cfRule type="containsText" dxfId="760" priority="12" operator="containsText" text="Погрузчик базы">
      <formula>NOT(ISERROR(SEARCH("Погрузчик базы",E2)))</formula>
    </cfRule>
  </conditionalFormatting>
  <conditionalFormatting sqref="E2:E274">
    <cfRule type="containsText" dxfId="759" priority="10" operator="containsText" text="Трактор базы">
      <formula>NOT(ISERROR(SEARCH("Трактор базы",E2)))</formula>
    </cfRule>
  </conditionalFormatting>
  <conditionalFormatting sqref="A2:C260">
    <cfRule type="expression" dxfId="758" priority="9">
      <formula>$A2="пн"</formula>
    </cfRule>
  </conditionalFormatting>
  <conditionalFormatting sqref="A2:C262">
    <cfRule type="expression" dxfId="757" priority="3">
      <formula>$A2="вс"</formula>
    </cfRule>
    <cfRule type="expression" dxfId="756" priority="4">
      <formula>$A2="сб"</formula>
    </cfRule>
    <cfRule type="expression" dxfId="755" priority="5">
      <formula>$A2="пт"</formula>
    </cfRule>
    <cfRule type="expression" dxfId="754" priority="6">
      <formula>$A2="чт"</formula>
    </cfRule>
    <cfRule type="expression" dxfId="753" priority="7">
      <formula>$A2="ср"</formula>
    </cfRule>
    <cfRule type="expression" dxfId="752" priority="8">
      <formula>$A2="вт"</formula>
    </cfRule>
  </conditionalFormatting>
  <conditionalFormatting sqref="D2:D271">
    <cfRule type="containsText" dxfId="75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1">
    <cfRule type="containsText" dxfId="75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15"/>
  <sheetViews>
    <sheetView topLeftCell="B1" zoomScale="90" zoomScaleNormal="90" workbookViewId="0">
      <pane ySplit="1" topLeftCell="A194" activePane="bottomLeft" state="frozen"/>
      <selection pane="bottomLeft" activeCell="I213" sqref="I213:I21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8" t="s">
        <v>4</v>
      </c>
      <c r="E2" s="8" t="s">
        <v>8</v>
      </c>
      <c r="F2" s="8"/>
      <c r="H2" s="8"/>
      <c r="I2" s="8" t="s">
        <v>1540</v>
      </c>
      <c r="J2" s="8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8" t="s">
        <v>4</v>
      </c>
      <c r="E3" s="8" t="s">
        <v>8</v>
      </c>
      <c r="F3" s="8"/>
      <c r="H3" s="8"/>
      <c r="I3" s="8" t="s">
        <v>1543</v>
      </c>
      <c r="J3" s="8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8" t="s">
        <v>4</v>
      </c>
      <c r="E4" s="8" t="s">
        <v>8</v>
      </c>
      <c r="F4" s="8"/>
      <c r="H4" s="8"/>
      <c r="I4" s="8" t="s">
        <v>1546</v>
      </c>
      <c r="J4" s="8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8" t="s">
        <v>4</v>
      </c>
      <c r="E5" s="8" t="s">
        <v>8</v>
      </c>
      <c r="F5" s="8"/>
      <c r="H5" s="8"/>
      <c r="I5" s="8" t="s">
        <v>1549</v>
      </c>
      <c r="J5" s="8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8" t="s">
        <v>4</v>
      </c>
      <c r="E6" s="8" t="s">
        <v>8</v>
      </c>
      <c r="F6" s="8"/>
      <c r="H6" s="8"/>
      <c r="I6" s="8" t="s">
        <v>1552</v>
      </c>
      <c r="J6" s="8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8" t="s">
        <v>226</v>
      </c>
      <c r="E7" s="8" t="s">
        <v>86</v>
      </c>
      <c r="F7" s="8" t="s">
        <v>1601</v>
      </c>
      <c r="H7" s="8"/>
      <c r="I7" s="8" t="s">
        <v>1555</v>
      </c>
      <c r="J7" s="8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8" t="s">
        <v>1602</v>
      </c>
      <c r="E8" s="8" t="s">
        <v>86</v>
      </c>
      <c r="F8" s="8" t="s">
        <v>1601</v>
      </c>
      <c r="H8" s="8"/>
      <c r="I8" s="8" t="s">
        <v>1558</v>
      </c>
      <c r="J8" s="8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8" t="s">
        <v>1602</v>
      </c>
      <c r="E9" s="8" t="s">
        <v>86</v>
      </c>
      <c r="F9" s="8" t="s">
        <v>1601</v>
      </c>
      <c r="H9" s="8"/>
      <c r="I9" s="8" t="s">
        <v>1561</v>
      </c>
      <c r="J9" s="8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8" t="s">
        <v>4</v>
      </c>
      <c r="E10" s="8" t="s">
        <v>8</v>
      </c>
      <c r="F10" s="8"/>
      <c r="H10" s="8"/>
      <c r="I10" s="8" t="s">
        <v>1564</v>
      </c>
      <c r="J10" s="8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8" t="s">
        <v>4</v>
      </c>
      <c r="E11" s="8" t="s">
        <v>8</v>
      </c>
      <c r="F11" s="8"/>
      <c r="H11" s="8"/>
      <c r="I11" s="8" t="s">
        <v>1567</v>
      </c>
      <c r="J11" s="8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8" t="s">
        <v>4</v>
      </c>
      <c r="E12" s="8" t="s">
        <v>8</v>
      </c>
      <c r="F12" s="8"/>
      <c r="H12" s="8"/>
      <c r="I12" s="8" t="s">
        <v>1570</v>
      </c>
      <c r="J12" s="8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8" t="s">
        <v>4</v>
      </c>
      <c r="E13" s="8" t="s">
        <v>8</v>
      </c>
      <c r="F13" s="8"/>
      <c r="H13" s="8"/>
      <c r="I13" s="8" t="s">
        <v>1573</v>
      </c>
      <c r="J13" s="8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8" t="s">
        <v>4</v>
      </c>
      <c r="E14" s="8" t="s">
        <v>8</v>
      </c>
      <c r="F14" s="8"/>
      <c r="H14" s="8"/>
      <c r="I14" s="8" t="s">
        <v>1576</v>
      </c>
      <c r="J14" s="8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8" t="s">
        <v>4</v>
      </c>
      <c r="E15" s="8" t="s">
        <v>8</v>
      </c>
      <c r="F15" s="8"/>
      <c r="H15" s="8"/>
      <c r="I15" s="8" t="s">
        <v>1579</v>
      </c>
      <c r="J15" s="8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8" t="s">
        <v>4</v>
      </c>
      <c r="E16" s="8" t="s">
        <v>8</v>
      </c>
      <c r="F16" s="8"/>
      <c r="H16" s="8"/>
      <c r="I16" s="8" t="s">
        <v>1582</v>
      </c>
      <c r="J16" s="8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8" t="s">
        <v>4</v>
      </c>
      <c r="E17" s="8" t="s">
        <v>8</v>
      </c>
      <c r="F17" s="8"/>
      <c r="H17" s="8"/>
      <c r="I17" s="8" t="s">
        <v>1585</v>
      </c>
      <c r="J17" s="8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8" t="s">
        <v>4</v>
      </c>
      <c r="E18" s="8" t="s">
        <v>8</v>
      </c>
      <c r="F18" s="8"/>
      <c r="H18" s="8"/>
      <c r="I18" s="8" t="s">
        <v>1588</v>
      </c>
      <c r="J18" s="8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8" t="s">
        <v>4</v>
      </c>
      <c r="E19" s="8" t="s">
        <v>8</v>
      </c>
      <c r="F19" s="8"/>
      <c r="H19" s="8"/>
      <c r="I19" s="8" t="s">
        <v>1591</v>
      </c>
      <c r="J19" s="8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8" t="s">
        <v>4</v>
      </c>
      <c r="E20" s="8" t="s">
        <v>8</v>
      </c>
      <c r="F20" s="8"/>
      <c r="H20" s="8"/>
      <c r="I20" s="8" t="s">
        <v>1594</v>
      </c>
      <c r="J20" s="8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8" t="s">
        <v>4</v>
      </c>
      <c r="E21" s="8" t="s">
        <v>8</v>
      </c>
      <c r="F21" s="8"/>
      <c r="H21" s="8"/>
      <c r="I21" s="8" t="s">
        <v>1597</v>
      </c>
      <c r="J21" s="8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8" t="s">
        <v>4</v>
      </c>
      <c r="E22" s="8" t="s">
        <v>8</v>
      </c>
      <c r="F22" s="8"/>
      <c r="H22" s="8"/>
      <c r="I22" s="8" t="s">
        <v>2389</v>
      </c>
      <c r="J22" s="8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8" t="s">
        <v>470</v>
      </c>
      <c r="E23" s="8" t="s">
        <v>468</v>
      </c>
      <c r="F23" s="8" t="s">
        <v>58</v>
      </c>
      <c r="H23" s="8" t="s">
        <v>2392</v>
      </c>
      <c r="I23" s="8" t="s">
        <v>2312</v>
      </c>
      <c r="J23" s="8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8" t="s">
        <v>470</v>
      </c>
      <c r="E24" s="8" t="s">
        <v>468</v>
      </c>
      <c r="F24" s="8" t="s">
        <v>58</v>
      </c>
      <c r="H24" s="8" t="s">
        <v>2392</v>
      </c>
      <c r="I24" s="8" t="s">
        <v>2315</v>
      </c>
      <c r="J24" s="8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8" t="s">
        <v>470</v>
      </c>
      <c r="E25" s="8" t="s">
        <v>468</v>
      </c>
      <c r="F25" s="8" t="s">
        <v>58</v>
      </c>
      <c r="H25" s="8" t="s">
        <v>2392</v>
      </c>
      <c r="I25" s="8" t="s">
        <v>2318</v>
      </c>
      <c r="J25" s="8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8" t="s">
        <v>1607</v>
      </c>
      <c r="E26" s="8"/>
      <c r="F26" s="8"/>
      <c r="H26" s="8"/>
      <c r="I26" s="8" t="s">
        <v>2321</v>
      </c>
      <c r="J26" s="8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8" t="s">
        <v>1607</v>
      </c>
      <c r="E27" s="8"/>
      <c r="F27" s="8"/>
      <c r="H27" s="8"/>
      <c r="I27" s="8" t="s">
        <v>2324</v>
      </c>
      <c r="J27" s="8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8" t="s">
        <v>1617</v>
      </c>
      <c r="E28" s="8"/>
      <c r="F28" s="8"/>
      <c r="H28" s="8"/>
      <c r="I28" s="8" t="s">
        <v>2327</v>
      </c>
      <c r="J28" s="8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8" t="s">
        <v>1607</v>
      </c>
      <c r="E29" s="8"/>
      <c r="F29" s="8"/>
      <c r="H29" s="8"/>
      <c r="I29" s="8" t="s">
        <v>2330</v>
      </c>
      <c r="J29" s="8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8" t="s">
        <v>1607</v>
      </c>
      <c r="E30" s="8"/>
      <c r="F30" s="8"/>
      <c r="H30" s="8"/>
      <c r="I30" s="8" t="s">
        <v>2333</v>
      </c>
      <c r="J30" s="8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8" t="s">
        <v>1617</v>
      </c>
      <c r="E31" s="8"/>
      <c r="F31" s="8"/>
      <c r="H31" s="8"/>
      <c r="I31" s="8" t="s">
        <v>3331</v>
      </c>
      <c r="J31" s="8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8" t="s">
        <v>4</v>
      </c>
      <c r="E32" s="8" t="s">
        <v>3414</v>
      </c>
      <c r="F32" s="8"/>
      <c r="H32" s="8"/>
      <c r="I32" s="8" t="s">
        <v>3334</v>
      </c>
      <c r="J32" s="8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8" t="s">
        <v>4</v>
      </c>
      <c r="E33" s="8" t="s">
        <v>3415</v>
      </c>
      <c r="F33" s="8"/>
      <c r="H33" s="8"/>
      <c r="I33" s="8" t="s">
        <v>3337</v>
      </c>
      <c r="J33" s="8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8" t="s">
        <v>4</v>
      </c>
      <c r="E34" s="8" t="s">
        <v>3416</v>
      </c>
      <c r="F34" s="8"/>
      <c r="H34" s="8"/>
      <c r="I34" s="8" t="s">
        <v>3340</v>
      </c>
      <c r="J34" s="8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8" t="s">
        <v>4</v>
      </c>
      <c r="E35" s="8" t="s">
        <v>8</v>
      </c>
      <c r="F35" s="8"/>
      <c r="H35" s="8"/>
      <c r="I35" s="8" t="s">
        <v>3343</v>
      </c>
      <c r="J35" s="8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8" t="s">
        <v>4</v>
      </c>
      <c r="E36" s="8" t="s">
        <v>8</v>
      </c>
      <c r="F36" s="8"/>
      <c r="H36" s="8"/>
      <c r="I36" s="8" t="s">
        <v>3346</v>
      </c>
      <c r="J36" s="8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8" t="s">
        <v>3377</v>
      </c>
      <c r="E37" s="8"/>
      <c r="F37" s="8"/>
      <c r="H37" s="8"/>
      <c r="I37" s="8" t="s">
        <v>3352</v>
      </c>
      <c r="J37" s="8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8" t="s">
        <v>1607</v>
      </c>
      <c r="E38" s="8"/>
      <c r="F38" s="8"/>
      <c r="H38" s="8"/>
      <c r="I38" s="8" t="s">
        <v>3349</v>
      </c>
      <c r="J38" s="8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8" t="s">
        <v>3455</v>
      </c>
      <c r="E39" s="8"/>
      <c r="F39" s="8"/>
      <c r="H39" s="8"/>
      <c r="I39" s="8" t="s">
        <v>3451</v>
      </c>
      <c r="J39" s="8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8" t="s">
        <v>1617</v>
      </c>
      <c r="E40" s="8"/>
      <c r="F40" s="8"/>
      <c r="H40" s="8"/>
      <c r="I40" s="8" t="s">
        <v>3975</v>
      </c>
      <c r="J40" s="8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8" t="s">
        <v>1617</v>
      </c>
      <c r="E41" s="8"/>
      <c r="F41" s="8"/>
      <c r="H41" s="8"/>
      <c r="I41" s="8" t="s">
        <v>3978</v>
      </c>
      <c r="J41" s="8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8" t="s">
        <v>1617</v>
      </c>
      <c r="E42" s="8"/>
      <c r="F42" s="8"/>
      <c r="H42" s="8"/>
      <c r="I42" s="8" t="s">
        <v>3981</v>
      </c>
      <c r="J42" s="8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8" t="s">
        <v>1617</v>
      </c>
      <c r="E43" s="8"/>
      <c r="F43" s="8"/>
      <c r="H43" s="8"/>
      <c r="I43" s="8" t="s">
        <v>3984</v>
      </c>
      <c r="J43" s="8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8" t="s">
        <v>1617</v>
      </c>
      <c r="E44" s="8"/>
      <c r="F44" s="8"/>
      <c r="H44" s="8"/>
      <c r="I44" s="8" t="s">
        <v>3987</v>
      </c>
      <c r="J44" s="8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8" t="s">
        <v>1617</v>
      </c>
      <c r="E45" s="8"/>
      <c r="F45" s="8"/>
      <c r="H45" s="8"/>
      <c r="I45" s="8" t="s">
        <v>3990</v>
      </c>
      <c r="J45" s="8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8" t="s">
        <v>4</v>
      </c>
      <c r="E46" s="8" t="s">
        <v>4239</v>
      </c>
      <c r="F46" s="8"/>
      <c r="H46" s="8"/>
      <c r="I46" s="8" t="s">
        <v>4202</v>
      </c>
      <c r="J46" s="8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8" t="s">
        <v>4</v>
      </c>
      <c r="E47" s="8" t="s">
        <v>4240</v>
      </c>
      <c r="F47" s="8"/>
      <c r="H47" s="8"/>
      <c r="I47" s="8" t="s">
        <v>4205</v>
      </c>
      <c r="J47" s="8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8" t="s">
        <v>137</v>
      </c>
      <c r="E48" s="8" t="s">
        <v>4396</v>
      </c>
      <c r="F48" s="8" t="s">
        <v>3405</v>
      </c>
      <c r="H48" s="8"/>
      <c r="I48" s="8" t="s">
        <v>4384</v>
      </c>
      <c r="J48" s="8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8" t="s">
        <v>4</v>
      </c>
      <c r="E49" s="8" t="s">
        <v>8</v>
      </c>
      <c r="F49" s="8"/>
      <c r="H49" s="8"/>
      <c r="I49" s="8" t="s">
        <v>4387</v>
      </c>
      <c r="J49" s="8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8" t="s">
        <v>4941</v>
      </c>
      <c r="E50" s="8" t="s">
        <v>4396</v>
      </c>
      <c r="F50" s="8" t="s">
        <v>4932</v>
      </c>
      <c r="H50" s="8"/>
      <c r="I50" s="8" t="s">
        <v>4530</v>
      </c>
      <c r="J50" s="8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8" t="s">
        <v>4941</v>
      </c>
      <c r="E51" s="8" t="s">
        <v>4396</v>
      </c>
      <c r="F51" s="8" t="s">
        <v>4932</v>
      </c>
      <c r="H51" s="8" t="s">
        <v>2352</v>
      </c>
      <c r="I51" s="8" t="s">
        <v>4533</v>
      </c>
      <c r="J51" s="8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8" t="s">
        <v>4</v>
      </c>
      <c r="E52" s="8" t="s">
        <v>8</v>
      </c>
      <c r="F52" s="8"/>
      <c r="H52" s="8"/>
      <c r="I52" s="8" t="s">
        <v>4536</v>
      </c>
      <c r="J52" s="8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8" t="s">
        <v>4</v>
      </c>
      <c r="E53" s="8" t="s">
        <v>8</v>
      </c>
      <c r="F53" s="8"/>
      <c r="H53" s="8"/>
      <c r="I53" s="8" t="s">
        <v>4539</v>
      </c>
      <c r="J53" s="8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8" t="s">
        <v>4</v>
      </c>
      <c r="E54" s="8" t="s">
        <v>8</v>
      </c>
      <c r="F54" s="8"/>
      <c r="H54" s="8"/>
      <c r="I54" s="8" t="s">
        <v>4542</v>
      </c>
      <c r="J54" s="8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8" t="s">
        <v>1617</v>
      </c>
      <c r="E55" s="8"/>
      <c r="F55" s="8"/>
      <c r="H55" s="8"/>
      <c r="I55" s="8" t="s">
        <v>4545</v>
      </c>
      <c r="J55" s="8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8" t="s">
        <v>4941</v>
      </c>
      <c r="E56" s="8" t="s">
        <v>4396</v>
      </c>
      <c r="F56" s="8" t="s">
        <v>4922</v>
      </c>
      <c r="H56" s="8"/>
      <c r="I56" s="8" t="s">
        <v>4770</v>
      </c>
      <c r="J56" s="8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8" t="s">
        <v>4</v>
      </c>
      <c r="E57" s="8" t="s">
        <v>8</v>
      </c>
      <c r="F57" s="8"/>
      <c r="H57" s="8"/>
      <c r="I57" s="8" t="s">
        <v>4773</v>
      </c>
      <c r="J57" s="8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8" t="s">
        <v>4</v>
      </c>
      <c r="E58" s="8" t="s">
        <v>8</v>
      </c>
      <c r="F58" s="8"/>
      <c r="H58" s="8"/>
      <c r="I58" s="8" t="s">
        <v>4776</v>
      </c>
      <c r="J58" s="8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8" t="s">
        <v>4</v>
      </c>
      <c r="E59" s="8" t="s">
        <v>4917</v>
      </c>
      <c r="F59" s="8"/>
      <c r="H59" s="8"/>
      <c r="I59" s="8" t="s">
        <v>4779</v>
      </c>
      <c r="J59" s="8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8" t="s">
        <v>4</v>
      </c>
      <c r="E60" s="8" t="s">
        <v>8</v>
      </c>
      <c r="F60" s="8"/>
      <c r="H60" s="8"/>
      <c r="I60" s="8" t="s">
        <v>4782</v>
      </c>
      <c r="J60" s="8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8" t="s">
        <v>1607</v>
      </c>
      <c r="E61" s="8" t="s">
        <v>8</v>
      </c>
      <c r="F61" s="8"/>
      <c r="H61" s="8"/>
      <c r="I61" s="8" t="s">
        <v>4988</v>
      </c>
      <c r="J61" s="8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8" t="s">
        <v>226</v>
      </c>
      <c r="E62" s="8" t="s">
        <v>4396</v>
      </c>
      <c r="F62" s="8" t="s">
        <v>465</v>
      </c>
      <c r="H62" s="8"/>
      <c r="I62" s="8" t="s">
        <v>5200</v>
      </c>
      <c r="J62" s="8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8" t="s">
        <v>226</v>
      </c>
      <c r="E63" s="8" t="s">
        <v>4396</v>
      </c>
      <c r="F63" s="8" t="s">
        <v>465</v>
      </c>
      <c r="H63" s="8"/>
      <c r="I63" s="8" t="s">
        <v>5203</v>
      </c>
      <c r="J63" s="8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8" t="s">
        <v>226</v>
      </c>
      <c r="E64" s="8" t="s">
        <v>4396</v>
      </c>
      <c r="F64" s="8" t="s">
        <v>1288</v>
      </c>
      <c r="H64" s="8"/>
      <c r="I64" s="8" t="s">
        <v>5206</v>
      </c>
      <c r="J64" s="8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8" t="s">
        <v>470</v>
      </c>
      <c r="E65" s="8" t="s">
        <v>468</v>
      </c>
      <c r="F65" s="8" t="s">
        <v>58</v>
      </c>
      <c r="H65" s="8"/>
      <c r="I65" s="8" t="s">
        <v>5298</v>
      </c>
      <c r="J65" s="8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8" t="s">
        <v>470</v>
      </c>
      <c r="E66" s="8" t="s">
        <v>468</v>
      </c>
      <c r="F66" s="8" t="s">
        <v>58</v>
      </c>
      <c r="H66" s="8"/>
      <c r="I66" s="8" t="s">
        <v>5301</v>
      </c>
      <c r="J66" s="8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8" t="s">
        <v>470</v>
      </c>
      <c r="E67" s="8" t="s">
        <v>468</v>
      </c>
      <c r="F67" s="8" t="s">
        <v>58</v>
      </c>
      <c r="H67" s="8"/>
      <c r="I67" s="8" t="s">
        <v>5304</v>
      </c>
      <c r="J67" s="8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8" t="s">
        <v>4</v>
      </c>
      <c r="E68" s="8" t="s">
        <v>8</v>
      </c>
      <c r="F68" s="8"/>
      <c r="H68" s="8"/>
      <c r="I68" s="8" t="s">
        <v>5307</v>
      </c>
      <c r="J68" s="8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8" t="s">
        <v>226</v>
      </c>
      <c r="E69" s="8" t="s">
        <v>4396</v>
      </c>
      <c r="F69" s="8" t="s">
        <v>465</v>
      </c>
      <c r="H69" s="8"/>
      <c r="I69" s="8" t="s">
        <v>5433</v>
      </c>
      <c r="J69" s="8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8" t="s">
        <v>226</v>
      </c>
      <c r="E70" s="8" t="s">
        <v>4396</v>
      </c>
      <c r="F70" s="8" t="s">
        <v>465</v>
      </c>
      <c r="H70" s="8" t="s">
        <v>2352</v>
      </c>
      <c r="I70" s="8" t="s">
        <v>5436</v>
      </c>
      <c r="J70" s="8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8" t="s">
        <v>136</v>
      </c>
      <c r="E71" s="8" t="s">
        <v>4396</v>
      </c>
      <c r="F71" s="8" t="s">
        <v>465</v>
      </c>
      <c r="H71" s="8" t="s">
        <v>4096</v>
      </c>
      <c r="I71" s="8" t="s">
        <v>5439</v>
      </c>
      <c r="J71" s="8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8" t="s">
        <v>226</v>
      </c>
      <c r="E72" s="8" t="s">
        <v>4396</v>
      </c>
      <c r="F72" s="8" t="s">
        <v>465</v>
      </c>
      <c r="H72" s="8"/>
      <c r="I72" s="8" t="s">
        <v>5442</v>
      </c>
      <c r="J72" s="8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8" t="s">
        <v>136</v>
      </c>
      <c r="E73" s="8" t="s">
        <v>4396</v>
      </c>
      <c r="F73" s="8" t="s">
        <v>465</v>
      </c>
      <c r="H73" s="8" t="s">
        <v>4096</v>
      </c>
      <c r="I73" s="8" t="s">
        <v>5445</v>
      </c>
      <c r="J73" s="8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8" t="s">
        <v>3388</v>
      </c>
      <c r="E74" s="8" t="s">
        <v>4396</v>
      </c>
      <c r="F74" s="8" t="s">
        <v>5476</v>
      </c>
      <c r="H74" s="8" t="s">
        <v>5216</v>
      </c>
      <c r="I74" s="8" t="s">
        <v>5448</v>
      </c>
      <c r="J74" s="8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8" t="s">
        <v>3388</v>
      </c>
      <c r="E75" s="8" t="s">
        <v>4396</v>
      </c>
      <c r="F75" s="8" t="s">
        <v>5476</v>
      </c>
      <c r="H75" s="8" t="s">
        <v>2352</v>
      </c>
      <c r="I75" s="8" t="s">
        <v>5451</v>
      </c>
      <c r="J75" s="8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8" t="s">
        <v>136</v>
      </c>
      <c r="E76" s="8" t="s">
        <v>4396</v>
      </c>
      <c r="F76" s="8" t="s">
        <v>5476</v>
      </c>
      <c r="H76" s="8" t="s">
        <v>4096</v>
      </c>
      <c r="I76" s="8" t="s">
        <v>5454</v>
      </c>
      <c r="J76" s="8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8" t="s">
        <v>4</v>
      </c>
      <c r="E77" s="8" t="s">
        <v>5477</v>
      </c>
      <c r="F77" s="8"/>
      <c r="H77" s="8" t="s">
        <v>5216</v>
      </c>
      <c r="I77" s="8" t="s">
        <v>5457</v>
      </c>
      <c r="J77" s="8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8" t="s">
        <v>4</v>
      </c>
      <c r="E78" s="8" t="s">
        <v>2348</v>
      </c>
      <c r="F78" s="8"/>
      <c r="H78" s="8"/>
      <c r="I78" s="8" t="s">
        <v>5460</v>
      </c>
      <c r="J78" s="8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8" t="s">
        <v>4</v>
      </c>
      <c r="E79" s="8" t="s">
        <v>5478</v>
      </c>
      <c r="F79" s="8"/>
      <c r="H79" s="8"/>
      <c r="I79" s="8" t="s">
        <v>5463</v>
      </c>
      <c r="J79" s="8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8" t="s">
        <v>4</v>
      </c>
      <c r="E80" s="8" t="s">
        <v>8</v>
      </c>
      <c r="F80" s="8"/>
      <c r="H80" s="8"/>
      <c r="I80" s="8" t="s">
        <v>5466</v>
      </c>
      <c r="J80" s="8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8" t="s">
        <v>1607</v>
      </c>
      <c r="E81" s="8" t="s">
        <v>8</v>
      </c>
      <c r="F81" s="8"/>
      <c r="H81" s="8"/>
      <c r="I81" s="8" t="s">
        <v>5691</v>
      </c>
      <c r="J81" s="8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8" t="s">
        <v>1607</v>
      </c>
      <c r="E82" s="8" t="s">
        <v>8</v>
      </c>
      <c r="F82" s="8"/>
      <c r="H82" s="8"/>
      <c r="I82" s="8" t="s">
        <v>5685</v>
      </c>
      <c r="J82" s="8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8" t="s">
        <v>1607</v>
      </c>
      <c r="E83" s="8" t="s">
        <v>8</v>
      </c>
      <c r="F83" s="8"/>
      <c r="H83" s="8"/>
      <c r="I83" s="8" t="s">
        <v>5730</v>
      </c>
      <c r="J83" s="8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8" t="s">
        <v>1607</v>
      </c>
      <c r="E84" s="8" t="s">
        <v>8</v>
      </c>
      <c r="F84" s="8"/>
      <c r="H84" s="8"/>
      <c r="I84" s="8" t="s">
        <v>5806</v>
      </c>
      <c r="J84" s="8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8" t="s">
        <v>1607</v>
      </c>
      <c r="E85" s="8" t="s">
        <v>8</v>
      </c>
      <c r="F85" s="8"/>
      <c r="H85" s="8"/>
      <c r="I85" s="8" t="s">
        <v>5809</v>
      </c>
      <c r="J85" s="8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8" t="s">
        <v>3388</v>
      </c>
      <c r="E86" s="8" t="s">
        <v>4396</v>
      </c>
      <c r="F86" s="8" t="s">
        <v>60</v>
      </c>
      <c r="H86" s="8"/>
      <c r="I86" s="8" t="s">
        <v>6127</v>
      </c>
      <c r="J86" s="8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8" t="s">
        <v>1607</v>
      </c>
      <c r="E87" s="8" t="s">
        <v>8</v>
      </c>
      <c r="F87" s="8"/>
      <c r="H87" s="8"/>
      <c r="I87" s="8" t="s">
        <v>6130</v>
      </c>
      <c r="J87" s="8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8" t="s">
        <v>4</v>
      </c>
      <c r="E88" s="8" t="s">
        <v>3358</v>
      </c>
      <c r="F88" s="8"/>
      <c r="H88" s="8" t="s">
        <v>6166</v>
      </c>
      <c r="I88" s="8" t="s">
        <v>6133</v>
      </c>
      <c r="J88" s="8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8" t="s">
        <v>3388</v>
      </c>
      <c r="E89" s="8" t="s">
        <v>4396</v>
      </c>
      <c r="F89" s="8" t="s">
        <v>6161</v>
      </c>
      <c r="H89" s="8"/>
      <c r="I89" s="8" t="s">
        <v>6136</v>
      </c>
      <c r="J89" s="8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8" t="s">
        <v>3388</v>
      </c>
      <c r="E90" s="8" t="s">
        <v>4396</v>
      </c>
      <c r="F90" s="8" t="s">
        <v>6167</v>
      </c>
      <c r="H90" s="8"/>
      <c r="I90" s="8" t="s">
        <v>6139</v>
      </c>
      <c r="J90" s="8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8" t="s">
        <v>3388</v>
      </c>
      <c r="E91" s="8" t="s">
        <v>4396</v>
      </c>
      <c r="F91" s="8" t="s">
        <v>60</v>
      </c>
      <c r="H91" s="8"/>
      <c r="I91" s="8" t="s">
        <v>6221</v>
      </c>
      <c r="J91" s="8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8" t="s">
        <v>3388</v>
      </c>
      <c r="E92" s="8" t="s">
        <v>4396</v>
      </c>
      <c r="F92" s="8" t="s">
        <v>60</v>
      </c>
      <c r="H92" s="8"/>
      <c r="I92" s="8" t="s">
        <v>6224</v>
      </c>
      <c r="J92" s="8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8" t="s">
        <v>3388</v>
      </c>
      <c r="E93" s="8" t="s">
        <v>4396</v>
      </c>
      <c r="F93" s="8" t="s">
        <v>6167</v>
      </c>
      <c r="H93" s="8"/>
      <c r="I93" s="8" t="s">
        <v>6227</v>
      </c>
      <c r="J93" s="8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8" t="s">
        <v>4</v>
      </c>
      <c r="E94" s="8" t="s">
        <v>3358</v>
      </c>
      <c r="F94" s="8"/>
      <c r="H94" s="8" t="s">
        <v>6166</v>
      </c>
      <c r="I94" s="8" t="s">
        <v>6230</v>
      </c>
      <c r="J94" s="8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8" t="s">
        <v>4</v>
      </c>
      <c r="E95" s="8" t="s">
        <v>8</v>
      </c>
      <c r="F95" s="8"/>
      <c r="H95" s="8" t="s">
        <v>2352</v>
      </c>
      <c r="I95" s="8" t="s">
        <v>6233</v>
      </c>
      <c r="J95" s="8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8" t="s">
        <v>4</v>
      </c>
      <c r="E96" s="8" t="s">
        <v>8</v>
      </c>
      <c r="F96" s="8"/>
      <c r="H96" s="8" t="s">
        <v>2352</v>
      </c>
      <c r="I96" s="8" t="s">
        <v>6236</v>
      </c>
      <c r="J96" s="8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8" t="s">
        <v>3388</v>
      </c>
      <c r="E97" s="8" t="s">
        <v>4396</v>
      </c>
      <c r="F97" s="8" t="s">
        <v>6162</v>
      </c>
      <c r="H97" s="8"/>
      <c r="I97" s="8" t="s">
        <v>6239</v>
      </c>
      <c r="J97" s="8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8" t="s">
        <v>3388</v>
      </c>
      <c r="E98" s="8" t="s">
        <v>4396</v>
      </c>
      <c r="F98" s="8" t="s">
        <v>60</v>
      </c>
      <c r="H98" s="8"/>
      <c r="I98" s="8" t="s">
        <v>6242</v>
      </c>
      <c r="J98" s="8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8" t="s">
        <v>4</v>
      </c>
      <c r="E99" s="8" t="s">
        <v>8</v>
      </c>
      <c r="F99" s="8"/>
      <c r="H99" s="8"/>
      <c r="I99" s="8" t="s">
        <v>6245</v>
      </c>
      <c r="J99" s="8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8" t="s">
        <v>4</v>
      </c>
      <c r="E100" s="8" t="s">
        <v>8</v>
      </c>
      <c r="F100" s="8"/>
      <c r="H100" s="8"/>
      <c r="I100" s="8" t="s">
        <v>6383</v>
      </c>
      <c r="J100" s="8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8" t="s">
        <v>4</v>
      </c>
      <c r="E101" s="8" t="s">
        <v>8</v>
      </c>
      <c r="F101" s="8"/>
      <c r="H101" s="8"/>
      <c r="I101" s="8" t="s">
        <v>6386</v>
      </c>
      <c r="J101" s="8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8" t="s">
        <v>4</v>
      </c>
      <c r="E102" s="8" t="s">
        <v>8</v>
      </c>
      <c r="F102" s="8"/>
      <c r="H102" s="8"/>
      <c r="I102" s="8" t="s">
        <v>6389</v>
      </c>
      <c r="J102" s="8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8" t="s">
        <v>470</v>
      </c>
      <c r="E103" s="8" t="s">
        <v>468</v>
      </c>
      <c r="F103" s="8" t="s">
        <v>6688</v>
      </c>
      <c r="H103" s="8"/>
      <c r="I103" s="8" t="s">
        <v>6601</v>
      </c>
      <c r="J103" s="8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8" t="s">
        <v>1607</v>
      </c>
      <c r="E104" s="8" t="s">
        <v>8</v>
      </c>
      <c r="F104" s="8"/>
      <c r="H104" s="8"/>
      <c r="I104" s="8" t="s">
        <v>6604</v>
      </c>
      <c r="J104" s="8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8" t="s">
        <v>1607</v>
      </c>
      <c r="E105" s="8" t="s">
        <v>8</v>
      </c>
      <c r="F105" s="8"/>
      <c r="H105" s="8"/>
      <c r="I105" s="8" t="s">
        <v>6607</v>
      </c>
      <c r="J105" s="8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8" t="s">
        <v>1607</v>
      </c>
      <c r="E106" s="8" t="s">
        <v>8</v>
      </c>
      <c r="F106" s="8"/>
      <c r="H106" s="8"/>
      <c r="I106" s="8" t="s">
        <v>6610</v>
      </c>
      <c r="J106" s="8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8" t="s">
        <v>1607</v>
      </c>
      <c r="E107" s="8" t="s">
        <v>8</v>
      </c>
      <c r="F107" s="8"/>
      <c r="H107" s="8"/>
      <c r="I107" s="8" t="s">
        <v>6770</v>
      </c>
      <c r="J107" s="8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8" t="s">
        <v>1607</v>
      </c>
      <c r="E108" s="8" t="s">
        <v>8</v>
      </c>
      <c r="F108" s="8"/>
      <c r="H108" s="8"/>
      <c r="I108" s="8" t="s">
        <v>6773</v>
      </c>
      <c r="J108" s="8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8" t="s">
        <v>1607</v>
      </c>
      <c r="E109" s="8" t="s">
        <v>8</v>
      </c>
      <c r="F109" s="8"/>
      <c r="H109" s="8"/>
      <c r="I109" s="8" t="s">
        <v>6776</v>
      </c>
      <c r="J109" s="8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8" t="s">
        <v>1607</v>
      </c>
      <c r="E110" s="8" t="s">
        <v>8</v>
      </c>
      <c r="F110" s="8"/>
      <c r="H110" s="8"/>
      <c r="I110" s="8" t="s">
        <v>7020</v>
      </c>
      <c r="J110" s="8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8" t="s">
        <v>1607</v>
      </c>
      <c r="E111" s="8" t="s">
        <v>8</v>
      </c>
      <c r="F111" s="8"/>
      <c r="H111" s="8"/>
      <c r="I111" s="8" t="s">
        <v>7023</v>
      </c>
      <c r="J111" s="8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8" t="s">
        <v>1607</v>
      </c>
      <c r="E112" s="8" t="s">
        <v>8</v>
      </c>
      <c r="F112" s="8"/>
      <c r="H112" s="8"/>
      <c r="I112" s="8" t="s">
        <v>7026</v>
      </c>
      <c r="J112" s="8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8" t="s">
        <v>1607</v>
      </c>
      <c r="E113" s="8" t="s">
        <v>8</v>
      </c>
      <c r="F113" s="8"/>
      <c r="H113" s="8"/>
      <c r="I113" s="8" t="s">
        <v>7029</v>
      </c>
      <c r="J113" s="8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8" t="s">
        <v>1607</v>
      </c>
      <c r="E114" s="8" t="s">
        <v>8</v>
      </c>
      <c r="F114" s="8"/>
      <c r="H114" s="8"/>
      <c r="I114" s="8" t="s">
        <v>7032</v>
      </c>
      <c r="J114" s="8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8" t="s">
        <v>1607</v>
      </c>
      <c r="E115" s="8" t="s">
        <v>8</v>
      </c>
      <c r="F115" s="8"/>
      <c r="H115" s="8"/>
      <c r="I115" s="8" t="s">
        <v>7035</v>
      </c>
      <c r="J115" s="8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8" t="s">
        <v>1607</v>
      </c>
      <c r="E116" s="8" t="s">
        <v>8</v>
      </c>
      <c r="F116" s="8"/>
      <c r="H116" s="8"/>
      <c r="I116" s="8" t="s">
        <v>7038</v>
      </c>
      <c r="J116" s="8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8" t="s">
        <v>4</v>
      </c>
      <c r="E117" s="8" t="s">
        <v>6439</v>
      </c>
      <c r="F117" s="8"/>
      <c r="H117" s="8"/>
      <c r="I117" s="8" t="s">
        <v>7322</v>
      </c>
      <c r="J117" s="8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8" t="s">
        <v>5699</v>
      </c>
      <c r="E118" s="8" t="s">
        <v>4396</v>
      </c>
      <c r="F118" s="8" t="s">
        <v>7356</v>
      </c>
      <c r="H118" s="8"/>
      <c r="I118" s="8" t="s">
        <v>7325</v>
      </c>
      <c r="J118" s="8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8" t="s">
        <v>4</v>
      </c>
      <c r="E119" s="8" t="s">
        <v>8</v>
      </c>
      <c r="F119" s="8"/>
      <c r="H119" s="8"/>
      <c r="I119" s="8" t="s">
        <v>7328</v>
      </c>
      <c r="J119" s="8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8" t="s">
        <v>4</v>
      </c>
      <c r="E120" s="8" t="s">
        <v>7366</v>
      </c>
      <c r="F120" s="8"/>
      <c r="H120" s="8"/>
      <c r="I120" s="8" t="s">
        <v>7331</v>
      </c>
      <c r="J120" s="8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8" t="s">
        <v>4</v>
      </c>
      <c r="E121" s="8" t="s">
        <v>7366</v>
      </c>
      <c r="F121" s="8"/>
      <c r="H121" s="8"/>
      <c r="I121" s="8" t="s">
        <v>7334</v>
      </c>
      <c r="J121" s="8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8" t="s">
        <v>4</v>
      </c>
      <c r="E122" s="8" t="s">
        <v>8</v>
      </c>
      <c r="F122" s="8"/>
      <c r="H122" s="8"/>
      <c r="I122" s="8" t="s">
        <v>7337</v>
      </c>
      <c r="J122" s="8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8" t="s">
        <v>4</v>
      </c>
      <c r="E123" s="8" t="s">
        <v>6439</v>
      </c>
      <c r="F123" s="8"/>
      <c r="H123" s="8"/>
      <c r="I123" s="8" t="s">
        <v>7449</v>
      </c>
      <c r="J123" s="8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8" t="s">
        <v>4</v>
      </c>
      <c r="E124" s="8" t="s">
        <v>6439</v>
      </c>
      <c r="F124" s="8"/>
      <c r="H124" s="8"/>
      <c r="I124" s="8" t="s">
        <v>7452</v>
      </c>
      <c r="J124" s="8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8" t="s">
        <v>4</v>
      </c>
      <c r="E125" s="8" t="s">
        <v>6439</v>
      </c>
      <c r="F125" s="8"/>
      <c r="H125" s="8"/>
      <c r="I125" s="8" t="s">
        <v>7455</v>
      </c>
      <c r="J125" s="8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8" t="s">
        <v>4</v>
      </c>
      <c r="E126" s="8" t="s">
        <v>8</v>
      </c>
      <c r="F126" s="8"/>
      <c r="H126" s="8"/>
      <c r="I126" s="8" t="s">
        <v>7458</v>
      </c>
      <c r="J126" s="8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8" t="s">
        <v>4</v>
      </c>
      <c r="E127" s="8" t="s">
        <v>8</v>
      </c>
      <c r="F127" s="8"/>
      <c r="H127" s="8"/>
      <c r="I127" s="8" t="s">
        <v>7630</v>
      </c>
      <c r="J127" s="8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8" t="s">
        <v>4</v>
      </c>
      <c r="E128" s="8" t="s">
        <v>8</v>
      </c>
      <c r="F128" s="8"/>
      <c r="H128" s="8"/>
      <c r="I128" s="8" t="s">
        <v>7633</v>
      </c>
      <c r="J128" s="8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8" t="s">
        <v>4</v>
      </c>
      <c r="E129" s="8" t="s">
        <v>7366</v>
      </c>
      <c r="F129" s="8"/>
      <c r="H129" s="8"/>
      <c r="I129" s="8" t="s">
        <v>7636</v>
      </c>
      <c r="J129" s="8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8" t="s">
        <v>4</v>
      </c>
      <c r="E130" s="8" t="s">
        <v>7366</v>
      </c>
      <c r="F130" s="8"/>
      <c r="H130" s="8"/>
      <c r="I130" s="8" t="s">
        <v>7639</v>
      </c>
      <c r="J130" s="8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8" t="s">
        <v>4</v>
      </c>
      <c r="E131" s="8" t="s">
        <v>7366</v>
      </c>
      <c r="F131" s="8"/>
      <c r="H131" s="8"/>
      <c r="I131" s="8" t="s">
        <v>7642</v>
      </c>
      <c r="J131" s="8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8" t="s">
        <v>4</v>
      </c>
      <c r="E132" s="8" t="s">
        <v>7366</v>
      </c>
      <c r="F132" s="8"/>
      <c r="H132" s="8"/>
      <c r="I132" s="8" t="s">
        <v>7645</v>
      </c>
      <c r="J132" s="8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8" t="s">
        <v>4</v>
      </c>
      <c r="E133" s="8" t="s">
        <v>8</v>
      </c>
      <c r="F133" s="8"/>
      <c r="H133" s="8"/>
      <c r="I133" s="8" t="s">
        <v>7648</v>
      </c>
      <c r="J133" s="8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8" t="s">
        <v>1607</v>
      </c>
      <c r="E134" s="8" t="s">
        <v>8</v>
      </c>
      <c r="F134" s="8"/>
      <c r="H134" s="8"/>
      <c r="I134" s="8" t="s">
        <v>7731</v>
      </c>
      <c r="J134" s="8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8" t="s">
        <v>1607</v>
      </c>
      <c r="E135" s="8" t="s">
        <v>8</v>
      </c>
      <c r="F135" s="8"/>
      <c r="H135" s="8"/>
      <c r="I135" s="8" t="s">
        <v>7734</v>
      </c>
      <c r="J135" s="8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8" t="s">
        <v>1607</v>
      </c>
      <c r="E136" s="8" t="s">
        <v>8</v>
      </c>
      <c r="F136" s="8"/>
      <c r="H136" s="8"/>
      <c r="I136" s="8" t="s">
        <v>7881</v>
      </c>
      <c r="J136" s="8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8" t="s">
        <v>1607</v>
      </c>
      <c r="E137" s="8" t="s">
        <v>8</v>
      </c>
      <c r="F137" s="8"/>
      <c r="H137" s="8"/>
      <c r="I137" s="8" t="s">
        <v>7884</v>
      </c>
      <c r="J137" s="8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8" t="s">
        <v>1607</v>
      </c>
      <c r="E138" s="8" t="s">
        <v>8</v>
      </c>
      <c r="F138" s="8"/>
      <c r="H138" s="8"/>
      <c r="I138" s="8" t="s">
        <v>8072</v>
      </c>
      <c r="J138" s="8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8" t="s">
        <v>5699</v>
      </c>
      <c r="E139" s="8" t="s">
        <v>4396</v>
      </c>
      <c r="F139" s="8" t="s">
        <v>7356</v>
      </c>
      <c r="H139" s="8"/>
      <c r="I139" s="8" t="s">
        <v>8075</v>
      </c>
      <c r="J139" s="8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8" t="s">
        <v>4</v>
      </c>
      <c r="E140" s="8" t="s">
        <v>8</v>
      </c>
      <c r="F140" s="8"/>
      <c r="H140" s="8"/>
      <c r="I140" s="8" t="s">
        <v>8078</v>
      </c>
      <c r="J140" s="8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8" t="s">
        <v>4</v>
      </c>
      <c r="E141" s="8" t="s">
        <v>8</v>
      </c>
      <c r="F141" s="8"/>
      <c r="H141" s="8"/>
      <c r="I141" s="8" t="s">
        <v>8362</v>
      </c>
      <c r="J141" s="8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8" t="s">
        <v>4</v>
      </c>
      <c r="E142" s="8" t="s">
        <v>8</v>
      </c>
      <c r="F142" s="8"/>
      <c r="H142" s="8" t="s">
        <v>2352</v>
      </c>
      <c r="I142" s="8" t="s">
        <v>8365</v>
      </c>
      <c r="J142" s="8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8" t="s">
        <v>4</v>
      </c>
      <c r="E143" s="8" t="s">
        <v>8</v>
      </c>
      <c r="F143" s="8"/>
      <c r="H143" s="8" t="s">
        <v>2352</v>
      </c>
      <c r="I143" s="8" t="s">
        <v>8368</v>
      </c>
      <c r="J143" s="8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8" t="s">
        <v>1607</v>
      </c>
      <c r="E144" s="8" t="s">
        <v>8</v>
      </c>
      <c r="F144" s="8"/>
      <c r="H144" s="8"/>
      <c r="I144" s="8" t="s">
        <v>8403</v>
      </c>
      <c r="J144" s="8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8" t="s">
        <v>1607</v>
      </c>
      <c r="E145" s="8" t="s">
        <v>8</v>
      </c>
      <c r="F145" s="8"/>
      <c r="H145" s="8"/>
      <c r="I145" s="8" t="s">
        <v>8406</v>
      </c>
      <c r="J145" s="8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8" t="s">
        <v>1607</v>
      </c>
      <c r="E146" s="8" t="s">
        <v>8</v>
      </c>
      <c r="F146" s="8"/>
      <c r="H146" s="8"/>
      <c r="I146" s="8" t="s">
        <v>8514</v>
      </c>
      <c r="J146" s="8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8" t="s">
        <v>1607</v>
      </c>
      <c r="E147" s="8" t="s">
        <v>8</v>
      </c>
      <c r="F147" s="8"/>
      <c r="H147" s="8"/>
      <c r="I147" s="8" t="s">
        <v>8517</v>
      </c>
      <c r="J147" s="8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8" t="s">
        <v>1607</v>
      </c>
      <c r="E148" s="8" t="s">
        <v>8</v>
      </c>
      <c r="F148" s="8"/>
      <c r="H148" s="8"/>
      <c r="I148" s="8" t="s">
        <v>8702</v>
      </c>
      <c r="J148" s="8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8" t="s">
        <v>1607</v>
      </c>
      <c r="E149" s="8" t="s">
        <v>8</v>
      </c>
      <c r="F149" s="8"/>
      <c r="H149" s="8"/>
      <c r="I149" s="8" t="s">
        <v>8705</v>
      </c>
      <c r="J149" s="8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8" t="s">
        <v>1607</v>
      </c>
      <c r="E150" s="8" t="s">
        <v>8</v>
      </c>
      <c r="F150" s="8"/>
      <c r="H150" s="8"/>
      <c r="I150" s="8" t="s">
        <v>8805</v>
      </c>
      <c r="J150" s="8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8" t="s">
        <v>1617</v>
      </c>
      <c r="E151" s="8"/>
      <c r="F151" s="8"/>
      <c r="H151" s="8"/>
      <c r="I151" s="8" t="s">
        <v>8848</v>
      </c>
      <c r="J151" s="8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8" t="s">
        <v>1607</v>
      </c>
      <c r="E152" s="8" t="s">
        <v>8</v>
      </c>
      <c r="F152" s="8"/>
      <c r="H152" s="8"/>
      <c r="I152" s="8" t="s">
        <v>8851</v>
      </c>
      <c r="J152" s="8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8" t="s">
        <v>1607</v>
      </c>
      <c r="E153" s="8" t="s">
        <v>8</v>
      </c>
      <c r="F153" s="8"/>
      <c r="H153" s="8"/>
      <c r="I153" s="8" t="s">
        <v>9108</v>
      </c>
      <c r="J153" s="8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8" t="s">
        <v>4</v>
      </c>
      <c r="E154" s="8" t="s">
        <v>8</v>
      </c>
      <c r="F154" s="8"/>
      <c r="H154" s="8"/>
      <c r="I154" s="8" t="s">
        <v>9111</v>
      </c>
      <c r="J154" s="8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8" t="s">
        <v>137</v>
      </c>
      <c r="E155" s="8" t="s">
        <v>9141</v>
      </c>
      <c r="F155" s="8"/>
      <c r="H155" s="8"/>
      <c r="I155" s="8" t="s">
        <v>9114</v>
      </c>
      <c r="J155" s="8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8" t="s">
        <v>4</v>
      </c>
      <c r="E156" s="8" t="s">
        <v>8</v>
      </c>
      <c r="F156" s="8"/>
      <c r="H156" s="8"/>
      <c r="I156" s="8" t="s">
        <v>9117</v>
      </c>
      <c r="J156" s="8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8" t="s">
        <v>4</v>
      </c>
      <c r="E157" s="8" t="s">
        <v>8</v>
      </c>
      <c r="F157" s="8"/>
      <c r="H157" s="8"/>
      <c r="I157" s="8" t="s">
        <v>9120</v>
      </c>
      <c r="J157" s="8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8" t="s">
        <v>9142</v>
      </c>
      <c r="E158" s="8"/>
      <c r="F158" s="8"/>
      <c r="H158" s="8"/>
      <c r="I158" s="8" t="s">
        <v>9123</v>
      </c>
      <c r="J158" s="8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8" t="s">
        <v>4</v>
      </c>
      <c r="E159" s="8" t="s">
        <v>9143</v>
      </c>
      <c r="F159" s="8"/>
      <c r="H159" s="8"/>
      <c r="I159" s="8" t="s">
        <v>9126</v>
      </c>
      <c r="J159" s="8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8" t="s">
        <v>4</v>
      </c>
      <c r="E160" s="8" t="s">
        <v>9141</v>
      </c>
      <c r="F160" s="8"/>
      <c r="H160" s="8"/>
      <c r="I160" s="8" t="s">
        <v>9242</v>
      </c>
      <c r="J160" s="8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8" t="s">
        <v>4</v>
      </c>
      <c r="E161" s="8" t="s">
        <v>9324</v>
      </c>
      <c r="F161" s="8"/>
      <c r="H161" s="8"/>
      <c r="I161" s="8" t="s">
        <v>9245</v>
      </c>
      <c r="J161" s="8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8" t="s">
        <v>9325</v>
      </c>
      <c r="E162" s="8"/>
      <c r="F162" s="8"/>
      <c r="H162" s="8"/>
      <c r="I162" s="8" t="s">
        <v>9248</v>
      </c>
      <c r="J162" s="8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8" t="s">
        <v>4</v>
      </c>
      <c r="E163" s="8" t="s">
        <v>8</v>
      </c>
      <c r="F163" s="8"/>
      <c r="H163" s="8"/>
      <c r="I163" s="8" t="s">
        <v>9251</v>
      </c>
      <c r="J163" s="8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8" t="s">
        <v>1607</v>
      </c>
      <c r="E164" s="8" t="s">
        <v>8</v>
      </c>
      <c r="F164" s="8"/>
      <c r="H164" s="8"/>
      <c r="I164" s="8" t="s">
        <v>9406</v>
      </c>
      <c r="J164" s="8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8" t="s">
        <v>1607</v>
      </c>
      <c r="E165" s="8" t="s">
        <v>8</v>
      </c>
      <c r="F165" s="8"/>
      <c r="H165" s="8"/>
      <c r="I165" s="8" t="s">
        <v>9409</v>
      </c>
      <c r="J165" s="8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8" t="s">
        <v>4</v>
      </c>
      <c r="E166" s="8" t="s">
        <v>8</v>
      </c>
      <c r="F166" s="8"/>
      <c r="H166" s="8"/>
      <c r="I166" s="8" t="s">
        <v>9486</v>
      </c>
      <c r="J166" s="8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8" t="s">
        <v>4</v>
      </c>
      <c r="E167" s="8" t="s">
        <v>8</v>
      </c>
      <c r="F167" s="8"/>
      <c r="H167" s="8"/>
      <c r="I167" s="8" t="s">
        <v>9489</v>
      </c>
      <c r="J167" s="8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8" t="s">
        <v>137</v>
      </c>
      <c r="E168" s="8" t="s">
        <v>9597</v>
      </c>
      <c r="F168" s="8"/>
      <c r="H168" s="8"/>
      <c r="I168" s="8" t="s">
        <v>9492</v>
      </c>
      <c r="J168" s="8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8" t="s">
        <v>4</v>
      </c>
      <c r="E169" s="8" t="s">
        <v>8</v>
      </c>
      <c r="F169" s="8"/>
      <c r="H169" s="8"/>
      <c r="I169" s="8" t="s">
        <v>9495</v>
      </c>
      <c r="J169" s="8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8" t="s">
        <v>4921</v>
      </c>
      <c r="E170" s="8" t="s">
        <v>3358</v>
      </c>
      <c r="F170" s="8"/>
      <c r="H170" s="8"/>
      <c r="I170" s="8" t="s">
        <v>9498</v>
      </c>
      <c r="J170" s="8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8" t="s">
        <v>9596</v>
      </c>
      <c r="E171" s="8" t="s">
        <v>3358</v>
      </c>
      <c r="F171" s="8"/>
      <c r="H171" s="8"/>
      <c r="I171" s="8" t="s">
        <v>9501</v>
      </c>
      <c r="J171" s="8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8" t="s">
        <v>4</v>
      </c>
      <c r="E172" s="8" t="s">
        <v>8</v>
      </c>
      <c r="F172" s="8"/>
      <c r="H172" s="8"/>
      <c r="I172" s="8" t="s">
        <v>9504</v>
      </c>
      <c r="J172" s="8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8" t="s">
        <v>588</v>
      </c>
      <c r="E173" s="8" t="s">
        <v>86</v>
      </c>
      <c r="F173" s="8"/>
      <c r="H173" s="8"/>
      <c r="I173" s="8" t="s">
        <v>9507</v>
      </c>
      <c r="J173" s="8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8" t="s">
        <v>588</v>
      </c>
      <c r="E174" s="8" t="s">
        <v>86</v>
      </c>
      <c r="F174" s="8"/>
      <c r="H174" s="8" t="s">
        <v>2352</v>
      </c>
      <c r="I174" s="8" t="s">
        <v>9509</v>
      </c>
      <c r="J174" s="8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8" t="s">
        <v>9603</v>
      </c>
      <c r="E175" s="8" t="s">
        <v>86</v>
      </c>
      <c r="F175" s="8"/>
      <c r="H175" s="8"/>
      <c r="I175" s="8" t="s">
        <v>9512</v>
      </c>
      <c r="J175" s="8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8" t="s">
        <v>588</v>
      </c>
      <c r="E176" s="8" t="s">
        <v>86</v>
      </c>
      <c r="F176" s="8"/>
      <c r="H176" s="8"/>
      <c r="I176" s="8" t="s">
        <v>9610</v>
      </c>
      <c r="J176" s="8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8" t="s">
        <v>1607</v>
      </c>
      <c r="E177" s="8" t="s">
        <v>8</v>
      </c>
      <c r="F177" s="8"/>
      <c r="H177" s="8"/>
      <c r="I177" s="8" t="s">
        <v>9613</v>
      </c>
      <c r="J177" s="8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8" t="s">
        <v>1607</v>
      </c>
      <c r="E178" s="8" t="s">
        <v>8</v>
      </c>
      <c r="F178" s="8"/>
      <c r="H178" s="8"/>
      <c r="I178" s="8" t="s">
        <v>9694</v>
      </c>
      <c r="J178" s="8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8" t="s">
        <v>4</v>
      </c>
      <c r="E179" s="8" t="s">
        <v>10021</v>
      </c>
      <c r="F179" s="8"/>
      <c r="H179" s="8"/>
      <c r="I179" s="8" t="s">
        <v>9938</v>
      </c>
      <c r="J179" s="8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8" t="s">
        <v>588</v>
      </c>
      <c r="E180" s="8" t="s">
        <v>86</v>
      </c>
      <c r="F180" s="8"/>
      <c r="H180" s="8"/>
      <c r="I180" s="8" t="s">
        <v>9941</v>
      </c>
      <c r="J180" s="8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8" t="s">
        <v>588</v>
      </c>
      <c r="E181" s="8" t="s">
        <v>86</v>
      </c>
      <c r="F181" s="8"/>
      <c r="H181" s="8"/>
      <c r="I181" s="8" t="s">
        <v>9944</v>
      </c>
      <c r="J181" s="8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8" t="s">
        <v>9600</v>
      </c>
      <c r="E182" s="8"/>
      <c r="F182" s="8"/>
      <c r="H182" s="8"/>
      <c r="I182" s="8" t="s">
        <v>9947</v>
      </c>
      <c r="J182" s="8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8" t="s">
        <v>1539</v>
      </c>
      <c r="E183" s="8" t="s">
        <v>468</v>
      </c>
      <c r="F183" s="8"/>
      <c r="H183" s="8"/>
      <c r="I183" s="8" t="s">
        <v>9950</v>
      </c>
      <c r="J183" s="8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8" t="s">
        <v>1539</v>
      </c>
      <c r="E184" s="8" t="s">
        <v>468</v>
      </c>
      <c r="F184" s="8"/>
      <c r="H184" s="8"/>
      <c r="I184" s="8" t="s">
        <v>9953</v>
      </c>
      <c r="J184" s="8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8" t="s">
        <v>588</v>
      </c>
      <c r="E185" s="8" t="s">
        <v>86</v>
      </c>
      <c r="F185" s="8"/>
      <c r="H185" s="8"/>
      <c r="I185" s="8" t="s">
        <v>9956</v>
      </c>
      <c r="J185" s="8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8" t="s">
        <v>588</v>
      </c>
      <c r="E186" s="8" t="s">
        <v>86</v>
      </c>
      <c r="F186" s="8"/>
      <c r="H186" s="8"/>
      <c r="I186" s="8" t="s">
        <v>9959</v>
      </c>
      <c r="J186" s="8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8" t="s">
        <v>1539</v>
      </c>
      <c r="E187" s="8" t="s">
        <v>468</v>
      </c>
      <c r="F187" s="8"/>
      <c r="H187" s="8"/>
      <c r="I187" s="8" t="s">
        <v>9962</v>
      </c>
      <c r="J187" s="8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8" t="s">
        <v>1539</v>
      </c>
      <c r="E188" s="8" t="s">
        <v>468</v>
      </c>
      <c r="F188" s="8"/>
      <c r="H188" s="8"/>
      <c r="I188" s="8" t="s">
        <v>9965</v>
      </c>
      <c r="J188" s="8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8" t="s">
        <v>1539</v>
      </c>
      <c r="E189" s="8" t="s">
        <v>468</v>
      </c>
      <c r="F189" s="8"/>
      <c r="H189" s="8"/>
      <c r="I189" s="8" t="s">
        <v>9968</v>
      </c>
      <c r="J189" s="8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8" t="s">
        <v>588</v>
      </c>
      <c r="E190" s="8" t="s">
        <v>86</v>
      </c>
      <c r="F190" s="8"/>
      <c r="H190" s="8"/>
      <c r="I190" s="8" t="s">
        <v>10045</v>
      </c>
      <c r="J190" s="8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8" t="s">
        <v>588</v>
      </c>
      <c r="E191" s="8" t="s">
        <v>86</v>
      </c>
      <c r="F191" s="8"/>
      <c r="H191" s="8"/>
      <c r="I191" s="8" t="s">
        <v>10048</v>
      </c>
      <c r="J191" s="8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8" t="s">
        <v>10134</v>
      </c>
      <c r="E192" s="8" t="s">
        <v>3358</v>
      </c>
      <c r="F192" s="8"/>
      <c r="H192" s="8"/>
      <c r="I192" s="8" t="s">
        <v>10051</v>
      </c>
      <c r="J192" s="8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8" t="s">
        <v>4921</v>
      </c>
      <c r="E193" s="8" t="s">
        <v>3358</v>
      </c>
      <c r="F193" s="8"/>
      <c r="H193" s="8"/>
      <c r="I193" s="8" t="s">
        <v>10054</v>
      </c>
      <c r="J193" s="8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8" t="s">
        <v>226</v>
      </c>
      <c r="E194" s="8" t="s">
        <v>10132</v>
      </c>
      <c r="F194" s="8" t="s">
        <v>10242</v>
      </c>
      <c r="H194" s="8" t="s">
        <v>10135</v>
      </c>
      <c r="I194" s="8" t="s">
        <v>10057</v>
      </c>
      <c r="J194" s="8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8" t="s">
        <v>226</v>
      </c>
      <c r="E195" s="8" t="s">
        <v>10132</v>
      </c>
      <c r="F195" s="8" t="s">
        <v>10242</v>
      </c>
      <c r="H195" s="8" t="s">
        <v>2352</v>
      </c>
      <c r="I195" s="8" t="s">
        <v>10060</v>
      </c>
      <c r="J195" s="8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8" t="s">
        <v>226</v>
      </c>
      <c r="E196" s="8" t="s">
        <v>10132</v>
      </c>
      <c r="F196" s="8" t="s">
        <v>10243</v>
      </c>
      <c r="H196" s="8" t="s">
        <v>10136</v>
      </c>
      <c r="I196" s="8" t="s">
        <v>10063</v>
      </c>
      <c r="J196" s="8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8" t="s">
        <v>1539</v>
      </c>
      <c r="E197" s="8" t="s">
        <v>1274</v>
      </c>
      <c r="F197" s="8"/>
      <c r="H197" s="8"/>
      <c r="I197" s="8" t="s">
        <v>10203</v>
      </c>
      <c r="J197" s="8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8" t="s">
        <v>588</v>
      </c>
      <c r="E198" s="8" t="s">
        <v>86</v>
      </c>
      <c r="F198" s="8"/>
      <c r="H198" s="8"/>
      <c r="I198" s="8" t="s">
        <v>10206</v>
      </c>
      <c r="J198" s="8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8" t="s">
        <v>588</v>
      </c>
      <c r="E199" s="8" t="s">
        <v>86</v>
      </c>
      <c r="F199" s="8"/>
      <c r="H199" s="8"/>
      <c r="I199" s="8" t="s">
        <v>10209</v>
      </c>
      <c r="J199" s="8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8" t="s">
        <v>4</v>
      </c>
      <c r="E200" s="8" t="s">
        <v>8</v>
      </c>
      <c r="F200" s="8"/>
      <c r="H200" s="8"/>
      <c r="I200" s="8" t="s">
        <v>10301</v>
      </c>
      <c r="J200" s="8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8" t="s">
        <v>1607</v>
      </c>
      <c r="E201" s="8" t="s">
        <v>8</v>
      </c>
      <c r="F201" s="8"/>
      <c r="H201" s="8"/>
      <c r="I201" s="8" t="s">
        <v>10304</v>
      </c>
      <c r="J201" s="8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8" t="s">
        <v>1607</v>
      </c>
      <c r="E202" s="8" t="s">
        <v>8</v>
      </c>
      <c r="F202" s="8"/>
      <c r="H202" s="8"/>
      <c r="I202" s="8" t="s">
        <v>10307</v>
      </c>
      <c r="J202" s="8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8" t="s">
        <v>1607</v>
      </c>
      <c r="E203" s="8" t="s">
        <v>8</v>
      </c>
      <c r="F203" s="8"/>
      <c r="H203" s="8"/>
      <c r="I203" s="8" t="s">
        <v>10553</v>
      </c>
      <c r="J203" s="8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8" t="s">
        <v>1607</v>
      </c>
      <c r="E204" s="8" t="s">
        <v>8</v>
      </c>
      <c r="F204" s="8"/>
      <c r="H204" s="8"/>
      <c r="I204" s="8" t="s">
        <v>10853</v>
      </c>
      <c r="J204" s="8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8" t="s">
        <v>11073</v>
      </c>
      <c r="E205" s="8" t="s">
        <v>86</v>
      </c>
      <c r="F205" s="8"/>
      <c r="H205" s="8"/>
      <c r="I205" s="8" t="s">
        <v>10856</v>
      </c>
      <c r="J205" s="8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8" t="s">
        <v>11073</v>
      </c>
      <c r="E206" s="8" t="s">
        <v>86</v>
      </c>
      <c r="F206" s="8"/>
      <c r="H206" s="8"/>
      <c r="I206" s="8" t="s">
        <v>10859</v>
      </c>
      <c r="J206" s="8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8" t="s">
        <v>4</v>
      </c>
      <c r="E207" s="8" t="s">
        <v>8</v>
      </c>
      <c r="F207" s="8"/>
      <c r="H207" s="8"/>
      <c r="I207" s="8" t="s">
        <v>10862</v>
      </c>
      <c r="J207" s="8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8" t="s">
        <v>588</v>
      </c>
      <c r="E208" s="8" t="s">
        <v>86</v>
      </c>
      <c r="F208" s="8"/>
      <c r="H208" s="8"/>
      <c r="I208" s="8" t="s">
        <v>13573</v>
      </c>
      <c r="J208" s="8" t="s">
        <v>2400</v>
      </c>
      <c r="K208" t="s">
        <v>13574</v>
      </c>
      <c r="L208" t="s">
        <v>13575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8" t="s">
        <v>588</v>
      </c>
      <c r="E209" s="8" t="s">
        <v>86</v>
      </c>
      <c r="F209" s="8"/>
      <c r="H209" s="8"/>
      <c r="I209" s="8" t="s">
        <v>13576</v>
      </c>
      <c r="J209" s="8" t="s">
        <v>2400</v>
      </c>
      <c r="K209" t="s">
        <v>13577</v>
      </c>
      <c r="L209" t="s">
        <v>13578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8" t="s">
        <v>4</v>
      </c>
      <c r="E210" s="8" t="s">
        <v>8</v>
      </c>
      <c r="F210" s="8"/>
      <c r="H210" s="8"/>
      <c r="I210" s="8" t="s">
        <v>13579</v>
      </c>
      <c r="J210" s="8" t="s">
        <v>2400</v>
      </c>
      <c r="K210" t="s">
        <v>13580</v>
      </c>
      <c r="L210" t="s">
        <v>13581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8" t="s">
        <v>588</v>
      </c>
      <c r="E211" s="8" t="s">
        <v>86</v>
      </c>
      <c r="F211" s="8"/>
      <c r="H211" s="8"/>
      <c r="I211" s="8" t="s">
        <v>13582</v>
      </c>
      <c r="J211" s="8" t="s">
        <v>2400</v>
      </c>
      <c r="K211" t="s">
        <v>13583</v>
      </c>
      <c r="L211" t="s">
        <v>13584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8" t="s">
        <v>4</v>
      </c>
      <c r="E212" s="8" t="s">
        <v>8</v>
      </c>
      <c r="F212" s="8"/>
      <c r="H212" s="8"/>
      <c r="I212" s="8" t="s">
        <v>13585</v>
      </c>
      <c r="J212" s="8" t="s">
        <v>2400</v>
      </c>
      <c r="K212" t="s">
        <v>13586</v>
      </c>
      <c r="L212" t="s">
        <v>13587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8" t="s">
        <v>4</v>
      </c>
      <c r="E213" s="8" t="s">
        <v>8</v>
      </c>
      <c r="F213" s="8"/>
      <c r="H213" s="8"/>
      <c r="I213" s="8" t="s">
        <v>13991</v>
      </c>
      <c r="J213" s="8" t="s">
        <v>2400</v>
      </c>
      <c r="K213" t="s">
        <v>13992</v>
      </c>
      <c r="L213" t="s">
        <v>13993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8" t="s">
        <v>1607</v>
      </c>
      <c r="E214" s="8" t="s">
        <v>8</v>
      </c>
      <c r="F214" s="8"/>
      <c r="H214" s="8"/>
      <c r="I214" s="8" t="s">
        <v>13994</v>
      </c>
      <c r="J214" s="8" t="s">
        <v>2400</v>
      </c>
      <c r="K214" t="s">
        <v>13995</v>
      </c>
      <c r="L214" t="s">
        <v>13996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8" t="s">
        <v>1607</v>
      </c>
      <c r="E215" s="8" t="s">
        <v>8</v>
      </c>
      <c r="F215" s="8"/>
      <c r="H215" s="8"/>
      <c r="I215" s="8" t="s">
        <v>13997</v>
      </c>
      <c r="J215" s="8" t="s">
        <v>2400</v>
      </c>
      <c r="K215" t="s">
        <v>13998</v>
      </c>
      <c r="L215" t="s">
        <v>13999</v>
      </c>
      <c r="M215" s="2" t="str">
        <f>HYPERLINK(склад2въезд131920212223789[[#This Row],[RelativePath]])</f>
        <v>13 Склад хол\K07156189_23_20260301T194018Z.jpg</v>
      </c>
    </row>
  </sheetData>
  <conditionalFormatting sqref="D216:D226 E216:E229 G2:H215 D2:E215">
    <cfRule type="containsText" dxfId="749" priority="14" operator="containsText" text="Выезд с территории">
      <formula>NOT(ISERROR(SEARCH("Выезд с территории",D2)))</formula>
    </cfRule>
  </conditionalFormatting>
  <conditionalFormatting sqref="F2:F215">
    <cfRule type="notContainsText" dxfId="748" priority="13" operator="notContains" text="порожний">
      <formula>ISERROR(SEARCH("порожний",F2))</formula>
    </cfRule>
  </conditionalFormatting>
  <conditionalFormatting sqref="E2:E229">
    <cfRule type="containsText" dxfId="747" priority="11" operator="containsText" text="Газель базы">
      <formula>NOT(ISERROR(SEARCH("Газель базы",E2)))</formula>
    </cfRule>
    <cfRule type="containsText" dxfId="746" priority="12" operator="containsText" text="Погрузчик базы">
      <formula>NOT(ISERROR(SEARCH("Погрузчик базы",E2)))</formula>
    </cfRule>
  </conditionalFormatting>
  <conditionalFormatting sqref="E2:E229">
    <cfRule type="containsText" dxfId="745" priority="10" operator="containsText" text="Трактор базы">
      <formula>NOT(ISERROR(SEARCH("Трактор базы",E2)))</formula>
    </cfRule>
  </conditionalFormatting>
  <conditionalFormatting sqref="A2:C215">
    <cfRule type="expression" dxfId="744" priority="9">
      <formula>$A2="пн"</formula>
    </cfRule>
  </conditionalFormatting>
  <conditionalFormatting sqref="A2:C217">
    <cfRule type="expression" dxfId="743" priority="3">
      <formula>$A2="вс"</formula>
    </cfRule>
    <cfRule type="expression" dxfId="742" priority="4">
      <formula>$A2="сб"</formula>
    </cfRule>
    <cfRule type="expression" dxfId="741" priority="5">
      <formula>$A2="пт"</formula>
    </cfRule>
    <cfRule type="expression" dxfId="740" priority="6">
      <formula>$A2="чт"</formula>
    </cfRule>
    <cfRule type="expression" dxfId="739" priority="7">
      <formula>$A2="ср"</formula>
    </cfRule>
    <cfRule type="expression" dxfId="738" priority="8">
      <formula>$A2="вт"</formula>
    </cfRule>
  </conditionalFormatting>
  <conditionalFormatting sqref="D2:D226">
    <cfRule type="containsText" dxfId="73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6">
    <cfRule type="containsText" dxfId="73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52"/>
  <sheetViews>
    <sheetView zoomScale="90" zoomScaleNormal="90" workbookViewId="0">
      <pane ySplit="1" topLeftCell="A32" activePane="bottomLeft" state="frozen"/>
      <selection pane="bottomLeft" activeCell="I44" sqref="I44:I5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2.42578125" bestFit="1" customWidth="1"/>
    <col min="5" max="5" width="36.28515625" bestFit="1" customWidth="1"/>
    <col min="6" max="6" width="24.140625" bestFit="1" customWidth="1"/>
    <col min="7" max="7" width="7.28515625" style="7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8" t="s">
        <v>4</v>
      </c>
      <c r="E2" s="8" t="s">
        <v>8</v>
      </c>
      <c r="F2" s="8"/>
      <c r="H2" s="8"/>
      <c r="I2" s="8" t="s">
        <v>9823</v>
      </c>
      <c r="J2" s="8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8" t="s">
        <v>10023</v>
      </c>
      <c r="E3" s="8" t="s">
        <v>10011</v>
      </c>
      <c r="F3" s="8"/>
      <c r="H3" s="8"/>
      <c r="I3" s="8" t="s">
        <v>9826</v>
      </c>
      <c r="J3" s="8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8" t="s">
        <v>4</v>
      </c>
      <c r="E4" s="8" t="s">
        <v>8</v>
      </c>
      <c r="F4" s="8"/>
      <c r="H4" s="8"/>
      <c r="I4" s="8" t="s">
        <v>10137</v>
      </c>
      <c r="J4" s="8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8" t="s">
        <v>9600</v>
      </c>
      <c r="E5" s="8"/>
      <c r="F5" s="8"/>
      <c r="H5" s="8"/>
      <c r="I5" s="8" t="s">
        <v>10140</v>
      </c>
      <c r="J5" s="8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8" t="s">
        <v>10241</v>
      </c>
      <c r="E6" s="8" t="s">
        <v>86</v>
      </c>
      <c r="F6" s="8"/>
      <c r="H6" s="8"/>
      <c r="I6" s="8" t="s">
        <v>10212</v>
      </c>
      <c r="J6" s="8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8" t="s">
        <v>7</v>
      </c>
      <c r="E7" s="8"/>
      <c r="F7" s="8"/>
      <c r="H7" s="8"/>
      <c r="I7" s="8" t="s">
        <v>10215</v>
      </c>
      <c r="J7" s="8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8" t="s">
        <v>4</v>
      </c>
      <c r="E8" s="8" t="s">
        <v>8</v>
      </c>
      <c r="F8" s="8"/>
      <c r="H8" s="8"/>
      <c r="I8" s="8" t="s">
        <v>10218</v>
      </c>
      <c r="J8" s="8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8" t="s">
        <v>4</v>
      </c>
      <c r="E9" s="8" t="s">
        <v>8</v>
      </c>
      <c r="F9" s="8"/>
      <c r="H9" s="8" t="s">
        <v>2352</v>
      </c>
      <c r="I9" s="8" t="s">
        <v>10221</v>
      </c>
      <c r="J9" s="8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8" t="s">
        <v>4</v>
      </c>
      <c r="E10" s="8" t="s">
        <v>8</v>
      </c>
      <c r="F10" s="8"/>
      <c r="H10" s="8" t="s">
        <v>2352</v>
      </c>
      <c r="I10" s="8" t="s">
        <v>10224</v>
      </c>
      <c r="J10" s="8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8" t="s">
        <v>10020</v>
      </c>
      <c r="E11" s="8"/>
      <c r="F11" s="8"/>
      <c r="H11" s="8"/>
      <c r="I11" s="8" t="s">
        <v>10227</v>
      </c>
      <c r="J11" s="8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8" t="s">
        <v>10020</v>
      </c>
      <c r="E12" s="8"/>
      <c r="F12" s="8"/>
      <c r="H12" s="8"/>
      <c r="I12" s="8" t="s">
        <v>10230</v>
      </c>
      <c r="J12" s="8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8" t="s">
        <v>4</v>
      </c>
      <c r="E13" s="8" t="s">
        <v>8</v>
      </c>
      <c r="F13" s="8"/>
      <c r="H13" s="8"/>
      <c r="I13" s="8" t="s">
        <v>10233</v>
      </c>
      <c r="J13" s="8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8" t="s">
        <v>10020</v>
      </c>
      <c r="E14" s="8"/>
      <c r="F14" s="8"/>
      <c r="H14" s="8"/>
      <c r="I14" s="8" t="s">
        <v>10310</v>
      </c>
      <c r="J14" s="8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8" t="s">
        <v>10020</v>
      </c>
      <c r="E15" s="8"/>
      <c r="F15" s="8"/>
      <c r="H15" s="8"/>
      <c r="I15" s="8" t="s">
        <v>10313</v>
      </c>
      <c r="J15" s="8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8" t="s">
        <v>10020</v>
      </c>
      <c r="E16" s="8"/>
      <c r="F16" s="8"/>
      <c r="H16" s="8"/>
      <c r="I16" s="8" t="s">
        <v>10316</v>
      </c>
      <c r="J16" s="8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8" t="s">
        <v>10020</v>
      </c>
      <c r="E17" s="8"/>
      <c r="F17" s="8"/>
      <c r="H17" s="8"/>
      <c r="I17" s="8" t="s">
        <v>10319</v>
      </c>
      <c r="J17" s="8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8" t="s">
        <v>10020</v>
      </c>
      <c r="E18" s="8"/>
      <c r="F18" s="8"/>
      <c r="H18" s="8"/>
      <c r="I18" s="8" t="s">
        <v>10322</v>
      </c>
      <c r="J18" s="8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8" t="s">
        <v>10020</v>
      </c>
      <c r="E19" s="8"/>
      <c r="F19" s="8"/>
      <c r="H19" s="8"/>
      <c r="I19" s="8" t="s">
        <v>10325</v>
      </c>
      <c r="J19" s="8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8" t="s">
        <v>10020</v>
      </c>
      <c r="E20" s="8"/>
      <c r="F20" s="8"/>
      <c r="H20" s="8"/>
      <c r="I20" s="8" t="s">
        <v>10328</v>
      </c>
      <c r="J20" s="8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8" t="s">
        <v>10020</v>
      </c>
      <c r="E21" s="8"/>
      <c r="F21" s="8"/>
      <c r="H21" s="8"/>
      <c r="I21" s="8" t="s">
        <v>10331</v>
      </c>
      <c r="J21" s="8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8" t="s">
        <v>4</v>
      </c>
      <c r="E22" s="8" t="s">
        <v>8</v>
      </c>
      <c r="F22" s="8"/>
      <c r="H22" s="8"/>
      <c r="I22" s="8" t="s">
        <v>10334</v>
      </c>
      <c r="J22" s="8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8" t="s">
        <v>10020</v>
      </c>
      <c r="E23" s="8"/>
      <c r="F23" s="8"/>
      <c r="H23" s="8"/>
      <c r="I23" s="8" t="s">
        <v>10337</v>
      </c>
      <c r="J23" s="8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8" t="s">
        <v>10020</v>
      </c>
      <c r="E24" s="8"/>
      <c r="F24" s="8"/>
      <c r="H24" s="8"/>
      <c r="I24" s="8" t="s">
        <v>10340</v>
      </c>
      <c r="J24" s="8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8" t="s">
        <v>10020</v>
      </c>
      <c r="E25" s="8"/>
      <c r="F25" s="8"/>
      <c r="H25" s="8"/>
      <c r="I25" s="8" t="s">
        <v>10343</v>
      </c>
      <c r="J25" s="8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8" t="s">
        <v>10020</v>
      </c>
      <c r="E26" s="8"/>
      <c r="F26" s="8"/>
      <c r="H26" s="8"/>
      <c r="I26" s="8" t="s">
        <v>10346</v>
      </c>
      <c r="J26" s="8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8" t="s">
        <v>10020</v>
      </c>
      <c r="E27" s="8"/>
      <c r="F27" s="8"/>
      <c r="H27" s="8"/>
      <c r="I27" s="8" t="s">
        <v>10349</v>
      </c>
      <c r="J27" s="8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8" t="s">
        <v>4</v>
      </c>
      <c r="E28" s="8" t="s">
        <v>8</v>
      </c>
      <c r="F28" s="8"/>
      <c r="H28" s="8"/>
      <c r="I28" s="8" t="s">
        <v>10352</v>
      </c>
      <c r="J28" s="8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8" t="s">
        <v>10020</v>
      </c>
      <c r="E29" s="8"/>
      <c r="F29" s="8"/>
      <c r="H29" s="8"/>
      <c r="I29" s="8" t="s">
        <v>10556</v>
      </c>
      <c r="J29" s="8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8" t="s">
        <v>10020</v>
      </c>
      <c r="E30" s="8"/>
      <c r="F30" s="8"/>
      <c r="H30" s="8"/>
      <c r="I30" s="8" t="s">
        <v>10559</v>
      </c>
      <c r="J30" s="8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8" t="s">
        <v>4</v>
      </c>
      <c r="E31" s="8" t="s">
        <v>8</v>
      </c>
      <c r="F31" s="8"/>
      <c r="H31" s="8"/>
      <c r="I31" s="8" t="s">
        <v>10562</v>
      </c>
      <c r="J31" s="8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8" t="s">
        <v>4</v>
      </c>
      <c r="E32" s="8" t="s">
        <v>8</v>
      </c>
      <c r="F32" s="8"/>
      <c r="H32" s="8" t="s">
        <v>2352</v>
      </c>
      <c r="I32" s="8" t="s">
        <v>10838</v>
      </c>
      <c r="J32" s="8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8" t="s">
        <v>4</v>
      </c>
      <c r="E33" s="8" t="s">
        <v>8</v>
      </c>
      <c r="F33" s="8"/>
      <c r="H33" s="8" t="s">
        <v>2352</v>
      </c>
      <c r="I33" s="8" t="s">
        <v>10841</v>
      </c>
      <c r="J33" s="8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8" t="s">
        <v>4</v>
      </c>
      <c r="E34" s="8" t="s">
        <v>8</v>
      </c>
      <c r="F34" s="8"/>
      <c r="H34" s="8" t="s">
        <v>2352</v>
      </c>
      <c r="I34" s="8" t="s">
        <v>10844</v>
      </c>
      <c r="J34" s="8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8" t="s">
        <v>4</v>
      </c>
      <c r="E35" s="8" t="s">
        <v>8</v>
      </c>
      <c r="F35" s="8"/>
      <c r="H35" s="8" t="s">
        <v>2352</v>
      </c>
      <c r="I35" s="8" t="s">
        <v>10847</v>
      </c>
      <c r="J35" s="8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8" t="s">
        <v>4</v>
      </c>
      <c r="E36" s="8" t="s">
        <v>8</v>
      </c>
      <c r="F36" s="8"/>
      <c r="H36" s="8" t="s">
        <v>2352</v>
      </c>
      <c r="I36" s="8" t="s">
        <v>10850</v>
      </c>
      <c r="J36" s="8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8" t="s">
        <v>4</v>
      </c>
      <c r="E37" s="8" t="s">
        <v>8</v>
      </c>
      <c r="F37" s="8"/>
      <c r="H37" s="8"/>
      <c r="I37" s="8" t="s">
        <v>13588</v>
      </c>
      <c r="J37" s="8" t="s">
        <v>10066</v>
      </c>
      <c r="K37" t="s">
        <v>13589</v>
      </c>
      <c r="L37" t="s">
        <v>13590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8" t="s">
        <v>1607</v>
      </c>
      <c r="E38" s="8" t="s">
        <v>8</v>
      </c>
      <c r="F38" s="8"/>
      <c r="H38" s="8"/>
      <c r="I38" s="8" t="s">
        <v>13591</v>
      </c>
      <c r="J38" s="8" t="s">
        <v>10066</v>
      </c>
      <c r="K38" t="s">
        <v>13592</v>
      </c>
      <c r="L38" t="s">
        <v>13593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8" t="s">
        <v>4</v>
      </c>
      <c r="E39" s="8" t="s">
        <v>8</v>
      </c>
      <c r="F39" s="8"/>
      <c r="H39" s="8"/>
      <c r="I39" s="8" t="s">
        <v>13594</v>
      </c>
      <c r="J39" s="8" t="s">
        <v>10066</v>
      </c>
      <c r="K39" t="s">
        <v>13595</v>
      </c>
      <c r="L39" t="s">
        <v>13596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8" t="s">
        <v>13899</v>
      </c>
      <c r="E40" s="8" t="s">
        <v>13844</v>
      </c>
      <c r="F40" s="8"/>
      <c r="H40" s="8"/>
      <c r="I40" s="8" t="s">
        <v>13597</v>
      </c>
      <c r="J40" s="8" t="s">
        <v>10066</v>
      </c>
      <c r="K40" t="s">
        <v>13598</v>
      </c>
      <c r="L40" t="s">
        <v>13599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8" t="s">
        <v>13899</v>
      </c>
      <c r="E41" s="8" t="s">
        <v>13844</v>
      </c>
      <c r="F41" s="8"/>
      <c r="H41" s="8"/>
      <c r="I41" s="8" t="s">
        <v>13600</v>
      </c>
      <c r="J41" s="8" t="s">
        <v>10066</v>
      </c>
      <c r="K41" t="s">
        <v>13601</v>
      </c>
      <c r="L41" t="s">
        <v>13602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8" t="s">
        <v>62</v>
      </c>
      <c r="E42" s="8" t="s">
        <v>13844</v>
      </c>
      <c r="F42" s="8" t="s">
        <v>13900</v>
      </c>
      <c r="H42" s="8"/>
      <c r="I42" s="8" t="s">
        <v>13603</v>
      </c>
      <c r="J42" s="8" t="s">
        <v>10066</v>
      </c>
      <c r="K42" t="s">
        <v>13604</v>
      </c>
      <c r="L42" t="s">
        <v>13605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8" t="s">
        <v>4</v>
      </c>
      <c r="E43" s="8" t="s">
        <v>8</v>
      </c>
      <c r="F43" s="8"/>
      <c r="H43" s="8"/>
      <c r="I43" s="8" t="s">
        <v>13606</v>
      </c>
      <c r="J43" s="8" t="s">
        <v>10066</v>
      </c>
      <c r="K43" t="s">
        <v>13607</v>
      </c>
      <c r="L43" t="s">
        <v>13608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8" t="s">
        <v>4</v>
      </c>
      <c r="E44" s="8" t="s">
        <v>8</v>
      </c>
      <c r="F44" s="8"/>
      <c r="H44" s="8"/>
      <c r="I44" s="8" t="s">
        <v>14000</v>
      </c>
      <c r="J44" s="8" t="s">
        <v>10066</v>
      </c>
      <c r="K44" t="s">
        <v>14001</v>
      </c>
      <c r="L44" t="s">
        <v>14002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8" t="s">
        <v>4</v>
      </c>
      <c r="E45" s="8" t="s">
        <v>8</v>
      </c>
      <c r="F45" s="8"/>
      <c r="H45" s="8"/>
      <c r="I45" s="8" t="s">
        <v>14003</v>
      </c>
      <c r="J45" s="8" t="s">
        <v>10066</v>
      </c>
      <c r="K45" t="s">
        <v>14004</v>
      </c>
      <c r="L45" t="s">
        <v>14005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8" t="s">
        <v>10020</v>
      </c>
      <c r="E46" s="8"/>
      <c r="F46" s="8"/>
      <c r="H46" s="8"/>
      <c r="I46" s="8" t="s">
        <v>14006</v>
      </c>
      <c r="J46" s="8" t="s">
        <v>10066</v>
      </c>
      <c r="K46" t="s">
        <v>14007</v>
      </c>
      <c r="L46" t="s">
        <v>14008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8" t="s">
        <v>4</v>
      </c>
      <c r="E47" s="8" t="s">
        <v>8</v>
      </c>
      <c r="F47" s="8"/>
      <c r="H47" s="8"/>
      <c r="I47" s="8" t="s">
        <v>14009</v>
      </c>
      <c r="J47" s="8" t="s">
        <v>10066</v>
      </c>
      <c r="K47" t="s">
        <v>14010</v>
      </c>
      <c r="L47" t="s">
        <v>14011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8" t="s">
        <v>10020</v>
      </c>
      <c r="E48" s="8"/>
      <c r="F48" s="8"/>
      <c r="H48" s="8"/>
      <c r="I48" s="8" t="s">
        <v>14012</v>
      </c>
      <c r="J48" s="8" t="s">
        <v>10066</v>
      </c>
      <c r="K48" t="s">
        <v>14013</v>
      </c>
      <c r="L48" t="s">
        <v>14014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8" t="s">
        <v>10020</v>
      </c>
      <c r="E49" s="8"/>
      <c r="F49" s="8"/>
      <c r="H49" s="8"/>
      <c r="I49" s="8" t="s">
        <v>14015</v>
      </c>
      <c r="J49" s="8" t="s">
        <v>10066</v>
      </c>
      <c r="K49" t="s">
        <v>14016</v>
      </c>
      <c r="L49" t="s">
        <v>14017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8" t="s">
        <v>10020</v>
      </c>
      <c r="E50" s="8"/>
      <c r="F50" s="8"/>
      <c r="H50" s="8"/>
      <c r="I50" s="8" t="s">
        <v>14018</v>
      </c>
      <c r="J50" s="8" t="s">
        <v>10066</v>
      </c>
      <c r="K50" t="s">
        <v>14019</v>
      </c>
      <c r="L50" t="s">
        <v>14020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8" t="s">
        <v>10020</v>
      </c>
      <c r="E51" s="8"/>
      <c r="F51" s="8"/>
      <c r="H51" s="8"/>
      <c r="I51" s="8" t="s">
        <v>14021</v>
      </c>
      <c r="J51" s="8" t="s">
        <v>10066</v>
      </c>
      <c r="K51" t="s">
        <v>14022</v>
      </c>
      <c r="L51" t="s">
        <v>14023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8" t="s">
        <v>4</v>
      </c>
      <c r="E52" s="8" t="s">
        <v>8</v>
      </c>
      <c r="F52" s="8"/>
      <c r="H52" s="8"/>
      <c r="I52" s="8" t="s">
        <v>14024</v>
      </c>
      <c r="J52" s="8" t="s">
        <v>10066</v>
      </c>
      <c r="K52" t="s">
        <v>14025</v>
      </c>
      <c r="L52" t="s">
        <v>14026</v>
      </c>
      <c r="M52" s="2" t="str">
        <f>HYPERLINK(склад2въезд131920212223789106[[#This Row],[RelativePath]])</f>
        <v>14 На гаражи\GD7678666_1_20260301T193112Z.jpg</v>
      </c>
    </row>
  </sheetData>
  <conditionalFormatting sqref="D53:D63 E53:E66 D2:E52 G2:H52">
    <cfRule type="containsText" dxfId="735" priority="14" operator="containsText" text="Выезд с территории">
      <formula>NOT(ISERROR(SEARCH("Выезд с территории",D2)))</formula>
    </cfRule>
  </conditionalFormatting>
  <conditionalFormatting sqref="F2:F52">
    <cfRule type="notContainsText" dxfId="734" priority="13" operator="notContains" text="порожний">
      <formula>ISERROR(SEARCH("порожний",F2))</formula>
    </cfRule>
  </conditionalFormatting>
  <conditionalFormatting sqref="E2:E66">
    <cfRule type="containsText" dxfId="733" priority="11" operator="containsText" text="Газель базы">
      <formula>NOT(ISERROR(SEARCH("Газель базы",E2)))</formula>
    </cfRule>
    <cfRule type="containsText" dxfId="732" priority="12" operator="containsText" text="Погрузчик базы">
      <formula>NOT(ISERROR(SEARCH("Погрузчик базы",E2)))</formula>
    </cfRule>
  </conditionalFormatting>
  <conditionalFormatting sqref="E2:E66">
    <cfRule type="containsText" dxfId="731" priority="10" operator="containsText" text="Трактор базы">
      <formula>NOT(ISERROR(SEARCH("Трактор базы",E2)))</formula>
    </cfRule>
  </conditionalFormatting>
  <conditionalFormatting sqref="A2:C52">
    <cfRule type="expression" dxfId="730" priority="9">
      <formula>$A2="пн"</formula>
    </cfRule>
  </conditionalFormatting>
  <conditionalFormatting sqref="A2:C54">
    <cfRule type="expression" dxfId="729" priority="3">
      <formula>$A2="вс"</formula>
    </cfRule>
    <cfRule type="expression" dxfId="728" priority="4">
      <formula>$A2="сб"</formula>
    </cfRule>
    <cfRule type="expression" dxfId="727" priority="5">
      <formula>$A2="пт"</formula>
    </cfRule>
    <cfRule type="expression" dxfId="726" priority="6">
      <formula>$A2="чт"</formula>
    </cfRule>
    <cfRule type="expression" dxfId="725" priority="7">
      <formula>$A2="ср"</formula>
    </cfRule>
    <cfRule type="expression" dxfId="724" priority="8">
      <formula>$A2="вт"</formula>
    </cfRule>
  </conditionalFormatting>
  <conditionalFormatting sqref="D2:D63">
    <cfRule type="containsText" dxfId="72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3">
    <cfRule type="containsText" dxfId="72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15"/>
  <sheetViews>
    <sheetView zoomScale="90" zoomScaleNormal="90" workbookViewId="0">
      <pane ySplit="1" topLeftCell="A2" activePane="bottomLeft" state="frozen"/>
      <selection pane="bottomLeft" activeCell="I14" sqref="I14:I1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17.28515625" bestFit="1" customWidth="1"/>
    <col min="5" max="5" width="18.4257812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8" t="s">
        <v>4</v>
      </c>
      <c r="E2" s="8" t="s">
        <v>11079</v>
      </c>
      <c r="F2" s="8"/>
      <c r="H2" s="8"/>
      <c r="I2" s="8" t="s">
        <v>10865</v>
      </c>
      <c r="J2" s="8" t="s">
        <v>11086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8" t="s">
        <v>1607</v>
      </c>
      <c r="E3" s="8" t="s">
        <v>11079</v>
      </c>
      <c r="F3" s="8"/>
      <c r="H3" s="8"/>
      <c r="I3" s="8" t="s">
        <v>10573</v>
      </c>
      <c r="J3" s="8" t="s">
        <v>11086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8" t="s">
        <v>4</v>
      </c>
      <c r="E4" s="8" t="s">
        <v>11066</v>
      </c>
      <c r="F4" s="8"/>
      <c r="H4" s="8"/>
      <c r="I4" s="8" t="s">
        <v>10576</v>
      </c>
      <c r="J4" s="8" t="s">
        <v>11086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8" t="s">
        <v>1607</v>
      </c>
      <c r="E5" s="8" t="s">
        <v>11079</v>
      </c>
      <c r="F5" s="8"/>
      <c r="H5" s="8"/>
      <c r="I5" s="8" t="s">
        <v>10579</v>
      </c>
      <c r="J5" s="8" t="s">
        <v>11086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8" t="s">
        <v>4</v>
      </c>
      <c r="E6" s="8" t="s">
        <v>11079</v>
      </c>
      <c r="F6" s="8"/>
      <c r="H6" s="8"/>
      <c r="I6" s="8" t="s">
        <v>13615</v>
      </c>
      <c r="J6" s="8" t="s">
        <v>11086</v>
      </c>
      <c r="K6" t="s">
        <v>13616</v>
      </c>
      <c r="L6" t="s">
        <v>13617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8" t="s">
        <v>4</v>
      </c>
      <c r="E7" s="8" t="s">
        <v>11079</v>
      </c>
      <c r="F7" s="8"/>
      <c r="H7" s="8"/>
      <c r="I7" s="8" t="s">
        <v>13618</v>
      </c>
      <c r="J7" s="8" t="s">
        <v>11086</v>
      </c>
      <c r="K7" t="s">
        <v>13619</v>
      </c>
      <c r="L7" t="s">
        <v>13620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8" t="s">
        <v>4</v>
      </c>
      <c r="E8" s="8" t="s">
        <v>11079</v>
      </c>
      <c r="F8" s="8"/>
      <c r="H8" s="8"/>
      <c r="I8" s="8" t="s">
        <v>13621</v>
      </c>
      <c r="J8" s="8" t="s">
        <v>11086</v>
      </c>
      <c r="K8" t="s">
        <v>13622</v>
      </c>
      <c r="L8" t="s">
        <v>13623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8" t="s">
        <v>4</v>
      </c>
      <c r="E9" s="8" t="s">
        <v>11079</v>
      </c>
      <c r="F9" s="8"/>
      <c r="H9" s="8"/>
      <c r="I9" s="8" t="s">
        <v>13624</v>
      </c>
      <c r="J9" s="8" t="s">
        <v>11086</v>
      </c>
      <c r="K9" t="s">
        <v>13625</v>
      </c>
      <c r="L9" t="s">
        <v>13626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8" t="s">
        <v>4</v>
      </c>
      <c r="E10" s="8" t="s">
        <v>11079</v>
      </c>
      <c r="F10" s="8"/>
      <c r="H10" s="8"/>
      <c r="I10" s="8" t="s">
        <v>13627</v>
      </c>
      <c r="J10" s="8" t="s">
        <v>11086</v>
      </c>
      <c r="K10" t="s">
        <v>13628</v>
      </c>
      <c r="L10" t="s">
        <v>13629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8" t="s">
        <v>4</v>
      </c>
      <c r="E11" s="8" t="s">
        <v>11079</v>
      </c>
      <c r="F11" s="8"/>
      <c r="H11" s="8"/>
      <c r="I11" s="8" t="s">
        <v>13630</v>
      </c>
      <c r="J11" s="8" t="s">
        <v>11086</v>
      </c>
      <c r="K11" t="s">
        <v>13631</v>
      </c>
      <c r="L11" t="s">
        <v>13632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8" t="s">
        <v>4</v>
      </c>
      <c r="E12" s="8" t="s">
        <v>11079</v>
      </c>
      <c r="F12" s="8"/>
      <c r="H12" s="8"/>
      <c r="I12" s="8" t="s">
        <v>13633</v>
      </c>
      <c r="J12" s="8" t="s">
        <v>11086</v>
      </c>
      <c r="K12" t="s">
        <v>13634</v>
      </c>
      <c r="L12" t="s">
        <v>13635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8" t="s">
        <v>4</v>
      </c>
      <c r="E13" s="8" t="s">
        <v>11079</v>
      </c>
      <c r="F13" s="8"/>
      <c r="H13" s="8"/>
      <c r="I13" s="8" t="s">
        <v>13636</v>
      </c>
      <c r="J13" s="8" t="s">
        <v>11086</v>
      </c>
      <c r="K13" t="s">
        <v>13637</v>
      </c>
      <c r="L13" t="s">
        <v>13638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8" t="s">
        <v>1607</v>
      </c>
      <c r="E14" s="8" t="s">
        <v>11079</v>
      </c>
      <c r="F14" s="8"/>
      <c r="H14" s="8"/>
      <c r="I14" s="8" t="s">
        <v>14027</v>
      </c>
      <c r="J14" s="8" t="s">
        <v>11086</v>
      </c>
      <c r="K14" t="s">
        <v>14028</v>
      </c>
      <c r="L14" t="s">
        <v>14029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8" t="s">
        <v>1607</v>
      </c>
      <c r="E15" s="8" t="s">
        <v>11079</v>
      </c>
      <c r="F15" s="8"/>
      <c r="H15" s="8"/>
      <c r="I15" s="8" t="s">
        <v>14030</v>
      </c>
      <c r="J15" s="8" t="s">
        <v>11086</v>
      </c>
      <c r="K15" t="s">
        <v>14031</v>
      </c>
      <c r="L15" t="s">
        <v>14032</v>
      </c>
      <c r="M15" s="2" t="str">
        <f>HYPERLINK(входСтолярка[[#This Row],[RelativePath]])</f>
        <v>15 Вход столярка\GA3948333_9_20260301T193633Z.jpg</v>
      </c>
    </row>
  </sheetData>
  <conditionalFormatting sqref="D16:D26 E16:E29 D2:E15 G2:H15">
    <cfRule type="containsText" dxfId="721" priority="14" operator="containsText" text="Выезд с территории">
      <formula>NOT(ISERROR(SEARCH("Выезд с территории",D2)))</formula>
    </cfRule>
  </conditionalFormatting>
  <conditionalFormatting sqref="F2:F15">
    <cfRule type="notContainsText" dxfId="720" priority="13" operator="notContains" text="порожний">
      <formula>ISERROR(SEARCH("порожний",F2))</formula>
    </cfRule>
  </conditionalFormatting>
  <conditionalFormatting sqref="E2:E29">
    <cfRule type="containsText" dxfId="719" priority="11" operator="containsText" text="Газель базы">
      <formula>NOT(ISERROR(SEARCH("Газель базы",E2)))</formula>
    </cfRule>
    <cfRule type="containsText" dxfId="718" priority="12" operator="containsText" text="Погрузчик базы">
      <formula>NOT(ISERROR(SEARCH("Погрузчик базы",E2)))</formula>
    </cfRule>
  </conditionalFormatting>
  <conditionalFormatting sqref="E2:E29">
    <cfRule type="containsText" dxfId="717" priority="10" operator="containsText" text="Трактор базы">
      <formula>NOT(ISERROR(SEARCH("Трактор базы",E2)))</formula>
    </cfRule>
  </conditionalFormatting>
  <conditionalFormatting sqref="A2:C15">
    <cfRule type="expression" dxfId="716" priority="9">
      <formula>$A2="пн"</formula>
    </cfRule>
  </conditionalFormatting>
  <conditionalFormatting sqref="A2:C17">
    <cfRule type="expression" dxfId="715" priority="3">
      <formula>$A2="вс"</formula>
    </cfRule>
    <cfRule type="expression" dxfId="714" priority="4">
      <formula>$A2="сб"</formula>
    </cfRule>
    <cfRule type="expression" dxfId="713" priority="5">
      <formula>$A2="пт"</formula>
    </cfRule>
    <cfRule type="expression" dxfId="712" priority="6">
      <formula>$A2="чт"</formula>
    </cfRule>
    <cfRule type="expression" dxfId="711" priority="7">
      <formula>$A2="ср"</formula>
    </cfRule>
    <cfRule type="expression" dxfId="710" priority="8">
      <formula>$A2="вт"</formula>
    </cfRule>
  </conditionalFormatting>
  <conditionalFormatting sqref="D2:D26">
    <cfRule type="containsText" dxfId="70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">
    <cfRule type="containsText" dxfId="70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13"/>
  <sheetViews>
    <sheetView zoomScale="90" zoomScaleNormal="90" workbookViewId="0">
      <pane ySplit="1" topLeftCell="A2" activePane="bottomLeft" state="frozen"/>
      <selection pane="bottomLeft" activeCell="I12" sqref="I12:I1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17.28515625" bestFit="1" customWidth="1"/>
    <col min="5" max="5" width="18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8" t="s">
        <v>4</v>
      </c>
      <c r="E2" s="8" t="s">
        <v>11081</v>
      </c>
      <c r="F2" s="8"/>
      <c r="H2" s="8"/>
      <c r="I2" s="8" t="s">
        <v>10868</v>
      </c>
      <c r="J2" s="8" t="s">
        <v>13485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8" t="s">
        <v>1607</v>
      </c>
      <c r="E3" s="8" t="s">
        <v>11081</v>
      </c>
      <c r="F3" s="8"/>
      <c r="H3" s="8" t="s">
        <v>11082</v>
      </c>
      <c r="I3" s="8" t="s">
        <v>10871</v>
      </c>
      <c r="J3" s="8" t="s">
        <v>13485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8" t="s">
        <v>1607</v>
      </c>
      <c r="E4" s="8" t="s">
        <v>11081</v>
      </c>
      <c r="F4" s="8"/>
      <c r="H4" s="8" t="s">
        <v>11082</v>
      </c>
      <c r="I4" s="8" t="s">
        <v>10874</v>
      </c>
      <c r="J4" s="8" t="s">
        <v>13485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8" t="s">
        <v>1607</v>
      </c>
      <c r="E5" s="8" t="s">
        <v>11081</v>
      </c>
      <c r="F5" s="8"/>
      <c r="H5" s="8"/>
      <c r="I5" s="8" t="s">
        <v>10877</v>
      </c>
      <c r="J5" s="8" t="s">
        <v>13485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8" t="s">
        <v>4</v>
      </c>
      <c r="E6" s="8" t="s">
        <v>468</v>
      </c>
      <c r="F6" s="8"/>
      <c r="H6" s="8"/>
      <c r="I6" s="8" t="s">
        <v>10880</v>
      </c>
      <c r="J6" s="8" t="s">
        <v>13485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8" t="s">
        <v>4</v>
      </c>
      <c r="E7" s="8" t="s">
        <v>11081</v>
      </c>
      <c r="F7" s="8"/>
      <c r="H7" s="8"/>
      <c r="I7" s="8" t="s">
        <v>13639</v>
      </c>
      <c r="J7" s="8" t="s">
        <v>13485</v>
      </c>
      <c r="K7" t="s">
        <v>13640</v>
      </c>
      <c r="L7" t="s">
        <v>13641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8" t="s">
        <v>1607</v>
      </c>
      <c r="E8" s="8" t="s">
        <v>11081</v>
      </c>
      <c r="F8" s="8"/>
      <c r="H8" s="8"/>
      <c r="I8" s="8" t="s">
        <v>13642</v>
      </c>
      <c r="J8" s="8" t="s">
        <v>13485</v>
      </c>
      <c r="K8" t="s">
        <v>13643</v>
      </c>
      <c r="L8" t="s">
        <v>13644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8" t="s">
        <v>1607</v>
      </c>
      <c r="E9" s="8" t="s">
        <v>11081</v>
      </c>
      <c r="F9" s="8"/>
      <c r="H9" s="8"/>
      <c r="I9" s="8" t="s">
        <v>13645</v>
      </c>
      <c r="J9" s="8" t="s">
        <v>13485</v>
      </c>
      <c r="K9" t="s">
        <v>13646</v>
      </c>
      <c r="L9" t="s">
        <v>13647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8" t="s">
        <v>4</v>
      </c>
      <c r="E10" s="8" t="s">
        <v>1274</v>
      </c>
      <c r="F10" s="8"/>
      <c r="H10" s="8"/>
      <c r="I10" s="8" t="s">
        <v>13648</v>
      </c>
      <c r="J10" s="8" t="s">
        <v>13485</v>
      </c>
      <c r="K10" t="s">
        <v>13649</v>
      </c>
      <c r="L10" t="s">
        <v>13650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8" t="s">
        <v>4</v>
      </c>
      <c r="E11" s="8" t="s">
        <v>1274</v>
      </c>
      <c r="F11" s="8"/>
      <c r="H11" s="8"/>
      <c r="I11" s="8" t="s">
        <v>13651</v>
      </c>
      <c r="J11" s="8" t="s">
        <v>13485</v>
      </c>
      <c r="K11" t="s">
        <v>13652</v>
      </c>
      <c r="L11" t="s">
        <v>13653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8" t="s">
        <v>1607</v>
      </c>
      <c r="E12" s="8" t="s">
        <v>11081</v>
      </c>
      <c r="F12" s="8"/>
      <c r="H12" s="8"/>
      <c r="I12" s="8" t="s">
        <v>14033</v>
      </c>
      <c r="J12" s="8" t="s">
        <v>13485</v>
      </c>
      <c r="K12" t="s">
        <v>14034</v>
      </c>
      <c r="L12" t="s">
        <v>14035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8" t="s">
        <v>1607</v>
      </c>
      <c r="E13" s="8" t="s">
        <v>11081</v>
      </c>
      <c r="F13" s="8"/>
      <c r="H13" s="8"/>
      <c r="I13" s="8" t="s">
        <v>14036</v>
      </c>
      <c r="J13" s="8" t="s">
        <v>13485</v>
      </c>
      <c r="K13" t="s">
        <v>14037</v>
      </c>
      <c r="L13" t="s">
        <v>14038</v>
      </c>
      <c r="M13" s="2" t="str">
        <f>HYPERLINK(столярка[[#This Row],[RelativePath]])</f>
        <v>16 Столярка\GA3948333_11_20260301T183932Z.jpg</v>
      </c>
    </row>
  </sheetData>
  <conditionalFormatting sqref="D14:D24 E14:E27 D2:E13 G2:H13">
    <cfRule type="containsText" dxfId="707" priority="14" operator="containsText" text="Выезд с территории">
      <formula>NOT(ISERROR(SEARCH("Выезд с территории",D2)))</formula>
    </cfRule>
  </conditionalFormatting>
  <conditionalFormatting sqref="F2:F13">
    <cfRule type="notContainsText" dxfId="706" priority="13" operator="notContains" text="порожний">
      <formula>ISERROR(SEARCH("порожний",F2))</formula>
    </cfRule>
  </conditionalFormatting>
  <conditionalFormatting sqref="E2:E27">
    <cfRule type="containsText" dxfId="705" priority="11" operator="containsText" text="Газель базы">
      <formula>NOT(ISERROR(SEARCH("Газель базы",E2)))</formula>
    </cfRule>
    <cfRule type="containsText" dxfId="704" priority="12" operator="containsText" text="Погрузчик базы">
      <formula>NOT(ISERROR(SEARCH("Погрузчик базы",E2)))</formula>
    </cfRule>
  </conditionalFormatting>
  <conditionalFormatting sqref="E2:E27">
    <cfRule type="containsText" dxfId="703" priority="10" operator="containsText" text="Трактор базы">
      <formula>NOT(ISERROR(SEARCH("Трактор базы",E2)))</formula>
    </cfRule>
  </conditionalFormatting>
  <conditionalFormatting sqref="A2:C13">
    <cfRule type="expression" dxfId="702" priority="9">
      <formula>$A2="пн"</formula>
    </cfRule>
  </conditionalFormatting>
  <conditionalFormatting sqref="A2:C15">
    <cfRule type="expression" dxfId="701" priority="3">
      <formula>$A2="вс"</formula>
    </cfRule>
    <cfRule type="expression" dxfId="700" priority="4">
      <formula>$A2="сб"</formula>
    </cfRule>
    <cfRule type="expression" dxfId="699" priority="5">
      <formula>$A2="пт"</formula>
    </cfRule>
    <cfRule type="expression" dxfId="698" priority="6">
      <formula>$A2="чт"</formula>
    </cfRule>
    <cfRule type="expression" dxfId="697" priority="7">
      <formula>$A2="ср"</formula>
    </cfRule>
    <cfRule type="expression" dxfId="696" priority="8">
      <formula>$A2="вт"</formula>
    </cfRule>
  </conditionalFormatting>
  <conditionalFormatting sqref="D2:D24">
    <cfRule type="containsText" dxfId="69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">
    <cfRule type="containsText" dxfId="69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43"/>
  <sheetViews>
    <sheetView zoomScale="90" zoomScaleNormal="90" workbookViewId="0">
      <pane ySplit="1" topLeftCell="A31" activePane="bottomLeft" state="frozen"/>
      <selection pane="bottomLeft" activeCell="I42" sqref="I42:I4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28" bestFit="1" customWidth="1"/>
    <col min="6" max="6" width="19.5703125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8" t="s">
        <v>11084</v>
      </c>
      <c r="E2" s="8" t="s">
        <v>11066</v>
      </c>
      <c r="F2" s="8"/>
      <c r="H2" s="8"/>
      <c r="I2" s="8" t="s">
        <v>10883</v>
      </c>
      <c r="J2" s="8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8" t="s">
        <v>588</v>
      </c>
      <c r="E3" s="8" t="s">
        <v>86</v>
      </c>
      <c r="F3" s="8"/>
      <c r="H3" s="8"/>
      <c r="I3" s="8" t="s">
        <v>10582</v>
      </c>
      <c r="J3" s="8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8" t="s">
        <v>588</v>
      </c>
      <c r="E4" s="8" t="s">
        <v>86</v>
      </c>
      <c r="F4" s="8"/>
      <c r="H4" s="8"/>
      <c r="I4" s="8" t="s">
        <v>10583</v>
      </c>
      <c r="J4" s="8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8" t="s">
        <v>4</v>
      </c>
      <c r="E5" s="8" t="s">
        <v>8</v>
      </c>
      <c r="F5" s="8"/>
      <c r="H5" s="8"/>
      <c r="I5" s="8" t="s">
        <v>10891</v>
      </c>
      <c r="J5" s="8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8" t="s">
        <v>11073</v>
      </c>
      <c r="E6" s="8" t="s">
        <v>86</v>
      </c>
      <c r="F6" s="8"/>
      <c r="H6" s="8"/>
      <c r="I6" s="8" t="s">
        <v>10894</v>
      </c>
      <c r="J6" s="8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8" t="s">
        <v>13901</v>
      </c>
      <c r="E7" s="8" t="s">
        <v>11066</v>
      </c>
      <c r="F7" s="8"/>
      <c r="H7" s="8"/>
      <c r="I7" s="8" t="s">
        <v>10897</v>
      </c>
      <c r="J7" s="8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8" t="s">
        <v>11085</v>
      </c>
      <c r="E8" s="8" t="s">
        <v>11066</v>
      </c>
      <c r="F8" s="8"/>
      <c r="H8" s="8"/>
      <c r="I8" s="8" t="s">
        <v>10900</v>
      </c>
      <c r="J8" s="8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8" t="s">
        <v>4</v>
      </c>
      <c r="E9" s="8" t="s">
        <v>8</v>
      </c>
      <c r="F9" s="8"/>
      <c r="H9" s="8"/>
      <c r="I9" s="8" t="s">
        <v>13654</v>
      </c>
      <c r="J9" s="8" t="s">
        <v>10884</v>
      </c>
      <c r="K9" t="s">
        <v>13655</v>
      </c>
      <c r="L9" t="s">
        <v>13656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8" t="s">
        <v>588</v>
      </c>
      <c r="E10" s="8" t="s">
        <v>86</v>
      </c>
      <c r="F10" s="8"/>
      <c r="H10" s="8"/>
      <c r="I10" s="8" t="s">
        <v>13657</v>
      </c>
      <c r="J10" s="8" t="s">
        <v>10884</v>
      </c>
      <c r="K10" t="s">
        <v>13658</v>
      </c>
      <c r="L10" t="s">
        <v>13659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8" t="s">
        <v>588</v>
      </c>
      <c r="E11" s="8" t="s">
        <v>86</v>
      </c>
      <c r="F11" s="8"/>
      <c r="H11" s="8"/>
      <c r="I11" s="8" t="s">
        <v>13660</v>
      </c>
      <c r="J11" s="8" t="s">
        <v>10884</v>
      </c>
      <c r="K11" t="s">
        <v>13661</v>
      </c>
      <c r="L11" t="s">
        <v>13662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8" t="s">
        <v>588</v>
      </c>
      <c r="E12" s="8" t="s">
        <v>86</v>
      </c>
      <c r="F12" s="8"/>
      <c r="H12" s="8"/>
      <c r="I12" s="8" t="s">
        <v>13663</v>
      </c>
      <c r="J12" s="8" t="s">
        <v>10884</v>
      </c>
      <c r="K12" t="s">
        <v>13664</v>
      </c>
      <c r="L12" t="s">
        <v>13665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8" t="s">
        <v>588</v>
      </c>
      <c r="E13" s="8" t="s">
        <v>86</v>
      </c>
      <c r="F13" s="8"/>
      <c r="H13" s="8"/>
      <c r="I13" s="8" t="s">
        <v>13666</v>
      </c>
      <c r="J13" s="8" t="s">
        <v>10884</v>
      </c>
      <c r="K13" t="s">
        <v>13667</v>
      </c>
      <c r="L13" t="s">
        <v>13668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8" t="s">
        <v>588</v>
      </c>
      <c r="E14" s="8" t="s">
        <v>86</v>
      </c>
      <c r="F14" s="8"/>
      <c r="H14" s="8"/>
      <c r="I14" s="8" t="s">
        <v>13669</v>
      </c>
      <c r="J14" s="8" t="s">
        <v>10884</v>
      </c>
      <c r="K14" t="s">
        <v>13670</v>
      </c>
      <c r="L14" t="s">
        <v>13671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8" t="s">
        <v>588</v>
      </c>
      <c r="E15" s="8" t="s">
        <v>86</v>
      </c>
      <c r="F15" s="8"/>
      <c r="H15" s="8"/>
      <c r="I15" s="8" t="s">
        <v>13672</v>
      </c>
      <c r="J15" s="8" t="s">
        <v>10884</v>
      </c>
      <c r="K15" t="s">
        <v>13673</v>
      </c>
      <c r="L15" t="s">
        <v>13674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8" t="s">
        <v>13901</v>
      </c>
      <c r="E16" s="8" t="s">
        <v>11066</v>
      </c>
      <c r="F16" s="8"/>
      <c r="H16" s="8"/>
      <c r="I16" s="8" t="s">
        <v>13675</v>
      </c>
      <c r="J16" s="8" t="s">
        <v>10884</v>
      </c>
      <c r="K16" t="s">
        <v>13676</v>
      </c>
      <c r="L16" t="s">
        <v>13677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8" t="s">
        <v>11085</v>
      </c>
      <c r="E17" s="8" t="s">
        <v>11066</v>
      </c>
      <c r="F17" s="8"/>
      <c r="H17" s="8"/>
      <c r="I17" s="8" t="s">
        <v>13678</v>
      </c>
      <c r="J17" s="8" t="s">
        <v>10884</v>
      </c>
      <c r="K17" t="s">
        <v>13679</v>
      </c>
      <c r="L17" t="s">
        <v>13680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8" t="s">
        <v>588</v>
      </c>
      <c r="E18" s="8" t="s">
        <v>86</v>
      </c>
      <c r="F18" s="8"/>
      <c r="H18" s="8"/>
      <c r="I18" s="8" t="s">
        <v>13681</v>
      </c>
      <c r="J18" s="8" t="s">
        <v>10884</v>
      </c>
      <c r="K18" t="s">
        <v>13682</v>
      </c>
      <c r="L18" t="s">
        <v>13683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8" t="s">
        <v>588</v>
      </c>
      <c r="E19" s="8" t="s">
        <v>86</v>
      </c>
      <c r="F19" s="8"/>
      <c r="H19" s="8"/>
      <c r="I19" s="8" t="s">
        <v>13684</v>
      </c>
      <c r="J19" s="8" t="s">
        <v>10884</v>
      </c>
      <c r="K19" t="s">
        <v>13685</v>
      </c>
      <c r="L19" t="s">
        <v>13686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8" t="s">
        <v>587</v>
      </c>
      <c r="E20" s="8" t="s">
        <v>11066</v>
      </c>
      <c r="F20" s="8"/>
      <c r="H20" s="8"/>
      <c r="I20" s="8" t="s">
        <v>13687</v>
      </c>
      <c r="J20" s="8" t="s">
        <v>10884</v>
      </c>
      <c r="K20" t="s">
        <v>13688</v>
      </c>
      <c r="L20" t="s">
        <v>13689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8" t="s">
        <v>587</v>
      </c>
      <c r="E21" s="8" t="s">
        <v>11066</v>
      </c>
      <c r="F21" s="8"/>
      <c r="H21" s="8" t="s">
        <v>2352</v>
      </c>
      <c r="I21" s="8" t="s">
        <v>13690</v>
      </c>
      <c r="J21" s="8" t="s">
        <v>10884</v>
      </c>
      <c r="K21" t="s">
        <v>13691</v>
      </c>
      <c r="L21" t="s">
        <v>13692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8" t="s">
        <v>13902</v>
      </c>
      <c r="E22" s="8"/>
      <c r="F22" s="8"/>
      <c r="H22" s="8"/>
      <c r="I22" s="8" t="s">
        <v>13693</v>
      </c>
      <c r="J22" s="8" t="s">
        <v>10884</v>
      </c>
      <c r="K22" t="s">
        <v>13694</v>
      </c>
      <c r="L22" t="s">
        <v>13695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8" t="s">
        <v>588</v>
      </c>
      <c r="E23" s="8" t="s">
        <v>86</v>
      </c>
      <c r="F23" s="8"/>
      <c r="H23" s="8"/>
      <c r="I23" s="8" t="s">
        <v>13696</v>
      </c>
      <c r="J23" s="8" t="s">
        <v>10884</v>
      </c>
      <c r="K23" t="s">
        <v>13697</v>
      </c>
      <c r="L23" t="s">
        <v>13698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8" t="s">
        <v>588</v>
      </c>
      <c r="E24" s="8" t="s">
        <v>86</v>
      </c>
      <c r="F24" s="8"/>
      <c r="H24" s="8"/>
      <c r="I24" s="8" t="s">
        <v>13699</v>
      </c>
      <c r="J24" s="8" t="s">
        <v>10884</v>
      </c>
      <c r="K24" t="s">
        <v>13700</v>
      </c>
      <c r="L24" t="s">
        <v>13701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8" t="s">
        <v>13903</v>
      </c>
      <c r="E25" s="8"/>
      <c r="F25" s="8"/>
      <c r="H25" s="8"/>
      <c r="I25" s="8" t="s">
        <v>13702</v>
      </c>
      <c r="J25" s="8" t="s">
        <v>10884</v>
      </c>
      <c r="K25" t="s">
        <v>13703</v>
      </c>
      <c r="L25" t="s">
        <v>13704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8" t="s">
        <v>4</v>
      </c>
      <c r="E26" s="8" t="s">
        <v>8</v>
      </c>
      <c r="F26" s="8"/>
      <c r="H26" s="8"/>
      <c r="I26" s="8" t="s">
        <v>13705</v>
      </c>
      <c r="J26" s="8" t="s">
        <v>10884</v>
      </c>
      <c r="K26" t="s">
        <v>13706</v>
      </c>
      <c r="L26" t="s">
        <v>13707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8" t="s">
        <v>1273</v>
      </c>
      <c r="E27" s="8" t="s">
        <v>13844</v>
      </c>
      <c r="F27" s="8"/>
      <c r="H27" s="8"/>
      <c r="I27" s="8" t="s">
        <v>13708</v>
      </c>
      <c r="J27" s="8" t="s">
        <v>10884</v>
      </c>
      <c r="K27" t="s">
        <v>13709</v>
      </c>
      <c r="L27" t="s">
        <v>13710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8" t="s">
        <v>13904</v>
      </c>
      <c r="E28" s="8" t="s">
        <v>13844</v>
      </c>
      <c r="F28" s="8" t="s">
        <v>1288</v>
      </c>
      <c r="H28" s="8"/>
      <c r="I28" s="8" t="s">
        <v>13711</v>
      </c>
      <c r="J28" s="8" t="s">
        <v>10884</v>
      </c>
      <c r="K28" t="s">
        <v>13712</v>
      </c>
      <c r="L28" t="s">
        <v>13713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8" t="s">
        <v>13904</v>
      </c>
      <c r="E29" s="8" t="s">
        <v>13844</v>
      </c>
      <c r="F29" s="8" t="s">
        <v>1288</v>
      </c>
      <c r="G29" s="7">
        <v>1</v>
      </c>
      <c r="H29" s="8" t="s">
        <v>2352</v>
      </c>
      <c r="I29" s="8" t="s">
        <v>13714</v>
      </c>
      <c r="J29" s="8" t="s">
        <v>10884</v>
      </c>
      <c r="K29" t="s">
        <v>13715</v>
      </c>
      <c r="L29" t="s">
        <v>13716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8" t="s">
        <v>10572</v>
      </c>
      <c r="E30" s="8" t="s">
        <v>13844</v>
      </c>
      <c r="F30" s="8"/>
      <c r="H30" s="8"/>
      <c r="I30" s="8" t="s">
        <v>13717</v>
      </c>
      <c r="J30" s="8" t="s">
        <v>10884</v>
      </c>
      <c r="K30" t="s">
        <v>13718</v>
      </c>
      <c r="L30" t="s">
        <v>13719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8" t="s">
        <v>13904</v>
      </c>
      <c r="E31" s="8" t="s">
        <v>13844</v>
      </c>
      <c r="F31" s="8" t="s">
        <v>10243</v>
      </c>
      <c r="G31" s="7">
        <v>1</v>
      </c>
      <c r="H31" s="8"/>
      <c r="I31" s="8" t="s">
        <v>13720</v>
      </c>
      <c r="J31" s="8" t="s">
        <v>10884</v>
      </c>
      <c r="K31" t="s">
        <v>13721</v>
      </c>
      <c r="L31" t="s">
        <v>13722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8" t="s">
        <v>13904</v>
      </c>
      <c r="E32" s="8" t="s">
        <v>13844</v>
      </c>
      <c r="F32" s="8" t="s">
        <v>10243</v>
      </c>
      <c r="G32" s="7">
        <v>1</v>
      </c>
      <c r="H32" s="8"/>
      <c r="I32" s="8" t="s">
        <v>13724</v>
      </c>
      <c r="J32" s="8" t="s">
        <v>10884</v>
      </c>
      <c r="K32" t="s">
        <v>13725</v>
      </c>
      <c r="L32" t="s">
        <v>13726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8" t="s">
        <v>13904</v>
      </c>
      <c r="E33" s="8" t="s">
        <v>13844</v>
      </c>
      <c r="F33" s="8" t="s">
        <v>10243</v>
      </c>
      <c r="G33" s="7">
        <v>1</v>
      </c>
      <c r="H33" s="8"/>
      <c r="I33" s="8" t="s">
        <v>13727</v>
      </c>
      <c r="J33" s="8" t="s">
        <v>10884</v>
      </c>
      <c r="K33" t="s">
        <v>13728</v>
      </c>
      <c r="L33" t="s">
        <v>13729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8" t="s">
        <v>13904</v>
      </c>
      <c r="E34" s="8" t="s">
        <v>13844</v>
      </c>
      <c r="F34" s="8" t="s">
        <v>10243</v>
      </c>
      <c r="G34" s="7">
        <v>1</v>
      </c>
      <c r="H34" s="8"/>
      <c r="I34" s="8" t="s">
        <v>13730</v>
      </c>
      <c r="J34" s="8" t="s">
        <v>10884</v>
      </c>
      <c r="K34" t="s">
        <v>13731</v>
      </c>
      <c r="L34" t="s">
        <v>13732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8" t="s">
        <v>10572</v>
      </c>
      <c r="E35" s="8" t="s">
        <v>13844</v>
      </c>
      <c r="F35" s="8"/>
      <c r="H35" s="8"/>
      <c r="I35" s="8" t="s">
        <v>13733</v>
      </c>
      <c r="J35" s="8" t="s">
        <v>10884</v>
      </c>
      <c r="K35" t="s">
        <v>13734</v>
      </c>
      <c r="L35" t="s">
        <v>13735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8" t="s">
        <v>13904</v>
      </c>
      <c r="E36" s="8" t="s">
        <v>13844</v>
      </c>
      <c r="F36" s="8" t="s">
        <v>13905</v>
      </c>
      <c r="H36" s="8"/>
      <c r="I36" s="8" t="s">
        <v>13736</v>
      </c>
      <c r="J36" s="8" t="s">
        <v>10884</v>
      </c>
      <c r="K36" t="s">
        <v>13737</v>
      </c>
      <c r="L36" t="s">
        <v>13738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8" t="s">
        <v>13904</v>
      </c>
      <c r="E37" s="8" t="s">
        <v>13844</v>
      </c>
      <c r="F37" s="8" t="s">
        <v>13905</v>
      </c>
      <c r="H37" s="8"/>
      <c r="I37" s="8" t="s">
        <v>13739</v>
      </c>
      <c r="J37" s="8" t="s">
        <v>10884</v>
      </c>
      <c r="K37" t="s">
        <v>13740</v>
      </c>
      <c r="L37" t="s">
        <v>13741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8" t="s">
        <v>10572</v>
      </c>
      <c r="E38" s="8" t="s">
        <v>13844</v>
      </c>
      <c r="F38" s="8"/>
      <c r="H38" s="8" t="s">
        <v>13906</v>
      </c>
      <c r="I38" s="8" t="s">
        <v>13742</v>
      </c>
      <c r="J38" s="8" t="s">
        <v>10884</v>
      </c>
      <c r="K38" t="s">
        <v>13743</v>
      </c>
      <c r="L38" t="s">
        <v>13744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8" t="s">
        <v>4</v>
      </c>
      <c r="E39" s="8" t="s">
        <v>8</v>
      </c>
      <c r="F39" s="8"/>
      <c r="H39" s="8"/>
      <c r="I39" s="8" t="s">
        <v>13745</v>
      </c>
      <c r="J39" s="8" t="s">
        <v>10884</v>
      </c>
      <c r="K39" t="s">
        <v>13746</v>
      </c>
      <c r="L39" t="s">
        <v>13747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8" t="s">
        <v>10015</v>
      </c>
      <c r="E40" s="8" t="s">
        <v>86</v>
      </c>
      <c r="F40" s="8"/>
      <c r="H40" s="8"/>
      <c r="I40" s="8" t="s">
        <v>13748</v>
      </c>
      <c r="J40" s="8" t="s">
        <v>10884</v>
      </c>
      <c r="K40" t="s">
        <v>13749</v>
      </c>
      <c r="L40" t="s">
        <v>13750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8" t="s">
        <v>4</v>
      </c>
      <c r="E41" s="8" t="s">
        <v>8</v>
      </c>
      <c r="F41" s="8"/>
      <c r="H41" s="8"/>
      <c r="I41" s="8" t="s">
        <v>13751</v>
      </c>
      <c r="J41" s="8" t="s">
        <v>10884</v>
      </c>
      <c r="K41" t="s">
        <v>13752</v>
      </c>
      <c r="L41" t="s">
        <v>13753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8" t="s">
        <v>1607</v>
      </c>
      <c r="E42" s="8" t="s">
        <v>8</v>
      </c>
      <c r="F42" s="8"/>
      <c r="H42" s="8"/>
      <c r="I42" s="8" t="s">
        <v>14039</v>
      </c>
      <c r="J42" s="8" t="s">
        <v>10884</v>
      </c>
      <c r="K42" t="s">
        <v>14040</v>
      </c>
      <c r="L42" t="s">
        <v>14041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8" t="s">
        <v>1607</v>
      </c>
      <c r="E43" s="8" t="s">
        <v>8</v>
      </c>
      <c r="F43" s="8"/>
      <c r="H43" s="8"/>
      <c r="I43" s="8" t="s">
        <v>14042</v>
      </c>
      <c r="J43" s="8" t="s">
        <v>10884</v>
      </c>
      <c r="K43" t="s">
        <v>14043</v>
      </c>
      <c r="L43" t="s">
        <v>14044</v>
      </c>
      <c r="M43" s="2" t="str">
        <f>HYPERLINK(площадкаСнавесом[[#This Row],[RelativePath]])</f>
        <v>17 Площадка с навесом\GA3948333_10_20260301T155634Z.jpg</v>
      </c>
    </row>
  </sheetData>
  <conditionalFormatting sqref="D44:D54 E44:E57 D2:E43 G2:H43">
    <cfRule type="containsText" dxfId="693" priority="14" operator="containsText" text="Выезд с территории">
      <formula>NOT(ISERROR(SEARCH("Выезд с территории",D2)))</formula>
    </cfRule>
  </conditionalFormatting>
  <conditionalFormatting sqref="F2:F43">
    <cfRule type="notContainsText" dxfId="692" priority="13" operator="notContains" text="порожний">
      <formula>ISERROR(SEARCH("порожний",F2))</formula>
    </cfRule>
  </conditionalFormatting>
  <conditionalFormatting sqref="E2:E57">
    <cfRule type="containsText" dxfId="691" priority="11" operator="containsText" text="Газель базы">
      <formula>NOT(ISERROR(SEARCH("Газель базы",E2)))</formula>
    </cfRule>
    <cfRule type="containsText" dxfId="690" priority="12" operator="containsText" text="Погрузчик базы">
      <formula>NOT(ISERROR(SEARCH("Погрузчик базы",E2)))</formula>
    </cfRule>
  </conditionalFormatting>
  <conditionalFormatting sqref="E2:E57">
    <cfRule type="containsText" dxfId="689" priority="10" operator="containsText" text="Трактор базы">
      <formula>NOT(ISERROR(SEARCH("Трактор базы",E2)))</formula>
    </cfRule>
  </conditionalFormatting>
  <conditionalFormatting sqref="A2:C43">
    <cfRule type="expression" dxfId="688" priority="9">
      <formula>$A2="пн"</formula>
    </cfRule>
  </conditionalFormatting>
  <conditionalFormatting sqref="A2:C45">
    <cfRule type="expression" dxfId="687" priority="3">
      <formula>$A2="вс"</formula>
    </cfRule>
    <cfRule type="expression" dxfId="686" priority="4">
      <formula>$A2="сб"</formula>
    </cfRule>
    <cfRule type="expression" dxfId="685" priority="5">
      <formula>$A2="пт"</formula>
    </cfRule>
    <cfRule type="expression" dxfId="684" priority="6">
      <formula>$A2="чт"</formula>
    </cfRule>
    <cfRule type="expression" dxfId="683" priority="7">
      <formula>$A2="ср"</formula>
    </cfRule>
    <cfRule type="expression" dxfId="682" priority="8">
      <formula>$A2="вт"</formula>
    </cfRule>
  </conditionalFormatting>
  <conditionalFormatting sqref="D2:D54">
    <cfRule type="containsText" dxfId="68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4">
    <cfRule type="containsText" dxfId="68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4426"/>
  <sheetViews>
    <sheetView topLeftCell="A4360" zoomScale="90" zoomScaleNormal="90" workbookViewId="0">
      <selection activeCell="E4435" sqref="E4435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12641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12641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12641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12641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12641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12641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12641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12641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12641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12641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12641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12641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12641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12641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12641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12641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12641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12641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12641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12641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12641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12641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12641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12641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12641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12641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12641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12641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12641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12641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12641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12641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12641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12641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12641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12642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12642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12642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12642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12642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12642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12642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12642</v>
      </c>
    </row>
    <row r="220" spans="1:7" hidden="1" x14ac:dyDescent="0.25">
      <c r="A220" t="s">
        <v>685</v>
      </c>
      <c r="F220" t="s">
        <v>607</v>
      </c>
      <c r="G220" t="s">
        <v>12642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12642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12642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12642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12642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12642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12642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12642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12642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12642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12642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12642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12642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12642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12642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12642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12642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12642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12642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12642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12642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12642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12642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12642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12642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12642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12642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12642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12642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12642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12642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12642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12642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12642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12642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12642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12642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12642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12643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12643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12643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12643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12643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12643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12643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12643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12643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12643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12643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12643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12643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12643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12643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12643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12643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12643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12643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12643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12643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12643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12643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12643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12643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12643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12643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12643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12643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12643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12643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12643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12643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12643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12643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12643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12643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12643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12643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12643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12643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12643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12643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12643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12643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12643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12643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12643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12643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12643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12643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12643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12643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12643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12643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12643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12643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12643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12643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12643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12643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12643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12643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12643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12643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12643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12643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12643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12643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12643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12643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12643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12643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12643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12643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12643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12643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12643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12643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12643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12643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12643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12643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12643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12643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12643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12643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12643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12643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12643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12643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12643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12643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12643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12643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12643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12643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12643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12643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12643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12643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12643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12643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12643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12643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12644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12644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12644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12644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12644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12644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12644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12644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12644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12644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12644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12644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12644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12644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12644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12644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12644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12644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12644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12644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12644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12644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12644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12644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12644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12644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12644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12644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12644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12644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12644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12644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12644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12644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12644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12644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12644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12644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12644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12644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12644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12644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12644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12644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12644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12644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12644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12644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12644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12644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12644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12644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12644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12644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12644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12644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12644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12644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12644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12644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12644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12644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12644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12644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12644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12644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12644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12644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12644</v>
      </c>
    </row>
    <row r="432" spans="1:7" hidden="1" x14ac:dyDescent="0.25">
      <c r="A432" t="s">
        <v>1290</v>
      </c>
      <c r="F432" t="s">
        <v>1209</v>
      </c>
      <c r="G432" t="s">
        <v>12644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12644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12644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12644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12644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12644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12644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12644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12644</v>
      </c>
    </row>
    <row r="441" spans="1:7" hidden="1" x14ac:dyDescent="0.25">
      <c r="A441" t="s">
        <v>1290</v>
      </c>
      <c r="F441" t="s">
        <v>1229</v>
      </c>
      <c r="G441" t="s">
        <v>12644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12644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12644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12644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12644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12644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12644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12644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12644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12644</v>
      </c>
    </row>
    <row r="451" spans="1:7" hidden="1" x14ac:dyDescent="0.25">
      <c r="A451" t="s">
        <v>1290</v>
      </c>
      <c r="F451" t="s">
        <v>1249</v>
      </c>
      <c r="G451" t="s">
        <v>12644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12644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12644</v>
      </c>
    </row>
    <row r="454" spans="1:7" hidden="1" x14ac:dyDescent="0.25">
      <c r="A454" t="s">
        <v>1290</v>
      </c>
      <c r="F454" t="s">
        <v>1255</v>
      </c>
      <c r="G454" t="s">
        <v>12644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12644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12644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12644</v>
      </c>
    </row>
    <row r="458" spans="1:7" hidden="1" x14ac:dyDescent="0.25">
      <c r="A458" t="s">
        <v>1290</v>
      </c>
      <c r="F458" t="s">
        <v>1263</v>
      </c>
      <c r="G458" t="s">
        <v>12644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12644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12644</v>
      </c>
    </row>
    <row r="461" spans="1:7" hidden="1" x14ac:dyDescent="0.25">
      <c r="A461" t="s">
        <v>1290</v>
      </c>
      <c r="F461" t="s">
        <v>1269</v>
      </c>
      <c r="G461" t="s">
        <v>12644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12645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12645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12645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12645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12645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12645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12645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12645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12645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12645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12645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12645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12645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12645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12645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12645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12645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12645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12645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12645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12645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12645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12645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12645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12645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12645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12645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12645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12645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12645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12645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12645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12645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12645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12645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12645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12645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12645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12645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12645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12645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12645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12645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12645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12645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12645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12645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12645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12645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12645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12645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12645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12645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12645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12645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12645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12645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12645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12645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12645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12645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12645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12645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12641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12641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12641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12641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12642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12642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12642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12642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12642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12642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12642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12642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12642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12642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12642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12642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12642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12642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12642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12642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12641</v>
      </c>
    </row>
    <row r="664" spans="1:7" hidden="1" x14ac:dyDescent="0.25">
      <c r="A664" t="s">
        <v>1607</v>
      </c>
      <c r="F664" t="s">
        <v>1630</v>
      </c>
      <c r="G664" t="s">
        <v>12641</v>
      </c>
    </row>
    <row r="665" spans="1:7" hidden="1" x14ac:dyDescent="0.25">
      <c r="A665" t="s">
        <v>1607</v>
      </c>
      <c r="F665" t="s">
        <v>1632</v>
      </c>
      <c r="G665" t="s">
        <v>12641</v>
      </c>
    </row>
    <row r="666" spans="1:7" hidden="1" x14ac:dyDescent="0.25">
      <c r="A666" t="s">
        <v>2342</v>
      </c>
      <c r="F666" t="s">
        <v>1634</v>
      </c>
      <c r="G666" t="s">
        <v>12641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12641</v>
      </c>
    </row>
    <row r="668" spans="1:7" hidden="1" x14ac:dyDescent="0.25">
      <c r="A668" t="s">
        <v>1607</v>
      </c>
      <c r="F668" t="s">
        <v>1638</v>
      </c>
      <c r="G668" t="s">
        <v>12641</v>
      </c>
    </row>
    <row r="669" spans="1:7" hidden="1" x14ac:dyDescent="0.25">
      <c r="A669" t="s">
        <v>1607</v>
      </c>
      <c r="F669" t="s">
        <v>1640</v>
      </c>
      <c r="G669" t="s">
        <v>12641</v>
      </c>
    </row>
    <row r="670" spans="1:7" hidden="1" x14ac:dyDescent="0.25">
      <c r="A670" t="s">
        <v>1607</v>
      </c>
      <c r="F670" t="s">
        <v>1642</v>
      </c>
      <c r="G670" t="s">
        <v>12641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12642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12642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12642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12642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12642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12642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12642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12642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12642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12642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12642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12642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12642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12642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12642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12642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12642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12642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12642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12642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12642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12642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12642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12642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12642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12642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12642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12642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12642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12642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12642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12642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12642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12642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12642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12642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12643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12643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12643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12643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12643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12643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12643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12643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12643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12643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12643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12643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12643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12643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12643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12643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12643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12643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12643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12643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12643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12643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12643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12643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12643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12643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12643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12643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12643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12643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12643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12643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12643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12643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12643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12643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12643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12643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12643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12643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12643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12643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12643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12643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12643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12643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12643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12643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12643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12643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12643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12643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12643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12643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12643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12643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12643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12643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12643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12643</v>
      </c>
    </row>
    <row r="824" spans="1:7" hidden="1" x14ac:dyDescent="0.25">
      <c r="A824" t="s">
        <v>1607</v>
      </c>
      <c r="F824" t="s">
        <v>2011</v>
      </c>
      <c r="G824" t="s">
        <v>12643</v>
      </c>
    </row>
    <row r="825" spans="1:7" hidden="1" x14ac:dyDescent="0.25">
      <c r="A825" t="s">
        <v>1607</v>
      </c>
      <c r="F825" t="s">
        <v>2013</v>
      </c>
      <c r="G825" t="s">
        <v>12643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12644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12644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12644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12644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12644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12644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12644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12644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12644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12644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12644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12644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12644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12644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12644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12644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12644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12644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12644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12644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12644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12644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12644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12644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12644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12644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12644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12644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12644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12644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12644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12644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12644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12644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12644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12644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12644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12644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12644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12644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12644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12644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12644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12644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12644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12644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12644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12644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12644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12644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12644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12644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12644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12644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12644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12644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12644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12644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12644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12644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12644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12644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12644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12644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12644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12644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12644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12644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12644</v>
      </c>
    </row>
    <row r="895" spans="1:7" hidden="1" x14ac:dyDescent="0.25">
      <c r="A895" t="s">
        <v>2380</v>
      </c>
      <c r="F895" t="s">
        <v>2270</v>
      </c>
      <c r="G895" t="s">
        <v>12644</v>
      </c>
    </row>
    <row r="896" spans="1:7" hidden="1" x14ac:dyDescent="0.25">
      <c r="A896" t="s">
        <v>2380</v>
      </c>
      <c r="F896" t="s">
        <v>2272</v>
      </c>
      <c r="G896" t="s">
        <v>12644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12644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12644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12644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12644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12644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12644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12644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12644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12644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12644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12644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12644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12644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12644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12644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12644</v>
      </c>
    </row>
    <row r="913" spans="1:7" hidden="1" x14ac:dyDescent="0.25">
      <c r="A913" t="s">
        <v>1607</v>
      </c>
      <c r="F913" t="s">
        <v>2306</v>
      </c>
      <c r="G913" t="s">
        <v>12644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12644</v>
      </c>
    </row>
    <row r="915" spans="1:7" hidden="1" x14ac:dyDescent="0.25">
      <c r="A915" t="s">
        <v>1607</v>
      </c>
      <c r="F915" t="s">
        <v>2310</v>
      </c>
      <c r="G915" t="s">
        <v>12644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12645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12645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12645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12645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12645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12645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12645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12645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12645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12645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12645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12645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12645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12645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12645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12645</v>
      </c>
    </row>
    <row r="932" spans="1:7" hidden="1" x14ac:dyDescent="0.25">
      <c r="A932" t="s">
        <v>1607</v>
      </c>
      <c r="F932" t="s">
        <v>2052</v>
      </c>
      <c r="G932" t="s">
        <v>12645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12645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12645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12645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12645</v>
      </c>
    </row>
    <row r="937" spans="1:7" hidden="1" x14ac:dyDescent="0.25">
      <c r="A937" t="s">
        <v>1607</v>
      </c>
      <c r="F937" t="s">
        <v>2058</v>
      </c>
      <c r="G937" t="s">
        <v>12645</v>
      </c>
    </row>
    <row r="938" spans="1:7" hidden="1" x14ac:dyDescent="0.25">
      <c r="A938" t="s">
        <v>1607</v>
      </c>
      <c r="F938" t="s">
        <v>2060</v>
      </c>
      <c r="G938" t="s">
        <v>12645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12641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12641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12641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12641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12641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12641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12641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12641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12641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12641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12641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12641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12641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12641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12641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12641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12641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12641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12641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12641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12641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12641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12641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12641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12641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12641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12641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12641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12641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12641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12641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12641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12641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12641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12641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12641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12641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12641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12641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12641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12641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12641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12642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12642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12642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12642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12642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12642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12643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12643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12643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12643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12643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12643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12643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12643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12643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12643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12643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12643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12643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12643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12643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12643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12643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12643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12643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12643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12643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12643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12643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12643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12643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12643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12643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12643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12643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12643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12643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12643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12643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12643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12643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12643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12643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12643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12643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12643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12643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12643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12643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12643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12644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12644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12644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12644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12644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12644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12644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12644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12644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12644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12644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12644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12644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12644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12644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12644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12644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12644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12644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12644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12644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12644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12644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12644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12644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12644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12644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12644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12644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12644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12644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12644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12644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12644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12644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12644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12644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12644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12644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12644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12644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12644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12644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12644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12644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12644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12644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12644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12644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12644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12644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12644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12644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12644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12644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12644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12644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12644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12644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12644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12644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12644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12644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12644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12644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12644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12644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12644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12645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12645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12645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12645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12645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12645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12645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12645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12645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12645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12645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12645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12645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12645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12645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12645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12645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12645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12645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12641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12642</v>
      </c>
    </row>
    <row r="1330" spans="1:7" hidden="1" x14ac:dyDescent="0.25">
      <c r="A1330" t="s">
        <v>1607</v>
      </c>
      <c r="F1330" t="s">
        <v>3442</v>
      </c>
      <c r="G1330" t="s">
        <v>12643</v>
      </c>
    </row>
    <row r="1331" spans="1:7" hidden="1" x14ac:dyDescent="0.25">
      <c r="A1331" t="s">
        <v>1607</v>
      </c>
      <c r="F1331" t="s">
        <v>3444</v>
      </c>
      <c r="G1331" t="s">
        <v>12644</v>
      </c>
    </row>
    <row r="1332" spans="1:7" hidden="1" x14ac:dyDescent="0.25">
      <c r="A1332" t="s">
        <v>1607</v>
      </c>
      <c r="F1332" t="s">
        <v>3446</v>
      </c>
      <c r="G1332" t="s">
        <v>12645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12641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12641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12641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12641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12641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12641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12641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12641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12641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12641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12641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12641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12641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12641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12641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12641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12641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12641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12641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12641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12641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12641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12641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12641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12641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12641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12641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12641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12641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12641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12641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12641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12641</v>
      </c>
    </row>
    <row r="1384" spans="1:7" hidden="1" x14ac:dyDescent="0.25">
      <c r="A1384" t="s">
        <v>1607</v>
      </c>
      <c r="F1384" t="s">
        <v>3523</v>
      </c>
      <c r="G1384" t="s">
        <v>12641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12642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12642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12642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12642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12642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12642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12642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12642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12642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12643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12643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12643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12643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12643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12643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12643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12643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12643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12643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12643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12643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12643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12643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12643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12643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12643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12643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12643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12643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12643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12643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12643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12643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12643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12643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12643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12643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12643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12643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12643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12643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12643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12643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12643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12643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12643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12643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12643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12643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12643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12643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12643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12643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12643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12643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12643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12643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12643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12643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12643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12643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12643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12643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12643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12643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12643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12643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12643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12643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12643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12643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12643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12643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12643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12643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12643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12643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12644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12644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12644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12644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12644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12644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12644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12644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12644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12644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12644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12644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12644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12644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12644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12644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12644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12644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12644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12644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12644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12644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12644</v>
      </c>
    </row>
    <row r="1573" spans="1:7" hidden="1" x14ac:dyDescent="0.25">
      <c r="A1573" t="s">
        <v>1607</v>
      </c>
      <c r="F1573" t="s">
        <v>3901</v>
      </c>
      <c r="G1573" t="s">
        <v>12645</v>
      </c>
    </row>
    <row r="1574" spans="1:7" hidden="1" x14ac:dyDescent="0.25">
      <c r="A1574" t="s">
        <v>1607</v>
      </c>
      <c r="F1574" t="s">
        <v>3903</v>
      </c>
      <c r="G1574" t="s">
        <v>12645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12645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12645</v>
      </c>
    </row>
    <row r="1577" spans="1:7" hidden="1" x14ac:dyDescent="0.25">
      <c r="A1577" t="s">
        <v>1607</v>
      </c>
      <c r="F1577" t="s">
        <v>3909</v>
      </c>
      <c r="G1577" t="s">
        <v>12645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12645</v>
      </c>
    </row>
    <row r="1579" spans="1:7" hidden="1" x14ac:dyDescent="0.25">
      <c r="A1579" t="s">
        <v>1607</v>
      </c>
      <c r="F1579" t="s">
        <v>3913</v>
      </c>
      <c r="G1579" t="s">
        <v>12645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12641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12642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12643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12643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12643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12643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12643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12643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12643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12643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12643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12644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12644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12644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12644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12644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12645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12645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12645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12645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12645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12645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12644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12644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12644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12644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12644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12644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12644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12644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12644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12644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12644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12644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12644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12644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12644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12644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12644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12644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12644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12644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12644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12644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12644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12641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12641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12641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12641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12641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12641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12642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12643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12643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12643</v>
      </c>
    </row>
    <row r="1691" spans="1:7" hidden="1" x14ac:dyDescent="0.25">
      <c r="A1691" t="s">
        <v>4130</v>
      </c>
      <c r="F1691" t="s">
        <v>4294</v>
      </c>
      <c r="G1691" t="s">
        <v>12643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12643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12643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12643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12643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12643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12643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12643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12643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12643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12643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12643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12643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12643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12643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12643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12645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12645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12641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12641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12641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12641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12641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12641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12641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12641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12641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12641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12641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12641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12641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12641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12641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12641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12641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12641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12641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12641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12641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12642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12642</v>
      </c>
    </row>
    <row r="1798" spans="1:7" hidden="1" x14ac:dyDescent="0.25">
      <c r="A1798" t="s">
        <v>685</v>
      </c>
      <c r="F1798" t="s">
        <v>4581</v>
      </c>
      <c r="G1798" t="s">
        <v>12642</v>
      </c>
    </row>
    <row r="1799" spans="1:7" hidden="1" x14ac:dyDescent="0.25">
      <c r="A1799" t="s">
        <v>685</v>
      </c>
      <c r="F1799" t="s">
        <v>4583</v>
      </c>
      <c r="G1799" t="s">
        <v>12642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12642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12642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12642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12642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12642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12642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12642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12643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12643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12643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12643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12643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12643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12643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12643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12643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12643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12643</v>
      </c>
    </row>
    <row r="1818" spans="1:7" hidden="1" x14ac:dyDescent="0.25">
      <c r="A1818" t="s">
        <v>4928</v>
      </c>
      <c r="F1818" t="s">
        <v>4476</v>
      </c>
      <c r="G1818" t="s">
        <v>12643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12643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12643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12643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12643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12643</v>
      </c>
    </row>
    <row r="1824" spans="1:7" hidden="1" x14ac:dyDescent="0.25">
      <c r="A1824" t="s">
        <v>4928</v>
      </c>
      <c r="F1824" t="s">
        <v>4488</v>
      </c>
      <c r="G1824" t="s">
        <v>12643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12643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12643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12643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12643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12643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12643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12643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12643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12643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12643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12643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12643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12643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12643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12643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12643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12643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12643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12643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12643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12643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12643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12643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12643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12643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12643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12643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12643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12643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12643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12644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12644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12644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12644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12644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12644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12644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12644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12644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12644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12644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12644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12644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12644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12644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12644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12644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12644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12644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12644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12644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12644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12644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12644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12644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12644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12644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12644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12644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12644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12644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12644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12644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12644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12644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12644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12644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12644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12645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12645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12645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12645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12645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12645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12645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12645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12645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12645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12645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12645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12645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12645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12645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12645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12645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12645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12645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12645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12645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12645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12645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12645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12645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12645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12645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12645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12645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12641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12642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12643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12643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12643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12643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12643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12643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12643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12643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12643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12643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12643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12643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12644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12645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12641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12641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12641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12641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12641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12641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12641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12641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12641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12641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12642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12643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12643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12643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12643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12643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12643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12643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12643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12643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12643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12643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12643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12643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12644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12644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12644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12644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12644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12644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12644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12644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12644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12644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12644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12644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12644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12644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12644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12644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12644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12644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12644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12644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12644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12644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12644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12644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12644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12644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12644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12644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12644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12644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12644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12644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12644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12644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12644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12644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12645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12645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12645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12641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12641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12642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12642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12642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12642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12642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12643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12643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12643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12643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12643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12643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12643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12643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12644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12644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12644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12644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12644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12644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12644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12644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12644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12644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12645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12641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12641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12641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12641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12641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12641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12641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12642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12642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12643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12643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12643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12643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12643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12643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12643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12643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12643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12643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12643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12643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12643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12643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12643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12643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12643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12643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12643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12644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12644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12644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12644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12644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12644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12644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12644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12644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12644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12644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12644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12644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12645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12641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12641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12641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12641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12641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12641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12641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12642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12642</v>
      </c>
    </row>
    <row r="2188" spans="1:7" hidden="1" x14ac:dyDescent="0.25">
      <c r="A2188" t="s">
        <v>5694</v>
      </c>
      <c r="F2188" t="s">
        <v>5529</v>
      </c>
      <c r="G2188" t="s">
        <v>12642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12642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12642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12643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12643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12643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12643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12643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12643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12643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12643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12643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12643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12643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12643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12643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12643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12643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12643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12643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12643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12643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12643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12643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12643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12643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12643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12643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12643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12644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12644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12644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12644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12644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12644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12644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12644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12644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12644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12644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12644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12644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12644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12644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12644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12644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12644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12644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12644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12644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12644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12644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12644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12644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12644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12644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12645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12645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12645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12645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12645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12645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12645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12641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12642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12643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12643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12643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12644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12645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12641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12641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12641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12642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12642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12643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12643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12643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12643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12643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12643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12643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12643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12643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12643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12644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12644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12645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12645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12641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12641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12642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12642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12643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12643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12643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12643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12643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12643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12643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12643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12643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12644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12644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12644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12644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12644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12644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12644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12644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12644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12644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12644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12644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12644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12644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12644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12644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12645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12645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12645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12645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12645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12645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12645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12645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12645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12645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12641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12642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12643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12643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12643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12643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12643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12644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12645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12645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12645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12645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12645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12645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12645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12645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12645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12645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12641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12641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12641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12641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12641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12641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12642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12642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12643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12643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12644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12644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12644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12644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12645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12645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12645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12641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12641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12641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12641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12642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12642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12642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12642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12642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12642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12643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12643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12643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12643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12643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12643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12643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12643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12644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12644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12644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12644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12644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12644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12644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12644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12644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12644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12644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12644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12644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12644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12644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12644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12644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12644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12644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12644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12644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12644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12644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12644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12644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12645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12645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12645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12645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12645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12645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12645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12645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12645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12645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12645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12645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12645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12641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12641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12641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12642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12642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12642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12643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12643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12643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12644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12644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12644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12645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12645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12645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12641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12641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12641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12641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12641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12641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12641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12642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12642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12642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12642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12642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12642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12642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12643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12643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12643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12643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12643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12643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12643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12644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12644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12644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12644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12644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12644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12644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12645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12645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12645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12645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12645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12645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12645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12645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12645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12645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12645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12641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12641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12641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12641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12641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12641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12641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12641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12642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12642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12642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12642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12642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12642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12642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12642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12642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12643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12643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12643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12643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12643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12643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12643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12643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12643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12643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12643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12643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12643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12643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12643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12643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12643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12643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12643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12643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12643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12643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12643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12643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12643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12643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12644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12644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12644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12644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12644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12644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12644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12644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12644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12644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12644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12644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12644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12644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12644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12644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12644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12644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12644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12644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12644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12644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12644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12644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12644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12644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12644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12644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12644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12645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12645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12645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12645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12645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12645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12645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12645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12645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12645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12645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12641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12641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12641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12641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12641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12641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12641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12641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12641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12642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12642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12642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12642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12642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12642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12642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12642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12642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12642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12642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12642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12642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12642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12642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12642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12642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12642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12642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12642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12642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12643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12643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12643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12643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12643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12643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12643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12643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12643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12643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12643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12643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12643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12644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12644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12644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12644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12644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12644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12644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12644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12644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12644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12644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12644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12644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12644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12644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12645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12645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12645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12645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12645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12645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12645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12645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12641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12641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12641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12641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12641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12642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12642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12642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12642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12642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12644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12644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12644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12645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12645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12643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12643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12643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12641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12641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12642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12642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12642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12642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12642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12642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12642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12642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12642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12642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12642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12642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12642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12642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12642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12642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12642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12642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12643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12643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12643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12643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12643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12643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12643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12643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12643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12643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12644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12644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12644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12644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12644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12645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12645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12645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12645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12641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12641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12641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12641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12642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12642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12642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12642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12642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12642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12642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12642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12642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12642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12642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12642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12642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12643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12643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12643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12643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12643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12643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12643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12643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12643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12644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12644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12644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12644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12644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12644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12644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12644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12644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12644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12644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12644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12644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12644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12645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12645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12645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12645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12645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12645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12641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12641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12641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12642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12642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12642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12642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12642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12642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12643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12643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12643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12643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12643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12644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12644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12644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12645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12645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12645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12645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12645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12645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12645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12645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12641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12641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12642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12642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12642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12643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12643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12644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12644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12645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12645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12641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12641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12642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12642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12642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12642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12642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12642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12642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12643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12643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12643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12643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12643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12644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12644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12644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12644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12645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12645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12641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12641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12641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12641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12641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12641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12641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12641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12641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12641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12641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12641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12641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12641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12641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12641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12641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12641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12641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12641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12641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12641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12641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12642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12642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12642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12642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12642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12642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12642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12642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12642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12642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12642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12642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12642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12643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12643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12643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12643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12643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12643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12643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12643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12643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12643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12643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12643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12644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12644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12644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12644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12644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12644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12644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12644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12644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12644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12645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12645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12641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12641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12642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12642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12642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12642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12642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12642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12642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12642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12643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12643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12643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12644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12644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12644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12644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12644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12644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12644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12644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12644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12644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12644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12645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12645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12641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12641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12642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12642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12643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12643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12644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12644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12644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12644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12644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12644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12644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12644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12644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12644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12644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12644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12644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12644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12645</v>
      </c>
    </row>
    <row r="3535" spans="1:7" hidden="1" x14ac:dyDescent="0.25">
      <c r="A3535" t="s">
        <v>8925</v>
      </c>
      <c r="F3535" t="s">
        <v>8923</v>
      </c>
      <c r="G3535" t="s">
        <v>12645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12641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12641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12642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12642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12642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12642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12642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12642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12642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12642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12642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12643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12643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12643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12643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12643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12643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12643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12643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12643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12644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12644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12644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12644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12644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12644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12644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12644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12644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12644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12645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12645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12645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12645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12645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12645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12645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12645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12645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12645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12645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12645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12645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12645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12645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12645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12645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12645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12645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12645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12645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12645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12645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12645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12645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12645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12645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12645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12645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12645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12645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12645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12641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12641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12641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12641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12641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12641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12641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12642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12642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12642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12642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12642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12642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12643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12643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12643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12643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12643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12643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12643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12643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12643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12643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12643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12643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12645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12645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12645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12645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12645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12645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12645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12645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12645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12645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12641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12641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12642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12642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12642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12642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12643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12643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12643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12643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12643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12643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12643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12643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12643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12643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12644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12644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12644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12645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12645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12641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12641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12642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12642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12642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12642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12642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12642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12642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12642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12642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12643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12643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12643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12643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12643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12643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12643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12643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12644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12644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12644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12644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12644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12644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12644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12644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12644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12644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12644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12645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12645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12645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12645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12645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12645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12645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11079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11079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11079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11081</v>
      </c>
      <c r="F4223" t="s">
        <v>10868</v>
      </c>
      <c r="G4223" t="s">
        <v>11080</v>
      </c>
    </row>
    <row r="4224" spans="1:7" hidden="1" x14ac:dyDescent="0.25">
      <c r="A4224" t="s">
        <v>1607</v>
      </c>
      <c r="B4224" t="s">
        <v>11081</v>
      </c>
      <c r="E4224" t="s">
        <v>11082</v>
      </c>
      <c r="F4224" t="s">
        <v>10871</v>
      </c>
      <c r="G4224" t="s">
        <v>11080</v>
      </c>
    </row>
    <row r="4225" spans="1:7" hidden="1" x14ac:dyDescent="0.25">
      <c r="A4225" t="s">
        <v>1607</v>
      </c>
      <c r="B4225" t="s">
        <v>11081</v>
      </c>
      <c r="E4225" t="s">
        <v>11082</v>
      </c>
      <c r="F4225" t="s">
        <v>10874</v>
      </c>
      <c r="G4225" t="s">
        <v>11080</v>
      </c>
    </row>
    <row r="4226" spans="1:7" hidden="1" x14ac:dyDescent="0.25">
      <c r="A4226" t="s">
        <v>1607</v>
      </c>
      <c r="B4226" t="s">
        <v>11081</v>
      </c>
      <c r="F4226" t="s">
        <v>10877</v>
      </c>
      <c r="G4226" t="s">
        <v>11080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11080</v>
      </c>
    </row>
    <row r="4228" spans="1:7" x14ac:dyDescent="0.25">
      <c r="A4228" t="s">
        <v>11084</v>
      </c>
      <c r="B4228" t="s">
        <v>11066</v>
      </c>
      <c r="F4228" t="s">
        <v>10883</v>
      </c>
      <c r="G4228" t="s">
        <v>11083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11083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11083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11083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11083</v>
      </c>
    </row>
    <row r="4233" spans="1:7" x14ac:dyDescent="0.25">
      <c r="A4233" t="s">
        <v>13901</v>
      </c>
      <c r="B4233" t="s">
        <v>11066</v>
      </c>
      <c r="F4233" t="s">
        <v>10897</v>
      </c>
      <c r="G4233" t="s">
        <v>11083</v>
      </c>
    </row>
    <row r="4234" spans="1:7" x14ac:dyDescent="0.25">
      <c r="A4234" t="s">
        <v>11085</v>
      </c>
      <c r="B4234" t="s">
        <v>11066</v>
      </c>
      <c r="F4234" t="s">
        <v>10900</v>
      </c>
      <c r="G4234" t="s">
        <v>11083</v>
      </c>
    </row>
    <row r="4235" spans="1:7" hidden="1" x14ac:dyDescent="0.25">
      <c r="A4235" t="s">
        <v>91</v>
      </c>
      <c r="B4235" t="s">
        <v>11066</v>
      </c>
      <c r="F4235" t="s">
        <v>13486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13489</v>
      </c>
      <c r="G4236" t="s">
        <v>91</v>
      </c>
    </row>
    <row r="4237" spans="1:7" hidden="1" x14ac:dyDescent="0.25">
      <c r="A4237" t="s">
        <v>91</v>
      </c>
      <c r="B4237" t="s">
        <v>13844</v>
      </c>
      <c r="C4237" t="s">
        <v>51</v>
      </c>
      <c r="E4237" t="s">
        <v>13845</v>
      </c>
      <c r="F4237" t="s">
        <v>13841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13492</v>
      </c>
      <c r="G4238" t="s">
        <v>12641</v>
      </c>
    </row>
    <row r="4239" spans="1:7" hidden="1" x14ac:dyDescent="0.25">
      <c r="A4239" t="s">
        <v>13846</v>
      </c>
      <c r="B4239" t="s">
        <v>86</v>
      </c>
      <c r="F4239" t="s">
        <v>13495</v>
      </c>
      <c r="G4239" t="s">
        <v>12641</v>
      </c>
    </row>
    <row r="4240" spans="1:7" hidden="1" x14ac:dyDescent="0.25">
      <c r="A4240" t="s">
        <v>13847</v>
      </c>
      <c r="B4240" t="s">
        <v>86</v>
      </c>
      <c r="F4240" t="s">
        <v>13498</v>
      </c>
      <c r="G4240" t="s">
        <v>12641</v>
      </c>
    </row>
    <row r="4241" spans="1:7" hidden="1" x14ac:dyDescent="0.25">
      <c r="A4241" t="s">
        <v>4</v>
      </c>
      <c r="B4241" t="s">
        <v>7045</v>
      </c>
      <c r="F4241" t="s">
        <v>13609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13612</v>
      </c>
      <c r="G4242" t="s">
        <v>11071</v>
      </c>
    </row>
    <row r="4243" spans="1:7" hidden="1" x14ac:dyDescent="0.25">
      <c r="A4243" t="s">
        <v>13848</v>
      </c>
      <c r="B4243" t="s">
        <v>468</v>
      </c>
      <c r="F4243" t="s">
        <v>13754</v>
      </c>
      <c r="G4243" t="s">
        <v>11071</v>
      </c>
    </row>
    <row r="4244" spans="1:7" hidden="1" x14ac:dyDescent="0.25">
      <c r="A4244" t="s">
        <v>13849</v>
      </c>
      <c r="B4244" t="s">
        <v>86</v>
      </c>
      <c r="F4244" t="s">
        <v>13757</v>
      </c>
      <c r="G4244" t="s">
        <v>11071</v>
      </c>
    </row>
    <row r="4245" spans="1:7" hidden="1" x14ac:dyDescent="0.25">
      <c r="A4245" t="s">
        <v>13850</v>
      </c>
      <c r="B4245" t="s">
        <v>86</v>
      </c>
      <c r="F4245" t="s">
        <v>13760</v>
      </c>
      <c r="G4245" t="s">
        <v>11071</v>
      </c>
    </row>
    <row r="4246" spans="1:7" hidden="1" x14ac:dyDescent="0.25">
      <c r="A4246" t="s">
        <v>13848</v>
      </c>
      <c r="B4246" t="s">
        <v>468</v>
      </c>
      <c r="F4246" t="s">
        <v>13763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13766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13769</v>
      </c>
      <c r="G4248" t="s">
        <v>11071</v>
      </c>
    </row>
    <row r="4249" spans="1:7" hidden="1" x14ac:dyDescent="0.25">
      <c r="A4249" t="s">
        <v>13848</v>
      </c>
      <c r="B4249" t="s">
        <v>468</v>
      </c>
      <c r="F4249" t="s">
        <v>13772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13775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13501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13504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13507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13778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13781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13784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13787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13790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13793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13796</v>
      </c>
      <c r="G4260" t="s">
        <v>897</v>
      </c>
    </row>
    <row r="4261" spans="1:7" hidden="1" x14ac:dyDescent="0.25">
      <c r="A4261" t="s">
        <v>13848</v>
      </c>
      <c r="B4261" t="s">
        <v>1274</v>
      </c>
      <c r="F4261" t="s">
        <v>13799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13802</v>
      </c>
      <c r="G4262" t="s">
        <v>897</v>
      </c>
    </row>
    <row r="4263" spans="1:7" hidden="1" x14ac:dyDescent="0.25">
      <c r="A4263" t="s">
        <v>4</v>
      </c>
      <c r="B4263" t="s">
        <v>13896</v>
      </c>
      <c r="F4263" t="s">
        <v>13851</v>
      </c>
      <c r="G4263" t="s">
        <v>12642</v>
      </c>
    </row>
    <row r="4264" spans="1:7" hidden="1" x14ac:dyDescent="0.25">
      <c r="A4264" t="s">
        <v>1607</v>
      </c>
      <c r="B4264" t="s">
        <v>6157</v>
      </c>
      <c r="F4264" t="s">
        <v>13854</v>
      </c>
      <c r="G4264" t="s">
        <v>12642</v>
      </c>
    </row>
    <row r="4265" spans="1:7" hidden="1" x14ac:dyDescent="0.25">
      <c r="A4265" t="s">
        <v>587</v>
      </c>
      <c r="B4265" t="s">
        <v>86</v>
      </c>
      <c r="F4265" t="s">
        <v>13857</v>
      </c>
      <c r="G4265" t="s">
        <v>12642</v>
      </c>
    </row>
    <row r="4266" spans="1:7" hidden="1" x14ac:dyDescent="0.25">
      <c r="A4266" t="s">
        <v>1607</v>
      </c>
      <c r="B4266" t="s">
        <v>6157</v>
      </c>
      <c r="F4266" t="s">
        <v>13860</v>
      </c>
      <c r="G4266" t="s">
        <v>12642</v>
      </c>
    </row>
    <row r="4267" spans="1:7" hidden="1" x14ac:dyDescent="0.25">
      <c r="A4267" t="s">
        <v>7354</v>
      </c>
      <c r="B4267" t="s">
        <v>1274</v>
      </c>
      <c r="F4267" t="s">
        <v>13863</v>
      </c>
      <c r="G4267" t="s">
        <v>12642</v>
      </c>
    </row>
    <row r="4268" spans="1:7" hidden="1" x14ac:dyDescent="0.25">
      <c r="A4268" t="s">
        <v>1273</v>
      </c>
      <c r="B4268" t="s">
        <v>86</v>
      </c>
      <c r="F4268" t="s">
        <v>13866</v>
      </c>
      <c r="G4268" t="s">
        <v>12642</v>
      </c>
    </row>
    <row r="4269" spans="1:7" hidden="1" x14ac:dyDescent="0.25">
      <c r="A4269" t="s">
        <v>1607</v>
      </c>
      <c r="B4269" t="s">
        <v>6157</v>
      </c>
      <c r="F4269" t="s">
        <v>13869</v>
      </c>
      <c r="G4269" t="s">
        <v>12642</v>
      </c>
    </row>
    <row r="4270" spans="1:7" hidden="1" x14ac:dyDescent="0.25">
      <c r="A4270" t="s">
        <v>1607</v>
      </c>
      <c r="B4270" t="s">
        <v>6157</v>
      </c>
      <c r="F4270" t="s">
        <v>13872</v>
      </c>
      <c r="G4270" t="s">
        <v>12642</v>
      </c>
    </row>
    <row r="4271" spans="1:7" hidden="1" x14ac:dyDescent="0.25">
      <c r="A4271" t="s">
        <v>587</v>
      </c>
      <c r="B4271" t="s">
        <v>86</v>
      </c>
      <c r="F4271" t="s">
        <v>13875</v>
      </c>
      <c r="G4271" t="s">
        <v>12642</v>
      </c>
    </row>
    <row r="4272" spans="1:7" hidden="1" x14ac:dyDescent="0.25">
      <c r="A4272" t="s">
        <v>7354</v>
      </c>
      <c r="B4272" t="s">
        <v>1274</v>
      </c>
      <c r="F4272" t="s">
        <v>13878</v>
      </c>
      <c r="G4272" t="s">
        <v>12642</v>
      </c>
    </row>
    <row r="4273" spans="1:7" hidden="1" x14ac:dyDescent="0.25">
      <c r="A4273" t="s">
        <v>7354</v>
      </c>
      <c r="B4273" t="s">
        <v>1274</v>
      </c>
      <c r="F4273" t="s">
        <v>13881</v>
      </c>
      <c r="G4273" t="s">
        <v>12642</v>
      </c>
    </row>
    <row r="4274" spans="1:7" hidden="1" x14ac:dyDescent="0.25">
      <c r="A4274" t="s">
        <v>1273</v>
      </c>
      <c r="B4274" t="s">
        <v>86</v>
      </c>
      <c r="F4274" t="s">
        <v>13884</v>
      </c>
      <c r="G4274" t="s">
        <v>12642</v>
      </c>
    </row>
    <row r="4275" spans="1:7" hidden="1" x14ac:dyDescent="0.25">
      <c r="A4275" t="s">
        <v>4</v>
      </c>
      <c r="B4275" t="s">
        <v>13896</v>
      </c>
      <c r="F4275" t="s">
        <v>13887</v>
      </c>
      <c r="G4275" t="s">
        <v>12642</v>
      </c>
    </row>
    <row r="4276" spans="1:7" hidden="1" x14ac:dyDescent="0.25">
      <c r="A4276" t="s">
        <v>7354</v>
      </c>
      <c r="B4276" t="s">
        <v>1274</v>
      </c>
      <c r="F4276" t="s">
        <v>13890</v>
      </c>
      <c r="G4276" t="s">
        <v>12642</v>
      </c>
    </row>
    <row r="4277" spans="1:7" hidden="1" x14ac:dyDescent="0.25">
      <c r="A4277" t="s">
        <v>13897</v>
      </c>
      <c r="B4277" t="s">
        <v>1274</v>
      </c>
      <c r="F4277" t="s">
        <v>13893</v>
      </c>
      <c r="G4277" t="s">
        <v>12642</v>
      </c>
    </row>
    <row r="4278" spans="1:7" hidden="1" x14ac:dyDescent="0.25">
      <c r="A4278" t="s">
        <v>4</v>
      </c>
      <c r="B4278" t="s">
        <v>9</v>
      </c>
      <c r="F4278" t="s">
        <v>13805</v>
      </c>
      <c r="G4278" t="s">
        <v>12643</v>
      </c>
    </row>
    <row r="4279" spans="1:7" hidden="1" x14ac:dyDescent="0.25">
      <c r="A4279" t="s">
        <v>1627</v>
      </c>
      <c r="B4279" t="s">
        <v>1058</v>
      </c>
      <c r="F4279" t="s">
        <v>13808</v>
      </c>
      <c r="G4279" t="s">
        <v>12643</v>
      </c>
    </row>
    <row r="4280" spans="1:7" hidden="1" x14ac:dyDescent="0.25">
      <c r="A4280" t="s">
        <v>1627</v>
      </c>
      <c r="B4280" t="s">
        <v>1058</v>
      </c>
      <c r="F4280" t="s">
        <v>13811</v>
      </c>
      <c r="G4280" t="s">
        <v>12643</v>
      </c>
    </row>
    <row r="4281" spans="1:7" hidden="1" x14ac:dyDescent="0.25">
      <c r="A4281" t="s">
        <v>1627</v>
      </c>
      <c r="B4281" t="s">
        <v>1058</v>
      </c>
      <c r="F4281" t="s">
        <v>13814</v>
      </c>
      <c r="G4281" t="s">
        <v>12643</v>
      </c>
    </row>
    <row r="4282" spans="1:7" hidden="1" x14ac:dyDescent="0.25">
      <c r="A4282" t="s">
        <v>4</v>
      </c>
      <c r="B4282" t="s">
        <v>9</v>
      </c>
      <c r="F4282" t="s">
        <v>13817</v>
      </c>
      <c r="G4282" t="s">
        <v>12643</v>
      </c>
    </row>
    <row r="4283" spans="1:7" hidden="1" x14ac:dyDescent="0.25">
      <c r="A4283" t="s">
        <v>1627</v>
      </c>
      <c r="B4283" t="s">
        <v>1058</v>
      </c>
      <c r="F4283" t="s">
        <v>13820</v>
      </c>
      <c r="G4283" t="s">
        <v>12643</v>
      </c>
    </row>
    <row r="4284" spans="1:7" hidden="1" x14ac:dyDescent="0.25">
      <c r="A4284" t="s">
        <v>4</v>
      </c>
      <c r="B4284" t="s">
        <v>9</v>
      </c>
      <c r="F4284" t="s">
        <v>13823</v>
      </c>
      <c r="G4284" t="s">
        <v>12643</v>
      </c>
    </row>
    <row r="4285" spans="1:7" hidden="1" x14ac:dyDescent="0.25">
      <c r="A4285" t="s">
        <v>4</v>
      </c>
      <c r="B4285" t="s">
        <v>9</v>
      </c>
      <c r="F4285" t="s">
        <v>13826</v>
      </c>
      <c r="G4285" t="s">
        <v>12643</v>
      </c>
    </row>
    <row r="4286" spans="1:7" hidden="1" x14ac:dyDescent="0.25">
      <c r="A4286" t="s">
        <v>4</v>
      </c>
      <c r="B4286" t="s">
        <v>9</v>
      </c>
      <c r="F4286" t="s">
        <v>13829</v>
      </c>
      <c r="G4286" t="s">
        <v>12643</v>
      </c>
    </row>
    <row r="4287" spans="1:7" hidden="1" x14ac:dyDescent="0.25">
      <c r="A4287" t="s">
        <v>1627</v>
      </c>
      <c r="B4287" t="s">
        <v>1058</v>
      </c>
      <c r="F4287" t="s">
        <v>13832</v>
      </c>
      <c r="G4287" t="s">
        <v>12643</v>
      </c>
    </row>
    <row r="4288" spans="1:7" hidden="1" x14ac:dyDescent="0.25">
      <c r="A4288" t="s">
        <v>1627</v>
      </c>
      <c r="B4288" t="s">
        <v>1058</v>
      </c>
      <c r="F4288" t="s">
        <v>13835</v>
      </c>
      <c r="G4288" t="s">
        <v>12643</v>
      </c>
    </row>
    <row r="4289" spans="1:7" hidden="1" x14ac:dyDescent="0.25">
      <c r="A4289" t="s">
        <v>7354</v>
      </c>
      <c r="B4289" t="s">
        <v>7355</v>
      </c>
      <c r="F4289" t="s">
        <v>13838</v>
      </c>
      <c r="G4289" t="s">
        <v>12643</v>
      </c>
    </row>
    <row r="4290" spans="1:7" hidden="1" x14ac:dyDescent="0.25">
      <c r="A4290" t="s">
        <v>4</v>
      </c>
      <c r="B4290" t="s">
        <v>8</v>
      </c>
      <c r="F4290" t="s">
        <v>13510</v>
      </c>
      <c r="G4290" t="s">
        <v>12644</v>
      </c>
    </row>
    <row r="4291" spans="1:7" hidden="1" x14ac:dyDescent="0.25">
      <c r="A4291" t="s">
        <v>4</v>
      </c>
      <c r="B4291" t="s">
        <v>8</v>
      </c>
      <c r="F4291" t="s">
        <v>13513</v>
      </c>
      <c r="G4291" t="s">
        <v>12644</v>
      </c>
    </row>
    <row r="4292" spans="1:7" hidden="1" x14ac:dyDescent="0.25">
      <c r="A4292" t="s">
        <v>7354</v>
      </c>
      <c r="B4292" t="s">
        <v>468</v>
      </c>
      <c r="F4292" t="s">
        <v>13516</v>
      </c>
      <c r="G4292" t="s">
        <v>12644</v>
      </c>
    </row>
    <row r="4293" spans="1:7" hidden="1" x14ac:dyDescent="0.25">
      <c r="A4293" t="s">
        <v>7354</v>
      </c>
      <c r="B4293" t="s">
        <v>468</v>
      </c>
      <c r="F4293" t="s">
        <v>13519</v>
      </c>
      <c r="G4293" t="s">
        <v>12644</v>
      </c>
    </row>
    <row r="4294" spans="1:7" hidden="1" x14ac:dyDescent="0.25">
      <c r="A4294" t="s">
        <v>4</v>
      </c>
      <c r="B4294" t="s">
        <v>8</v>
      </c>
      <c r="F4294" t="s">
        <v>13522</v>
      </c>
      <c r="G4294" t="s">
        <v>12644</v>
      </c>
    </row>
    <row r="4295" spans="1:7" hidden="1" x14ac:dyDescent="0.25">
      <c r="A4295" t="s">
        <v>13898</v>
      </c>
      <c r="B4295" t="s">
        <v>1274</v>
      </c>
      <c r="F4295" t="s">
        <v>13525</v>
      </c>
      <c r="G4295" t="s">
        <v>12644</v>
      </c>
    </row>
    <row r="4296" spans="1:7" hidden="1" x14ac:dyDescent="0.25">
      <c r="A4296" t="s">
        <v>13898</v>
      </c>
      <c r="B4296" t="s">
        <v>1274</v>
      </c>
      <c r="F4296" t="s">
        <v>13528</v>
      </c>
      <c r="G4296" t="s">
        <v>12644</v>
      </c>
    </row>
    <row r="4297" spans="1:7" hidden="1" x14ac:dyDescent="0.25">
      <c r="A4297" t="s">
        <v>4</v>
      </c>
      <c r="B4297" t="s">
        <v>8</v>
      </c>
      <c r="F4297" t="s">
        <v>13531</v>
      </c>
      <c r="G4297" t="s">
        <v>12644</v>
      </c>
    </row>
    <row r="4298" spans="1:7" hidden="1" x14ac:dyDescent="0.25">
      <c r="A4298" t="s">
        <v>4</v>
      </c>
      <c r="B4298" t="s">
        <v>8</v>
      </c>
      <c r="F4298" t="s">
        <v>13534</v>
      </c>
      <c r="G4298" t="s">
        <v>12644</v>
      </c>
    </row>
    <row r="4299" spans="1:7" hidden="1" x14ac:dyDescent="0.25">
      <c r="A4299" t="s">
        <v>4</v>
      </c>
      <c r="B4299" t="s">
        <v>8</v>
      </c>
      <c r="F4299" t="s">
        <v>13537</v>
      </c>
      <c r="G4299" t="s">
        <v>12645</v>
      </c>
    </row>
    <row r="4300" spans="1:7" hidden="1" x14ac:dyDescent="0.25">
      <c r="A4300" t="s">
        <v>4</v>
      </c>
      <c r="B4300" t="s">
        <v>11066</v>
      </c>
      <c r="F4300" t="s">
        <v>13540</v>
      </c>
      <c r="G4300" t="s">
        <v>12645</v>
      </c>
    </row>
    <row r="4301" spans="1:7" hidden="1" x14ac:dyDescent="0.25">
      <c r="A4301" t="s">
        <v>4</v>
      </c>
      <c r="B4301" t="s">
        <v>8</v>
      </c>
      <c r="F4301" t="s">
        <v>13543</v>
      </c>
      <c r="G4301" t="s">
        <v>12645</v>
      </c>
    </row>
    <row r="4302" spans="1:7" hidden="1" x14ac:dyDescent="0.25">
      <c r="A4302" t="s">
        <v>4</v>
      </c>
      <c r="B4302" t="s">
        <v>8</v>
      </c>
      <c r="F4302" t="s">
        <v>13546</v>
      </c>
      <c r="G4302" t="s">
        <v>12645</v>
      </c>
    </row>
    <row r="4303" spans="1:7" hidden="1" x14ac:dyDescent="0.25">
      <c r="A4303" t="s">
        <v>1607</v>
      </c>
      <c r="B4303" t="s">
        <v>8</v>
      </c>
      <c r="F4303" t="s">
        <v>13549</v>
      </c>
      <c r="G4303" t="s">
        <v>12645</v>
      </c>
    </row>
    <row r="4304" spans="1:7" hidden="1" x14ac:dyDescent="0.25">
      <c r="A4304" t="s">
        <v>4</v>
      </c>
      <c r="B4304" t="s">
        <v>8</v>
      </c>
      <c r="F4304" t="s">
        <v>13552</v>
      </c>
      <c r="G4304" t="s">
        <v>1537</v>
      </c>
    </row>
    <row r="4305" spans="1:7" hidden="1" x14ac:dyDescent="0.25">
      <c r="A4305" t="s">
        <v>13848</v>
      </c>
      <c r="B4305" t="s">
        <v>468</v>
      </c>
      <c r="F4305" t="s">
        <v>13555</v>
      </c>
      <c r="G4305" t="s">
        <v>1537</v>
      </c>
    </row>
    <row r="4306" spans="1:7" hidden="1" x14ac:dyDescent="0.25">
      <c r="A4306" t="s">
        <v>13848</v>
      </c>
      <c r="B4306" t="s">
        <v>468</v>
      </c>
      <c r="F4306" t="s">
        <v>13558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13561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13564</v>
      </c>
      <c r="G4308" t="s">
        <v>1537</v>
      </c>
    </row>
    <row r="4309" spans="1:7" hidden="1" x14ac:dyDescent="0.25">
      <c r="A4309" t="s">
        <v>13848</v>
      </c>
      <c r="B4309" t="s">
        <v>468</v>
      </c>
      <c r="F4309" t="s">
        <v>13567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13570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13573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13576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13579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13582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13585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13588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13591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13594</v>
      </c>
      <c r="G4318" t="s">
        <v>10022</v>
      </c>
    </row>
    <row r="4319" spans="1:7" hidden="1" x14ac:dyDescent="0.25">
      <c r="A4319" t="s">
        <v>13899</v>
      </c>
      <c r="B4319" t="s">
        <v>13844</v>
      </c>
      <c r="F4319" t="s">
        <v>13597</v>
      </c>
      <c r="G4319" t="s">
        <v>10022</v>
      </c>
    </row>
    <row r="4320" spans="1:7" hidden="1" x14ac:dyDescent="0.25">
      <c r="A4320" t="s">
        <v>13899</v>
      </c>
      <c r="B4320" t="s">
        <v>13844</v>
      </c>
      <c r="F4320" t="s">
        <v>13600</v>
      </c>
      <c r="G4320" t="s">
        <v>10022</v>
      </c>
    </row>
    <row r="4321" spans="1:7" hidden="1" x14ac:dyDescent="0.25">
      <c r="A4321" t="s">
        <v>62</v>
      </c>
      <c r="B4321" t="s">
        <v>13844</v>
      </c>
      <c r="C4321" t="s">
        <v>13900</v>
      </c>
      <c r="F4321" t="s">
        <v>13603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13606</v>
      </c>
      <c r="G4322" t="s">
        <v>10022</v>
      </c>
    </row>
    <row r="4323" spans="1:7" hidden="1" x14ac:dyDescent="0.25">
      <c r="A4323" t="s">
        <v>4</v>
      </c>
      <c r="B4323" t="s">
        <v>11079</v>
      </c>
      <c r="F4323" t="s">
        <v>13615</v>
      </c>
      <c r="G4323" t="s">
        <v>11078</v>
      </c>
    </row>
    <row r="4324" spans="1:7" hidden="1" x14ac:dyDescent="0.25">
      <c r="A4324" t="s">
        <v>4</v>
      </c>
      <c r="B4324" t="s">
        <v>11079</v>
      </c>
      <c r="F4324" t="s">
        <v>13618</v>
      </c>
      <c r="G4324" t="s">
        <v>11078</v>
      </c>
    </row>
    <row r="4325" spans="1:7" hidden="1" x14ac:dyDescent="0.25">
      <c r="A4325" t="s">
        <v>4</v>
      </c>
      <c r="B4325" t="s">
        <v>11079</v>
      </c>
      <c r="F4325" t="s">
        <v>13621</v>
      </c>
      <c r="G4325" t="s">
        <v>11078</v>
      </c>
    </row>
    <row r="4326" spans="1:7" hidden="1" x14ac:dyDescent="0.25">
      <c r="A4326" t="s">
        <v>4</v>
      </c>
      <c r="B4326" t="s">
        <v>11079</v>
      </c>
      <c r="F4326" t="s">
        <v>13624</v>
      </c>
      <c r="G4326" t="s">
        <v>11078</v>
      </c>
    </row>
    <row r="4327" spans="1:7" hidden="1" x14ac:dyDescent="0.25">
      <c r="A4327" t="s">
        <v>4</v>
      </c>
      <c r="B4327" t="s">
        <v>11079</v>
      </c>
      <c r="F4327" t="s">
        <v>13627</v>
      </c>
      <c r="G4327" t="s">
        <v>11078</v>
      </c>
    </row>
    <row r="4328" spans="1:7" hidden="1" x14ac:dyDescent="0.25">
      <c r="A4328" t="s">
        <v>4</v>
      </c>
      <c r="B4328" t="s">
        <v>11079</v>
      </c>
      <c r="F4328" t="s">
        <v>13630</v>
      </c>
      <c r="G4328" t="s">
        <v>11078</v>
      </c>
    </row>
    <row r="4329" spans="1:7" hidden="1" x14ac:dyDescent="0.25">
      <c r="A4329" t="s">
        <v>4</v>
      </c>
      <c r="B4329" t="s">
        <v>11079</v>
      </c>
      <c r="F4329" t="s">
        <v>13633</v>
      </c>
      <c r="G4329" t="s">
        <v>11078</v>
      </c>
    </row>
    <row r="4330" spans="1:7" hidden="1" x14ac:dyDescent="0.25">
      <c r="A4330" t="s">
        <v>4</v>
      </c>
      <c r="B4330" t="s">
        <v>11079</v>
      </c>
      <c r="F4330" t="s">
        <v>13636</v>
      </c>
      <c r="G4330" t="s">
        <v>11078</v>
      </c>
    </row>
    <row r="4331" spans="1:7" hidden="1" x14ac:dyDescent="0.25">
      <c r="A4331" t="s">
        <v>4</v>
      </c>
      <c r="B4331" t="s">
        <v>11081</v>
      </c>
      <c r="F4331" t="s">
        <v>13639</v>
      </c>
      <c r="G4331" t="s">
        <v>11080</v>
      </c>
    </row>
    <row r="4332" spans="1:7" hidden="1" x14ac:dyDescent="0.25">
      <c r="A4332" t="s">
        <v>1607</v>
      </c>
      <c r="B4332" t="s">
        <v>11081</v>
      </c>
      <c r="F4332" t="s">
        <v>13642</v>
      </c>
      <c r="G4332" t="s">
        <v>11080</v>
      </c>
    </row>
    <row r="4333" spans="1:7" hidden="1" x14ac:dyDescent="0.25">
      <c r="A4333" t="s">
        <v>1607</v>
      </c>
      <c r="B4333" t="s">
        <v>11081</v>
      </c>
      <c r="F4333" t="s">
        <v>13645</v>
      </c>
      <c r="G4333" t="s">
        <v>11080</v>
      </c>
    </row>
    <row r="4334" spans="1:7" hidden="1" x14ac:dyDescent="0.25">
      <c r="A4334" t="s">
        <v>4</v>
      </c>
      <c r="B4334" t="s">
        <v>1274</v>
      </c>
      <c r="F4334" t="s">
        <v>13648</v>
      </c>
      <c r="G4334" t="s">
        <v>11080</v>
      </c>
    </row>
    <row r="4335" spans="1:7" hidden="1" x14ac:dyDescent="0.25">
      <c r="A4335" t="s">
        <v>4</v>
      </c>
      <c r="B4335" t="s">
        <v>1274</v>
      </c>
      <c r="F4335" t="s">
        <v>13651</v>
      </c>
      <c r="G4335" t="s">
        <v>11080</v>
      </c>
    </row>
    <row r="4336" spans="1:7" x14ac:dyDescent="0.25">
      <c r="A4336" t="s">
        <v>4</v>
      </c>
      <c r="B4336" t="s">
        <v>8</v>
      </c>
      <c r="F4336" t="s">
        <v>13654</v>
      </c>
      <c r="G4336" t="s">
        <v>11083</v>
      </c>
    </row>
    <row r="4337" spans="1:7" x14ac:dyDescent="0.25">
      <c r="A4337" t="s">
        <v>588</v>
      </c>
      <c r="B4337" t="s">
        <v>86</v>
      </c>
      <c r="F4337" t="s">
        <v>13657</v>
      </c>
      <c r="G4337" t="s">
        <v>11083</v>
      </c>
    </row>
    <row r="4338" spans="1:7" x14ac:dyDescent="0.25">
      <c r="A4338" t="s">
        <v>588</v>
      </c>
      <c r="B4338" t="s">
        <v>86</v>
      </c>
      <c r="F4338" t="s">
        <v>13660</v>
      </c>
      <c r="G4338" t="s">
        <v>11083</v>
      </c>
    </row>
    <row r="4339" spans="1:7" x14ac:dyDescent="0.25">
      <c r="A4339" t="s">
        <v>588</v>
      </c>
      <c r="B4339" t="s">
        <v>86</v>
      </c>
      <c r="F4339" t="s">
        <v>13663</v>
      </c>
      <c r="G4339" t="s">
        <v>11083</v>
      </c>
    </row>
    <row r="4340" spans="1:7" x14ac:dyDescent="0.25">
      <c r="A4340" t="s">
        <v>588</v>
      </c>
      <c r="B4340" t="s">
        <v>86</v>
      </c>
      <c r="F4340" t="s">
        <v>13666</v>
      </c>
      <c r="G4340" t="s">
        <v>11083</v>
      </c>
    </row>
    <row r="4341" spans="1:7" x14ac:dyDescent="0.25">
      <c r="A4341" t="s">
        <v>588</v>
      </c>
      <c r="B4341" t="s">
        <v>86</v>
      </c>
      <c r="F4341" t="s">
        <v>13669</v>
      </c>
      <c r="G4341" t="s">
        <v>11083</v>
      </c>
    </row>
    <row r="4342" spans="1:7" x14ac:dyDescent="0.25">
      <c r="A4342" t="s">
        <v>588</v>
      </c>
      <c r="B4342" t="s">
        <v>86</v>
      </c>
      <c r="F4342" t="s">
        <v>13672</v>
      </c>
      <c r="G4342" t="s">
        <v>11083</v>
      </c>
    </row>
    <row r="4343" spans="1:7" x14ac:dyDescent="0.25">
      <c r="A4343" t="s">
        <v>13901</v>
      </c>
      <c r="B4343" t="s">
        <v>11066</v>
      </c>
      <c r="F4343" t="s">
        <v>13675</v>
      </c>
      <c r="G4343" t="s">
        <v>11083</v>
      </c>
    </row>
    <row r="4344" spans="1:7" x14ac:dyDescent="0.25">
      <c r="A4344" t="s">
        <v>11085</v>
      </c>
      <c r="B4344" t="s">
        <v>11066</v>
      </c>
      <c r="F4344" t="s">
        <v>13678</v>
      </c>
      <c r="G4344" t="s">
        <v>11083</v>
      </c>
    </row>
    <row r="4345" spans="1:7" x14ac:dyDescent="0.25">
      <c r="A4345" t="s">
        <v>588</v>
      </c>
      <c r="B4345" t="s">
        <v>86</v>
      </c>
      <c r="F4345" t="s">
        <v>13681</v>
      </c>
      <c r="G4345" t="s">
        <v>11083</v>
      </c>
    </row>
    <row r="4346" spans="1:7" x14ac:dyDescent="0.25">
      <c r="A4346" t="s">
        <v>588</v>
      </c>
      <c r="B4346" t="s">
        <v>86</v>
      </c>
      <c r="F4346" t="s">
        <v>13684</v>
      </c>
      <c r="G4346" t="s">
        <v>11083</v>
      </c>
    </row>
    <row r="4347" spans="1:7" x14ac:dyDescent="0.25">
      <c r="A4347" t="s">
        <v>587</v>
      </c>
      <c r="B4347" t="s">
        <v>11066</v>
      </c>
      <c r="F4347" t="s">
        <v>13687</v>
      </c>
      <c r="G4347" t="s">
        <v>11083</v>
      </c>
    </row>
    <row r="4348" spans="1:7" x14ac:dyDescent="0.25">
      <c r="A4348" t="s">
        <v>587</v>
      </c>
      <c r="B4348" t="s">
        <v>11066</v>
      </c>
      <c r="E4348" t="s">
        <v>2352</v>
      </c>
      <c r="F4348" t="s">
        <v>13690</v>
      </c>
      <c r="G4348" t="s">
        <v>11083</v>
      </c>
    </row>
    <row r="4349" spans="1:7" x14ac:dyDescent="0.25">
      <c r="A4349" t="s">
        <v>13902</v>
      </c>
      <c r="F4349" t="s">
        <v>13693</v>
      </c>
      <c r="G4349" t="s">
        <v>11083</v>
      </c>
    </row>
    <row r="4350" spans="1:7" x14ac:dyDescent="0.25">
      <c r="A4350" t="s">
        <v>588</v>
      </c>
      <c r="B4350" t="s">
        <v>86</v>
      </c>
      <c r="F4350" t="s">
        <v>13696</v>
      </c>
      <c r="G4350" t="s">
        <v>11083</v>
      </c>
    </row>
    <row r="4351" spans="1:7" x14ac:dyDescent="0.25">
      <c r="A4351" t="s">
        <v>588</v>
      </c>
      <c r="B4351" t="s">
        <v>86</v>
      </c>
      <c r="F4351" t="s">
        <v>13699</v>
      </c>
      <c r="G4351" t="s">
        <v>11083</v>
      </c>
    </row>
    <row r="4352" spans="1:7" x14ac:dyDescent="0.25">
      <c r="A4352" t="s">
        <v>13903</v>
      </c>
      <c r="F4352" t="s">
        <v>13702</v>
      </c>
      <c r="G4352" t="s">
        <v>11083</v>
      </c>
    </row>
    <row r="4353" spans="1:7" x14ac:dyDescent="0.25">
      <c r="A4353" t="s">
        <v>4</v>
      </c>
      <c r="B4353" t="s">
        <v>8</v>
      </c>
      <c r="F4353" t="s">
        <v>13705</v>
      </c>
      <c r="G4353" t="s">
        <v>11083</v>
      </c>
    </row>
    <row r="4354" spans="1:7" x14ac:dyDescent="0.25">
      <c r="A4354" t="s">
        <v>1273</v>
      </c>
      <c r="B4354" t="s">
        <v>13844</v>
      </c>
      <c r="F4354" t="s">
        <v>13708</v>
      </c>
      <c r="G4354" t="s">
        <v>11083</v>
      </c>
    </row>
    <row r="4355" spans="1:7" x14ac:dyDescent="0.25">
      <c r="A4355" t="s">
        <v>13904</v>
      </c>
      <c r="B4355" t="s">
        <v>13844</v>
      </c>
      <c r="C4355" t="s">
        <v>1288</v>
      </c>
      <c r="F4355" t="s">
        <v>13711</v>
      </c>
      <c r="G4355" t="s">
        <v>11083</v>
      </c>
    </row>
    <row r="4356" spans="1:7" x14ac:dyDescent="0.25">
      <c r="A4356" t="s">
        <v>13904</v>
      </c>
      <c r="B4356" t="s">
        <v>13844</v>
      </c>
      <c r="C4356" t="s">
        <v>1288</v>
      </c>
      <c r="D4356">
        <v>1</v>
      </c>
      <c r="E4356" t="s">
        <v>2352</v>
      </c>
      <c r="F4356" t="s">
        <v>13714</v>
      </c>
      <c r="G4356" t="s">
        <v>11083</v>
      </c>
    </row>
    <row r="4357" spans="1:7" x14ac:dyDescent="0.25">
      <c r="A4357" t="s">
        <v>10572</v>
      </c>
      <c r="B4357" t="s">
        <v>13844</v>
      </c>
      <c r="F4357" t="s">
        <v>13717</v>
      </c>
      <c r="G4357" t="s">
        <v>11083</v>
      </c>
    </row>
    <row r="4358" spans="1:7" x14ac:dyDescent="0.25">
      <c r="A4358" t="s">
        <v>13904</v>
      </c>
      <c r="B4358" t="s">
        <v>13844</v>
      </c>
      <c r="C4358" t="s">
        <v>10243</v>
      </c>
      <c r="D4358">
        <v>1</v>
      </c>
      <c r="F4358" t="s">
        <v>13720</v>
      </c>
      <c r="G4358" t="s">
        <v>11083</v>
      </c>
    </row>
    <row r="4359" spans="1:7" x14ac:dyDescent="0.25">
      <c r="A4359" t="s">
        <v>13904</v>
      </c>
      <c r="B4359" t="s">
        <v>13844</v>
      </c>
      <c r="C4359" t="s">
        <v>469</v>
      </c>
      <c r="D4359">
        <v>2</v>
      </c>
      <c r="F4359" t="s">
        <v>13723</v>
      </c>
      <c r="G4359" t="s">
        <v>11083</v>
      </c>
    </row>
    <row r="4360" spans="1:7" x14ac:dyDescent="0.25">
      <c r="A4360" t="s">
        <v>13904</v>
      </c>
      <c r="B4360" t="s">
        <v>13844</v>
      </c>
      <c r="C4360" t="s">
        <v>10243</v>
      </c>
      <c r="D4360">
        <v>1</v>
      </c>
      <c r="F4360" t="s">
        <v>13724</v>
      </c>
      <c r="G4360" t="s">
        <v>11083</v>
      </c>
    </row>
    <row r="4361" spans="1:7" x14ac:dyDescent="0.25">
      <c r="A4361" t="s">
        <v>13904</v>
      </c>
      <c r="B4361" t="s">
        <v>13844</v>
      </c>
      <c r="C4361" t="s">
        <v>10243</v>
      </c>
      <c r="D4361">
        <v>1</v>
      </c>
      <c r="F4361" t="s">
        <v>13727</v>
      </c>
      <c r="G4361" t="s">
        <v>11083</v>
      </c>
    </row>
    <row r="4362" spans="1:7" x14ac:dyDescent="0.25">
      <c r="A4362" t="s">
        <v>13904</v>
      </c>
      <c r="B4362" t="s">
        <v>13844</v>
      </c>
      <c r="C4362" t="s">
        <v>10243</v>
      </c>
      <c r="D4362">
        <v>1</v>
      </c>
      <c r="F4362" t="s">
        <v>13730</v>
      </c>
      <c r="G4362" t="s">
        <v>11083</v>
      </c>
    </row>
    <row r="4363" spans="1:7" x14ac:dyDescent="0.25">
      <c r="A4363" t="s">
        <v>10572</v>
      </c>
      <c r="B4363" t="s">
        <v>13844</v>
      </c>
      <c r="F4363" t="s">
        <v>13733</v>
      </c>
      <c r="G4363" t="s">
        <v>11083</v>
      </c>
    </row>
    <row r="4364" spans="1:7" x14ac:dyDescent="0.25">
      <c r="A4364" t="s">
        <v>13904</v>
      </c>
      <c r="B4364" t="s">
        <v>13844</v>
      </c>
      <c r="C4364" t="s">
        <v>13905</v>
      </c>
      <c r="F4364" t="s">
        <v>13736</v>
      </c>
      <c r="G4364" t="s">
        <v>11083</v>
      </c>
    </row>
    <row r="4365" spans="1:7" x14ac:dyDescent="0.25">
      <c r="A4365" t="s">
        <v>13904</v>
      </c>
      <c r="B4365" t="s">
        <v>13844</v>
      </c>
      <c r="C4365" t="s">
        <v>13905</v>
      </c>
      <c r="F4365" t="s">
        <v>13739</v>
      </c>
      <c r="G4365" t="s">
        <v>11083</v>
      </c>
    </row>
    <row r="4366" spans="1:7" x14ac:dyDescent="0.25">
      <c r="A4366" t="s">
        <v>10572</v>
      </c>
      <c r="B4366" t="s">
        <v>13844</v>
      </c>
      <c r="E4366" t="s">
        <v>13906</v>
      </c>
      <c r="F4366" t="s">
        <v>13742</v>
      </c>
      <c r="G4366" t="s">
        <v>11083</v>
      </c>
    </row>
    <row r="4367" spans="1:7" x14ac:dyDescent="0.25">
      <c r="A4367" t="s">
        <v>4</v>
      </c>
      <c r="B4367" t="s">
        <v>8</v>
      </c>
      <c r="F4367" t="s">
        <v>13745</v>
      </c>
      <c r="G4367" t="s">
        <v>11083</v>
      </c>
    </row>
    <row r="4368" spans="1:7" x14ac:dyDescent="0.25">
      <c r="A4368" t="s">
        <v>10015</v>
      </c>
      <c r="B4368" t="s">
        <v>86</v>
      </c>
      <c r="F4368" t="s">
        <v>13748</v>
      </c>
      <c r="G4368" t="s">
        <v>11083</v>
      </c>
    </row>
    <row r="4369" spans="1:7" x14ac:dyDescent="0.25">
      <c r="A4369" t="s">
        <v>4</v>
      </c>
      <c r="B4369" t="s">
        <v>8</v>
      </c>
      <c r="F4369" t="s">
        <v>13751</v>
      </c>
      <c r="G4369" t="s">
        <v>11083</v>
      </c>
    </row>
    <row r="4370" spans="1:7" hidden="1" x14ac:dyDescent="0.25">
      <c r="A4370" t="s">
        <v>1607</v>
      </c>
      <c r="F4370" t="s">
        <v>13913</v>
      </c>
      <c r="G4370" t="s">
        <v>91</v>
      </c>
    </row>
    <row r="4371" spans="1:7" hidden="1" x14ac:dyDescent="0.25">
      <c r="A4371" t="s">
        <v>1607</v>
      </c>
      <c r="F4371" t="s">
        <v>13916</v>
      </c>
      <c r="G4371" t="s">
        <v>91</v>
      </c>
    </row>
    <row r="4372" spans="1:7" hidden="1" x14ac:dyDescent="0.25">
      <c r="A4372" t="s">
        <v>1607</v>
      </c>
      <c r="B4372" t="s">
        <v>8</v>
      </c>
      <c r="F4372" s="8" t="s">
        <v>13907</v>
      </c>
      <c r="G4372" t="s">
        <v>12641</v>
      </c>
    </row>
    <row r="4373" spans="1:7" hidden="1" x14ac:dyDescent="0.25">
      <c r="A4373" t="s">
        <v>1607</v>
      </c>
      <c r="B4373" t="s">
        <v>8</v>
      </c>
      <c r="F4373" s="8" t="s">
        <v>13910</v>
      </c>
      <c r="G4373" t="s">
        <v>12641</v>
      </c>
    </row>
    <row r="4374" spans="1:7" hidden="1" x14ac:dyDescent="0.25">
      <c r="A4374" t="s">
        <v>1607</v>
      </c>
      <c r="B4374" t="s">
        <v>8</v>
      </c>
      <c r="F4374" s="8" t="s">
        <v>13934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s="8" t="s">
        <v>13937</v>
      </c>
      <c r="G4375" t="s">
        <v>11071</v>
      </c>
    </row>
    <row r="4376" spans="1:7" hidden="1" x14ac:dyDescent="0.25">
      <c r="A4376" t="s">
        <v>4</v>
      </c>
      <c r="B4376" t="s">
        <v>12</v>
      </c>
      <c r="F4376" s="8" t="s">
        <v>13919</v>
      </c>
      <c r="G4376" t="s">
        <v>894</v>
      </c>
    </row>
    <row r="4377" spans="1:7" hidden="1" x14ac:dyDescent="0.25">
      <c r="A4377" t="s">
        <v>4</v>
      </c>
      <c r="B4377" t="s">
        <v>8</v>
      </c>
      <c r="F4377" s="8" t="s">
        <v>13922</v>
      </c>
      <c r="G4377" t="s">
        <v>894</v>
      </c>
    </row>
    <row r="4378" spans="1:7" hidden="1" x14ac:dyDescent="0.25">
      <c r="A4378" t="s">
        <v>4</v>
      </c>
      <c r="B4378" t="s">
        <v>8</v>
      </c>
      <c r="F4378" s="8" t="s">
        <v>13925</v>
      </c>
      <c r="G4378" t="s">
        <v>894</v>
      </c>
    </row>
    <row r="4379" spans="1:7" hidden="1" x14ac:dyDescent="0.25">
      <c r="A4379" t="s">
        <v>1607</v>
      </c>
      <c r="B4379" t="s">
        <v>8</v>
      </c>
      <c r="F4379" s="8" t="s">
        <v>14045</v>
      </c>
      <c r="G4379" t="s">
        <v>895</v>
      </c>
    </row>
    <row r="4380" spans="1:7" hidden="1" x14ac:dyDescent="0.25">
      <c r="A4380" t="s">
        <v>1607</v>
      </c>
      <c r="B4380" t="s">
        <v>8</v>
      </c>
      <c r="F4380" s="8" t="s">
        <v>14048</v>
      </c>
      <c r="G4380" t="s">
        <v>895</v>
      </c>
    </row>
    <row r="4381" spans="1:7" hidden="1" x14ac:dyDescent="0.25">
      <c r="A4381" t="s">
        <v>4</v>
      </c>
      <c r="B4381" t="s">
        <v>8</v>
      </c>
      <c r="F4381" s="8" t="s">
        <v>14051</v>
      </c>
      <c r="G4381" t="s">
        <v>895</v>
      </c>
    </row>
    <row r="4382" spans="1:7" hidden="1" x14ac:dyDescent="0.25">
      <c r="A4382" t="s">
        <v>14078</v>
      </c>
      <c r="F4382" s="8" t="s">
        <v>14054</v>
      </c>
      <c r="G4382" t="s">
        <v>895</v>
      </c>
    </row>
    <row r="4383" spans="1:7" hidden="1" x14ac:dyDescent="0.25">
      <c r="A4383" t="s">
        <v>14078</v>
      </c>
      <c r="F4383" s="8" t="s">
        <v>14057</v>
      </c>
      <c r="G4383" t="s">
        <v>895</v>
      </c>
    </row>
    <row r="4384" spans="1:7" hidden="1" x14ac:dyDescent="0.25">
      <c r="A4384" t="s">
        <v>4</v>
      </c>
      <c r="B4384" t="s">
        <v>8</v>
      </c>
      <c r="F4384" s="8" t="s">
        <v>14060</v>
      </c>
      <c r="G4384" t="s">
        <v>895</v>
      </c>
    </row>
    <row r="4385" spans="1:7" hidden="1" x14ac:dyDescent="0.25">
      <c r="A4385" t="s">
        <v>1607</v>
      </c>
      <c r="B4385" t="s">
        <v>8</v>
      </c>
      <c r="F4385" s="8" t="s">
        <v>14063</v>
      </c>
      <c r="G4385" t="s">
        <v>895</v>
      </c>
    </row>
    <row r="4386" spans="1:7" hidden="1" x14ac:dyDescent="0.25">
      <c r="A4386" t="s">
        <v>4</v>
      </c>
      <c r="B4386" t="s">
        <v>8</v>
      </c>
      <c r="F4386" s="8" t="s">
        <v>14066</v>
      </c>
      <c r="G4386" t="s">
        <v>897</v>
      </c>
    </row>
    <row r="4387" spans="1:7" hidden="1" x14ac:dyDescent="0.25">
      <c r="A4387" t="s">
        <v>1607</v>
      </c>
      <c r="B4387" t="s">
        <v>8</v>
      </c>
      <c r="F4387" s="8" t="s">
        <v>14069</v>
      </c>
      <c r="G4387" t="s">
        <v>897</v>
      </c>
    </row>
    <row r="4388" spans="1:7" hidden="1" x14ac:dyDescent="0.25">
      <c r="A4388" t="s">
        <v>4</v>
      </c>
      <c r="B4388" t="s">
        <v>8</v>
      </c>
      <c r="F4388" s="8" t="s">
        <v>14072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s="8" t="s">
        <v>14075</v>
      </c>
      <c r="G4389" t="s">
        <v>897</v>
      </c>
    </row>
    <row r="4390" spans="1:7" hidden="1" x14ac:dyDescent="0.25">
      <c r="A4390" t="s">
        <v>1607</v>
      </c>
      <c r="B4390" t="s">
        <v>6157</v>
      </c>
      <c r="F4390" s="8" t="s">
        <v>13928</v>
      </c>
      <c r="G4390" t="s">
        <v>12642</v>
      </c>
    </row>
    <row r="4391" spans="1:7" hidden="1" x14ac:dyDescent="0.25">
      <c r="A4391" t="s">
        <v>1607</v>
      </c>
      <c r="B4391" t="s">
        <v>6157</v>
      </c>
      <c r="F4391" s="8" t="s">
        <v>13931</v>
      </c>
      <c r="G4391" t="s">
        <v>12642</v>
      </c>
    </row>
    <row r="4392" spans="1:7" hidden="1" x14ac:dyDescent="0.25">
      <c r="A4392" t="s">
        <v>4</v>
      </c>
      <c r="B4392" t="s">
        <v>9</v>
      </c>
      <c r="F4392" s="8" t="s">
        <v>13952</v>
      </c>
      <c r="G4392" t="s">
        <v>12643</v>
      </c>
    </row>
    <row r="4393" spans="1:7" hidden="1" x14ac:dyDescent="0.25">
      <c r="A4393" t="s">
        <v>1607</v>
      </c>
      <c r="B4393" t="s">
        <v>9</v>
      </c>
      <c r="F4393" s="8" t="s">
        <v>13955</v>
      </c>
      <c r="G4393" t="s">
        <v>12643</v>
      </c>
    </row>
    <row r="4394" spans="1:7" hidden="1" x14ac:dyDescent="0.25">
      <c r="A4394" t="s">
        <v>1607</v>
      </c>
      <c r="B4394" t="s">
        <v>9</v>
      </c>
      <c r="F4394" s="8" t="s">
        <v>13958</v>
      </c>
      <c r="G4394" t="s">
        <v>12643</v>
      </c>
    </row>
    <row r="4395" spans="1:7" hidden="1" x14ac:dyDescent="0.25">
      <c r="A4395" t="s">
        <v>4</v>
      </c>
      <c r="B4395" t="s">
        <v>8</v>
      </c>
      <c r="F4395" s="8" t="s">
        <v>13940</v>
      </c>
      <c r="G4395" t="s">
        <v>12644</v>
      </c>
    </row>
    <row r="4396" spans="1:7" hidden="1" x14ac:dyDescent="0.25">
      <c r="A4396" t="s">
        <v>1607</v>
      </c>
      <c r="B4396" t="s">
        <v>8</v>
      </c>
      <c r="F4396" s="8" t="s">
        <v>13943</v>
      </c>
      <c r="G4396" t="s">
        <v>12644</v>
      </c>
    </row>
    <row r="4397" spans="1:7" hidden="1" x14ac:dyDescent="0.25">
      <c r="A4397" t="s">
        <v>4</v>
      </c>
      <c r="B4397" t="s">
        <v>8</v>
      </c>
      <c r="F4397" s="8" t="s">
        <v>13946</v>
      </c>
      <c r="G4397" t="s">
        <v>12644</v>
      </c>
    </row>
    <row r="4398" spans="1:7" hidden="1" x14ac:dyDescent="0.25">
      <c r="A4398" t="s">
        <v>1607</v>
      </c>
      <c r="B4398" t="s">
        <v>8</v>
      </c>
      <c r="F4398" s="8" t="s">
        <v>13949</v>
      </c>
      <c r="G4398" t="s">
        <v>12644</v>
      </c>
    </row>
    <row r="4399" spans="1:7" hidden="1" x14ac:dyDescent="0.25">
      <c r="A4399" t="s">
        <v>1607</v>
      </c>
      <c r="B4399" t="s">
        <v>8</v>
      </c>
      <c r="F4399" s="8" t="s">
        <v>13961</v>
      </c>
      <c r="G4399" t="s">
        <v>12645</v>
      </c>
    </row>
    <row r="4400" spans="1:7" hidden="1" x14ac:dyDescent="0.25">
      <c r="A4400" t="s">
        <v>1607</v>
      </c>
      <c r="B4400" t="s">
        <v>8</v>
      </c>
      <c r="F4400" s="8" t="s">
        <v>13964</v>
      </c>
      <c r="G4400" t="s">
        <v>12645</v>
      </c>
    </row>
    <row r="4401" spans="1:7" hidden="1" x14ac:dyDescent="0.25">
      <c r="A4401" t="s">
        <v>12</v>
      </c>
      <c r="F4401" s="8" t="s">
        <v>13967</v>
      </c>
      <c r="G4401" t="s">
        <v>1537</v>
      </c>
    </row>
    <row r="4402" spans="1:7" hidden="1" x14ac:dyDescent="0.25">
      <c r="A4402" t="s">
        <v>7</v>
      </c>
      <c r="F4402" s="8" t="s">
        <v>13970</v>
      </c>
      <c r="G4402" t="s">
        <v>1537</v>
      </c>
    </row>
    <row r="4403" spans="1:7" hidden="1" x14ac:dyDescent="0.25">
      <c r="A4403" t="s">
        <v>4</v>
      </c>
      <c r="B4403" t="s">
        <v>8</v>
      </c>
      <c r="F4403" s="8" t="s">
        <v>13973</v>
      </c>
      <c r="G4403" t="s">
        <v>1537</v>
      </c>
    </row>
    <row r="4404" spans="1:7" hidden="1" x14ac:dyDescent="0.25">
      <c r="A4404" t="s">
        <v>4</v>
      </c>
      <c r="B4404" t="s">
        <v>8</v>
      </c>
      <c r="F4404" s="8" t="s">
        <v>13976</v>
      </c>
      <c r="G4404" t="s">
        <v>1537</v>
      </c>
    </row>
    <row r="4405" spans="1:7" hidden="1" x14ac:dyDescent="0.25">
      <c r="A4405" t="s">
        <v>4</v>
      </c>
      <c r="B4405" t="s">
        <v>8</v>
      </c>
      <c r="F4405" s="8" t="s">
        <v>13979</v>
      </c>
      <c r="G4405" t="s">
        <v>1537</v>
      </c>
    </row>
    <row r="4406" spans="1:7" hidden="1" x14ac:dyDescent="0.25">
      <c r="A4406" t="s">
        <v>4</v>
      </c>
      <c r="B4406" t="s">
        <v>8</v>
      </c>
      <c r="F4406" s="8" t="s">
        <v>13982</v>
      </c>
      <c r="G4406" t="s">
        <v>1537</v>
      </c>
    </row>
    <row r="4407" spans="1:7" hidden="1" x14ac:dyDescent="0.25">
      <c r="A4407" t="s">
        <v>12</v>
      </c>
      <c r="F4407" s="8" t="s">
        <v>13985</v>
      </c>
      <c r="G4407" t="s">
        <v>1537</v>
      </c>
    </row>
    <row r="4408" spans="1:7" hidden="1" x14ac:dyDescent="0.25">
      <c r="A4408" t="s">
        <v>4</v>
      </c>
      <c r="B4408" t="s">
        <v>8</v>
      </c>
      <c r="F4408" s="8" t="s">
        <v>13988</v>
      </c>
      <c r="G4408" t="s">
        <v>1537</v>
      </c>
    </row>
    <row r="4409" spans="1:7" hidden="1" x14ac:dyDescent="0.25">
      <c r="A4409" t="s">
        <v>4</v>
      </c>
      <c r="B4409" t="s">
        <v>8</v>
      </c>
      <c r="F4409" s="8" t="s">
        <v>13991</v>
      </c>
      <c r="G4409" t="s">
        <v>1600</v>
      </c>
    </row>
    <row r="4410" spans="1:7" hidden="1" x14ac:dyDescent="0.25">
      <c r="A4410" t="s">
        <v>1607</v>
      </c>
      <c r="B4410" t="s">
        <v>8</v>
      </c>
      <c r="F4410" s="8" t="s">
        <v>13994</v>
      </c>
      <c r="G4410" t="s">
        <v>1600</v>
      </c>
    </row>
    <row r="4411" spans="1:7" hidden="1" x14ac:dyDescent="0.25">
      <c r="A4411" t="s">
        <v>1607</v>
      </c>
      <c r="B4411" t="s">
        <v>8</v>
      </c>
      <c r="F4411" s="8" t="s">
        <v>13997</v>
      </c>
      <c r="G4411" t="s">
        <v>1600</v>
      </c>
    </row>
    <row r="4412" spans="1:7" hidden="1" x14ac:dyDescent="0.25">
      <c r="A4412" t="s">
        <v>4</v>
      </c>
      <c r="B4412" t="s">
        <v>8</v>
      </c>
      <c r="F4412" s="8" t="s">
        <v>14000</v>
      </c>
      <c r="G4412" t="s">
        <v>10022</v>
      </c>
    </row>
    <row r="4413" spans="1:7" hidden="1" x14ac:dyDescent="0.25">
      <c r="A4413" t="s">
        <v>4</v>
      </c>
      <c r="B4413" t="s">
        <v>8</v>
      </c>
      <c r="F4413" s="8" t="s">
        <v>14003</v>
      </c>
      <c r="G4413" t="s">
        <v>10022</v>
      </c>
    </row>
    <row r="4414" spans="1:7" hidden="1" x14ac:dyDescent="0.25">
      <c r="A4414" t="s">
        <v>10020</v>
      </c>
      <c r="F4414" s="8" t="s">
        <v>14006</v>
      </c>
      <c r="G4414" t="s">
        <v>10022</v>
      </c>
    </row>
    <row r="4415" spans="1:7" hidden="1" x14ac:dyDescent="0.25">
      <c r="A4415" t="s">
        <v>4</v>
      </c>
      <c r="B4415" t="s">
        <v>8</v>
      </c>
      <c r="F4415" s="8" t="s">
        <v>14009</v>
      </c>
      <c r="G4415" t="s">
        <v>10022</v>
      </c>
    </row>
    <row r="4416" spans="1:7" hidden="1" x14ac:dyDescent="0.25">
      <c r="A4416" t="s">
        <v>10020</v>
      </c>
      <c r="F4416" s="8" t="s">
        <v>14012</v>
      </c>
      <c r="G4416" t="s">
        <v>10022</v>
      </c>
    </row>
    <row r="4417" spans="1:7" hidden="1" x14ac:dyDescent="0.25">
      <c r="A4417" t="s">
        <v>10020</v>
      </c>
      <c r="F4417" s="8" t="s">
        <v>14015</v>
      </c>
      <c r="G4417" t="s">
        <v>10022</v>
      </c>
    </row>
    <row r="4418" spans="1:7" hidden="1" x14ac:dyDescent="0.25">
      <c r="A4418" t="s">
        <v>10020</v>
      </c>
      <c r="F4418" s="8" t="s">
        <v>14018</v>
      </c>
      <c r="G4418" t="s">
        <v>10022</v>
      </c>
    </row>
    <row r="4419" spans="1:7" hidden="1" x14ac:dyDescent="0.25">
      <c r="A4419" t="s">
        <v>10020</v>
      </c>
      <c r="F4419" s="8" t="s">
        <v>14021</v>
      </c>
      <c r="G4419" t="s">
        <v>10022</v>
      </c>
    </row>
    <row r="4420" spans="1:7" hidden="1" x14ac:dyDescent="0.25">
      <c r="A4420" t="s">
        <v>4</v>
      </c>
      <c r="B4420" t="s">
        <v>8</v>
      </c>
      <c r="F4420" s="8" t="s">
        <v>14024</v>
      </c>
      <c r="G4420" t="s">
        <v>10022</v>
      </c>
    </row>
    <row r="4421" spans="1:7" hidden="1" x14ac:dyDescent="0.25">
      <c r="A4421" t="s">
        <v>1607</v>
      </c>
      <c r="B4421" t="s">
        <v>11079</v>
      </c>
      <c r="F4421" s="8" t="s">
        <v>14027</v>
      </c>
      <c r="G4421" t="s">
        <v>11078</v>
      </c>
    </row>
    <row r="4422" spans="1:7" hidden="1" x14ac:dyDescent="0.25">
      <c r="A4422" t="s">
        <v>1607</v>
      </c>
      <c r="B4422" t="s">
        <v>11079</v>
      </c>
      <c r="F4422" s="8" t="s">
        <v>14030</v>
      </c>
      <c r="G4422" t="s">
        <v>11078</v>
      </c>
    </row>
    <row r="4423" spans="1:7" hidden="1" x14ac:dyDescent="0.25">
      <c r="A4423" t="s">
        <v>1607</v>
      </c>
      <c r="B4423" t="s">
        <v>11081</v>
      </c>
      <c r="F4423" s="8" t="s">
        <v>14033</v>
      </c>
      <c r="G4423" t="s">
        <v>11080</v>
      </c>
    </row>
    <row r="4424" spans="1:7" hidden="1" x14ac:dyDescent="0.25">
      <c r="A4424" t="s">
        <v>1607</v>
      </c>
      <c r="B4424" t="s">
        <v>11081</v>
      </c>
      <c r="F4424" s="8" t="s">
        <v>14036</v>
      </c>
      <c r="G4424" t="s">
        <v>11080</v>
      </c>
    </row>
    <row r="4425" spans="1:7" x14ac:dyDescent="0.25">
      <c r="A4425" t="s">
        <v>1607</v>
      </c>
      <c r="B4425" t="s">
        <v>8</v>
      </c>
      <c r="F4425" s="8" t="s">
        <v>14039</v>
      </c>
      <c r="G4425" t="s">
        <v>11083</v>
      </c>
    </row>
    <row r="4426" spans="1:7" x14ac:dyDescent="0.25">
      <c r="A4426" t="s">
        <v>1607</v>
      </c>
      <c r="B4426" t="s">
        <v>8</v>
      </c>
      <c r="F4426" s="8" t="s">
        <v>14042</v>
      </c>
      <c r="G4426" t="s">
        <v>11083</v>
      </c>
    </row>
  </sheetData>
  <phoneticPr fontId="2" type="noConversion"/>
  <conditionalFormatting sqref="C2:C11 C14 C16:C18 C23:C24">
    <cfRule type="notContainsText" dxfId="679" priority="619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678" priority="618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677" priority="617" operator="notContains" text="порожний">
      <formula>ISERROR(SEARCH("порожний",C12))</formula>
    </cfRule>
  </conditionalFormatting>
  <conditionalFormatting sqref="B12:B14">
    <cfRule type="containsText" dxfId="676" priority="616" operator="containsText" text="Выезд с территории">
      <formula>NOT(ISERROR(SEARCH("Выезд с территории",B12)))</formula>
    </cfRule>
  </conditionalFormatting>
  <conditionalFormatting sqref="C15">
    <cfRule type="notContainsText" dxfId="675" priority="615" operator="notContains" text="порожний">
      <formula>ISERROR(SEARCH("порожний",C15))</formula>
    </cfRule>
  </conditionalFormatting>
  <conditionalFormatting sqref="C19:C22">
    <cfRule type="notContainsText" dxfId="674" priority="614" operator="notContains" text="порожний">
      <formula>ISERROR(SEARCH("порожний",C19))</formula>
    </cfRule>
  </conditionalFormatting>
  <conditionalFormatting sqref="C25">
    <cfRule type="notContainsText" dxfId="673" priority="613" operator="notContains" text="порожний">
      <formula>ISERROR(SEARCH("порожний",C25))</formula>
    </cfRule>
  </conditionalFormatting>
  <conditionalFormatting sqref="C26:C27">
    <cfRule type="notContainsText" dxfId="672" priority="612" operator="notContains" text="порожний">
      <formula>ISERROR(SEARCH("порожний",C26))</formula>
    </cfRule>
  </conditionalFormatting>
  <conditionalFormatting sqref="C29">
    <cfRule type="notContainsText" dxfId="671" priority="611" operator="notContains" text="порожний">
      <formula>ISERROR(SEARCH("порожний",C29))</formula>
    </cfRule>
  </conditionalFormatting>
  <conditionalFormatting sqref="C39">
    <cfRule type="notContainsText" dxfId="670" priority="606" operator="notContains" text="порожний">
      <formula>ISERROR(SEARCH("порожний",C39))</formula>
    </cfRule>
  </conditionalFormatting>
  <conditionalFormatting sqref="C32">
    <cfRule type="notContainsText" dxfId="669" priority="610" operator="notContains" text="порожний">
      <formula>ISERROR(SEARCH("порожний",C32))</formula>
    </cfRule>
  </conditionalFormatting>
  <conditionalFormatting sqref="C34">
    <cfRule type="notContainsText" dxfId="668" priority="609" operator="notContains" text="порожний">
      <formula>ISERROR(SEARCH("порожний",C34))</formula>
    </cfRule>
  </conditionalFormatting>
  <conditionalFormatting sqref="C36">
    <cfRule type="notContainsText" dxfId="667" priority="608" operator="notContains" text="порожний">
      <formula>ISERROR(SEARCH("порожний",C36))</formula>
    </cfRule>
  </conditionalFormatting>
  <conditionalFormatting sqref="C38">
    <cfRule type="notContainsText" dxfId="666" priority="607" operator="notContains" text="порожний">
      <formula>ISERROR(SEARCH("порожний",C38))</formula>
    </cfRule>
  </conditionalFormatting>
  <conditionalFormatting sqref="E147">
    <cfRule type="containsText" dxfId="665" priority="605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64" priority="604" operator="notContains" text="порожний">
      <formula>ISERROR(SEARCH("порожний",C581))</formula>
    </cfRule>
  </conditionalFormatting>
  <conditionalFormatting sqref="C586">
    <cfRule type="notContainsText" dxfId="663" priority="603" operator="notContains" text="порожний">
      <formula>ISERROR(SEARCH("порожний",C586))</formula>
    </cfRule>
  </conditionalFormatting>
  <conditionalFormatting sqref="B609">
    <cfRule type="containsText" dxfId="662" priority="602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661" priority="600" operator="containsText" text="Газель базы">
      <formula>NOT(ISERROR(SEARCH("Газель базы",B609)))</formula>
    </cfRule>
    <cfRule type="containsText" dxfId="660" priority="601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659" priority="599" operator="containsText" text="Трактор базы">
      <formula>NOT(ISERROR(SEARCH("Трактор базы",B609)))</formula>
    </cfRule>
  </conditionalFormatting>
  <conditionalFormatting sqref="B614">
    <cfRule type="containsText" dxfId="658" priority="595" operator="containsText" text="Трактор базы">
      <formula>NOT(ISERROR(SEARCH("Трактор базы",B614)))</formula>
    </cfRule>
  </conditionalFormatting>
  <conditionalFormatting sqref="B614">
    <cfRule type="containsText" dxfId="657" priority="598" operator="containsText" text="Выезд с территории">
      <formula>NOT(ISERROR(SEARCH("Выезд с территории",B614)))</formula>
    </cfRule>
  </conditionalFormatting>
  <conditionalFormatting sqref="B614">
    <cfRule type="containsText" dxfId="656" priority="596" operator="containsText" text="Газель базы">
      <formula>NOT(ISERROR(SEARCH("Газель базы",B614)))</formula>
    </cfRule>
    <cfRule type="containsText" dxfId="655" priority="597" operator="containsText" text="Погрузчик базы">
      <formula>NOT(ISERROR(SEARCH("Погрузчик базы",B614)))</formula>
    </cfRule>
  </conditionalFormatting>
  <conditionalFormatting sqref="C649">
    <cfRule type="notContainsText" dxfId="654" priority="594" operator="notContains" text="порожний">
      <formula>ISERROR(SEARCH("порожний",C649))</formula>
    </cfRule>
  </conditionalFormatting>
  <conditionalFormatting sqref="C655">
    <cfRule type="notContainsText" dxfId="653" priority="591" operator="notContains" text="порожний">
      <formula>ISERROR(SEARCH("порожний",C655))</formula>
    </cfRule>
  </conditionalFormatting>
  <conditionalFormatting sqref="C650">
    <cfRule type="notContainsText" dxfId="652" priority="593" operator="notContains" text="порожний">
      <formula>ISERROR(SEARCH("порожний",C650))</formula>
    </cfRule>
  </conditionalFormatting>
  <conditionalFormatting sqref="C654">
    <cfRule type="notContainsText" dxfId="651" priority="592" operator="notContains" text="порожний">
      <formula>ISERROR(SEARCH("порожний",C654))</formula>
    </cfRule>
  </conditionalFormatting>
  <conditionalFormatting sqref="A663:A666 A668:A670 A695 A697:A701 A825 A3437">
    <cfRule type="containsText" dxfId="650" priority="588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49" priority="590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48" priority="589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47" priority="585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46" priority="587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45" priority="586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44" priority="575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43" priority="584" operator="containsText" text="Выезд с территории">
      <formula>NOT(ISERROR(SEARCH("Выезд с территории",A681)))</formula>
    </cfRule>
  </conditionalFormatting>
  <conditionalFormatting sqref="A681">
    <cfRule type="containsText" dxfId="642" priority="583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41" priority="582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40" priority="578" operator="containsText" text="Трактор базы">
      <formula>NOT(ISERROR(SEARCH("Трактор базы",B682)))</formula>
    </cfRule>
  </conditionalFormatting>
  <conditionalFormatting sqref="B682">
    <cfRule type="containsText" dxfId="639" priority="581" operator="containsText" text="Выезд с территории">
      <formula>NOT(ISERROR(SEARCH("Выезд с территории",B682)))</formula>
    </cfRule>
  </conditionalFormatting>
  <conditionalFormatting sqref="B682">
    <cfRule type="containsText" dxfId="638" priority="579" operator="containsText" text="Газель базы">
      <formula>NOT(ISERROR(SEARCH("Газель базы",B682)))</formula>
    </cfRule>
    <cfRule type="containsText" dxfId="637" priority="580" operator="containsText" text="Погрузчик базы">
      <formula>NOT(ISERROR(SEARCH("Погрузчик базы",B682)))</formula>
    </cfRule>
  </conditionalFormatting>
  <conditionalFormatting sqref="A684:A687">
    <cfRule type="containsText" dxfId="636" priority="577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635" priority="576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634" priority="566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633" priority="568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632" priority="567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631" priority="563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630" priority="565" operator="containsText" text="Выезд с территории">
      <formula>NOT(ISERROR(SEARCH("Выезд с территории",A824)))</formula>
    </cfRule>
  </conditionalFormatting>
  <conditionalFormatting sqref="A824">
    <cfRule type="containsText" dxfId="629" priority="564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628" priority="559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627" priority="557" operator="containsText" text="Газель базы">
      <formula>NOT(ISERROR(SEARCH("Газель базы",B846)))</formula>
    </cfRule>
    <cfRule type="containsText" dxfId="626" priority="558" operator="containsText" text="Погрузчик базы">
      <formula>NOT(ISERROR(SEARCH("Погрузчик базы",B846)))</formula>
    </cfRule>
  </conditionalFormatting>
  <conditionalFormatting sqref="B846:B850">
    <cfRule type="containsText" dxfId="625" priority="556" operator="containsText" text="Трактор базы">
      <formula>NOT(ISERROR(SEARCH("Трактор базы",B846)))</formula>
    </cfRule>
  </conditionalFormatting>
  <conditionalFormatting sqref="A916:A917">
    <cfRule type="containsText" dxfId="624" priority="550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623" priority="555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622" priority="553" operator="containsText" text="Газель базы">
      <formula>NOT(ISERROR(SEARCH("Газель базы",B916)))</formula>
    </cfRule>
    <cfRule type="containsText" dxfId="621" priority="554" operator="containsText" text="Погрузчик базы">
      <formula>NOT(ISERROR(SEARCH("Погрузчик базы",B916)))</formula>
    </cfRule>
  </conditionalFormatting>
  <conditionalFormatting sqref="B916:B917">
    <cfRule type="containsText" dxfId="620" priority="552" operator="containsText" text="Трактор базы">
      <formula>NOT(ISERROR(SEARCH("Трактор базы",B916)))</formula>
    </cfRule>
  </conditionalFormatting>
  <conditionalFormatting sqref="A916:A917">
    <cfRule type="containsText" dxfId="619" priority="551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618" priority="549" operator="containsText" text="Выезд с территории">
      <formula>NOT(ISERROR(SEARCH("Выезд с территории",E916)))</formula>
    </cfRule>
  </conditionalFormatting>
  <conditionalFormatting sqref="A932">
    <cfRule type="containsText" dxfId="617" priority="526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616" priority="548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615" priority="546" operator="containsText" text="Газель базы">
      <formula>NOT(ISERROR(SEARCH("Газель базы",B918)))</formula>
    </cfRule>
    <cfRule type="containsText" dxfId="614" priority="547" operator="containsText" text="Погрузчик базы">
      <formula>NOT(ISERROR(SEARCH("Погрузчик базы",B918)))</formula>
    </cfRule>
  </conditionalFormatting>
  <conditionalFormatting sqref="B918:B924">
    <cfRule type="containsText" dxfId="613" priority="545" operator="containsText" text="Трактор базы">
      <formula>NOT(ISERROR(SEARCH("Трактор базы",B918)))</formula>
    </cfRule>
  </conditionalFormatting>
  <conditionalFormatting sqref="A918">
    <cfRule type="containsText" dxfId="612" priority="544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611" priority="543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610" priority="537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609" priority="542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608" priority="540" operator="containsText" text="Газель базы">
      <formula>NOT(ISERROR(SEARCH("Газель базы",B926)))</formula>
    </cfRule>
    <cfRule type="containsText" dxfId="607" priority="541" operator="containsText" text="Погрузчик базы">
      <formula>NOT(ISERROR(SEARCH("Погрузчик базы",B926)))</formula>
    </cfRule>
  </conditionalFormatting>
  <conditionalFormatting sqref="B926:B928">
    <cfRule type="containsText" dxfId="606" priority="539" operator="containsText" text="Трактор базы">
      <formula>NOT(ISERROR(SEARCH("Трактор базы",B926)))</formula>
    </cfRule>
  </conditionalFormatting>
  <conditionalFormatting sqref="A926:A928">
    <cfRule type="containsText" dxfId="605" priority="538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604" priority="536" operator="containsText" text="Выезд с территории">
      <formula>NOT(ISERROR(SEARCH("Выезд с территории",E926)))</formula>
    </cfRule>
  </conditionalFormatting>
  <conditionalFormatting sqref="A930">
    <cfRule type="containsText" dxfId="603" priority="530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602" priority="535" operator="containsText" text="Выезд с территории">
      <formula>NOT(ISERROR(SEARCH("Выезд с территории",A930)))</formula>
    </cfRule>
  </conditionalFormatting>
  <conditionalFormatting sqref="B930">
    <cfRule type="containsText" dxfId="601" priority="533" operator="containsText" text="Газель базы">
      <formula>NOT(ISERROR(SEARCH("Газель базы",B930)))</formula>
    </cfRule>
    <cfRule type="containsText" dxfId="600" priority="534" operator="containsText" text="Погрузчик базы">
      <formula>NOT(ISERROR(SEARCH("Погрузчик базы",B930)))</formula>
    </cfRule>
  </conditionalFormatting>
  <conditionalFormatting sqref="B930">
    <cfRule type="containsText" dxfId="599" priority="532" operator="containsText" text="Трактор базы">
      <formula>NOT(ISERROR(SEARCH("Трактор базы",B930)))</formula>
    </cfRule>
  </conditionalFormatting>
  <conditionalFormatting sqref="A930">
    <cfRule type="containsText" dxfId="598" priority="531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97" priority="529" operator="containsText" text="Выезд с территории">
      <formula>NOT(ISERROR(SEARCH("Выезд с территории",E930)))</formula>
    </cfRule>
  </conditionalFormatting>
  <conditionalFormatting sqref="A932">
    <cfRule type="containsText" dxfId="596" priority="528" operator="containsText" text="Выезд с территории">
      <formula>NOT(ISERROR(SEARCH("Выезд с территории",A932)))</formula>
    </cfRule>
  </conditionalFormatting>
  <conditionalFormatting sqref="A932">
    <cfRule type="containsText" dxfId="595" priority="527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94" priority="523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593" priority="525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592" priority="524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591" priority="522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590" priority="521" operator="notContains" text="порожний">
      <formula>ISERROR(SEARCH("порожний",C954))</formula>
    </cfRule>
  </conditionalFormatting>
  <conditionalFormatting sqref="B954:B956">
    <cfRule type="containsText" dxfId="589" priority="519" operator="containsText" text="Газель базы">
      <formula>NOT(ISERROR(SEARCH("Газель базы",B954)))</formula>
    </cfRule>
    <cfRule type="containsText" dxfId="588" priority="520" operator="containsText" text="Погрузчик базы">
      <formula>NOT(ISERROR(SEARCH("Погрузчик базы",B954)))</formula>
    </cfRule>
  </conditionalFormatting>
  <conditionalFormatting sqref="B954:B956">
    <cfRule type="containsText" dxfId="587" priority="518" operator="containsText" text="Трактор базы">
      <formula>NOT(ISERROR(SEARCH("Трактор базы",B954)))</formula>
    </cfRule>
  </conditionalFormatting>
  <conditionalFormatting sqref="A954:A956">
    <cfRule type="containsText" dxfId="586" priority="517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585" priority="516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584" priority="514" operator="notContains" text="порожний">
      <formula>ISERROR(SEARCH("порожний",C995))</formula>
    </cfRule>
  </conditionalFormatting>
  <conditionalFormatting sqref="C987">
    <cfRule type="notContainsText" dxfId="583" priority="515" operator="notContains" text="порожний">
      <formula>ISERROR(SEARCH("порожний",C987))</formula>
    </cfRule>
  </conditionalFormatting>
  <conditionalFormatting sqref="B999">
    <cfRule type="containsText" dxfId="582" priority="513" operator="containsText" text="Выезд с территории">
      <formula>NOT(ISERROR(SEARCH("Выезд с территории",B999)))</formula>
    </cfRule>
  </conditionalFormatting>
  <conditionalFormatting sqref="B999">
    <cfRule type="containsText" dxfId="581" priority="511" operator="containsText" text="Газель базы">
      <formula>NOT(ISERROR(SEARCH("Газель базы",B999)))</formula>
    </cfRule>
    <cfRule type="containsText" dxfId="580" priority="512" operator="containsText" text="Погрузчик базы">
      <formula>NOT(ISERROR(SEARCH("Погрузчик базы",B999)))</formula>
    </cfRule>
  </conditionalFormatting>
  <conditionalFormatting sqref="B999">
    <cfRule type="containsText" dxfId="579" priority="510" operator="containsText" text="Трактор базы">
      <formula>NOT(ISERROR(SEARCH("Трактор базы",B999)))</formula>
    </cfRule>
  </conditionalFormatting>
  <conditionalFormatting sqref="B1019:B1022">
    <cfRule type="containsText" dxfId="578" priority="506" operator="containsText" text="Трактор базы">
      <formula>NOT(ISERROR(SEARCH("Трактор базы",B1019)))</formula>
    </cfRule>
  </conditionalFormatting>
  <conditionalFormatting sqref="B1019:B1022">
    <cfRule type="containsText" dxfId="577" priority="509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576" priority="507" operator="containsText" text="Газель базы">
      <formula>NOT(ISERROR(SEARCH("Газель базы",B1019)))</formula>
    </cfRule>
    <cfRule type="containsText" dxfId="575" priority="508" operator="containsText" text="Погрузчик базы">
      <formula>NOT(ISERROR(SEARCH("Погрузчик базы",B1019)))</formula>
    </cfRule>
  </conditionalFormatting>
  <conditionalFormatting sqref="C966">
    <cfRule type="notContainsText" dxfId="574" priority="505" operator="notContains" text="порожний">
      <formula>ISERROR(SEARCH("порожний",C966))</formula>
    </cfRule>
  </conditionalFormatting>
  <conditionalFormatting sqref="A1029">
    <cfRule type="containsText" dxfId="573" priority="502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572" priority="504" operator="containsText" text="Выезд с территории">
      <formula>NOT(ISERROR(SEARCH("Выезд с территории",A1029)))</formula>
    </cfRule>
  </conditionalFormatting>
  <conditionalFormatting sqref="A1029">
    <cfRule type="containsText" dxfId="571" priority="503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570" priority="501" operator="containsText" text="Выезд с территории">
      <formula>NOT(ISERROR(SEARCH("Выезд с территории",B1030)))</formula>
    </cfRule>
  </conditionalFormatting>
  <conditionalFormatting sqref="B1030">
    <cfRule type="containsText" dxfId="569" priority="499" operator="containsText" text="Газель базы">
      <formula>NOT(ISERROR(SEARCH("Газель базы",B1030)))</formula>
    </cfRule>
    <cfRule type="containsText" dxfId="568" priority="500" operator="containsText" text="Погрузчик базы">
      <formula>NOT(ISERROR(SEARCH("Погрузчик базы",B1030)))</formula>
    </cfRule>
  </conditionalFormatting>
  <conditionalFormatting sqref="B1030">
    <cfRule type="containsText" dxfId="567" priority="498" operator="containsText" text="Трактор базы">
      <formula>NOT(ISERROR(SEARCH("Трактор базы",B1030)))</formula>
    </cfRule>
  </conditionalFormatting>
  <conditionalFormatting sqref="A1035">
    <cfRule type="containsText" dxfId="566" priority="492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65" priority="495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64" priority="497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63" priority="496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62" priority="494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61" priority="493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60" priority="491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59" priority="489" operator="containsText" text="Газель базы">
      <formula>NOT(ISERROR(SEARCH("Газель базы",B1138)))</formula>
    </cfRule>
    <cfRule type="containsText" dxfId="558" priority="490" operator="containsText" text="Погрузчик базы">
      <formula>NOT(ISERROR(SEARCH("Погрузчик базы",B1138)))</formula>
    </cfRule>
  </conditionalFormatting>
  <conditionalFormatting sqref="B1138:B1161">
    <cfRule type="containsText" dxfId="557" priority="488" operator="containsText" text="Трактор базы">
      <formula>NOT(ISERROR(SEARCH("Трактор базы",B1138)))</formula>
    </cfRule>
  </conditionalFormatting>
  <conditionalFormatting sqref="B1258:B1262">
    <cfRule type="containsText" dxfId="556" priority="472" operator="containsText" text="Трактор базы">
      <formula>NOT(ISERROR(SEARCH("Трактор базы",B1258)))</formula>
    </cfRule>
  </conditionalFormatting>
  <conditionalFormatting sqref="B1244:B1252">
    <cfRule type="containsText" dxfId="555" priority="487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54" priority="485" operator="containsText" text="Газель базы">
      <formula>NOT(ISERROR(SEARCH("Газель базы",B1244)))</formula>
    </cfRule>
    <cfRule type="containsText" dxfId="553" priority="486" operator="containsText" text="Погрузчик базы">
      <formula>NOT(ISERROR(SEARCH("Погрузчик базы",B1244)))</formula>
    </cfRule>
  </conditionalFormatting>
  <conditionalFormatting sqref="B1244:B1252">
    <cfRule type="containsText" dxfId="552" priority="484" operator="containsText" text="Трактор базы">
      <formula>NOT(ISERROR(SEARCH("Трактор базы",B1244)))</formula>
    </cfRule>
  </conditionalFormatting>
  <conditionalFormatting sqref="B1253:B1256">
    <cfRule type="containsText" dxfId="551" priority="483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50" priority="481" operator="containsText" text="Газель базы">
      <formula>NOT(ISERROR(SEARCH("Газель базы",B1253)))</formula>
    </cfRule>
    <cfRule type="containsText" dxfId="549" priority="482" operator="containsText" text="Погрузчик базы">
      <formula>NOT(ISERROR(SEARCH("Погрузчик базы",B1253)))</formula>
    </cfRule>
  </conditionalFormatting>
  <conditionalFormatting sqref="B1253:B1256">
    <cfRule type="containsText" dxfId="548" priority="480" operator="containsText" text="Трактор базы">
      <formula>NOT(ISERROR(SEARCH("Трактор базы",B1253)))</formula>
    </cfRule>
  </conditionalFormatting>
  <conditionalFormatting sqref="B1257">
    <cfRule type="containsText" dxfId="547" priority="479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46" priority="477" operator="containsText" text="Газель базы">
      <formula>NOT(ISERROR(SEARCH("Газель базы",B1257)))</formula>
    </cfRule>
    <cfRule type="containsText" dxfId="545" priority="478" operator="containsText" text="Погрузчик базы">
      <formula>NOT(ISERROR(SEARCH("Погрузчик базы",B1257)))</formula>
    </cfRule>
  </conditionalFormatting>
  <conditionalFormatting sqref="B1257">
    <cfRule type="containsText" dxfId="544" priority="476" operator="containsText" text="Трактор базы">
      <formula>NOT(ISERROR(SEARCH("Трактор базы",B1257)))</formula>
    </cfRule>
  </conditionalFormatting>
  <conditionalFormatting sqref="B1258:B1262">
    <cfRule type="containsText" dxfId="543" priority="475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42" priority="473" operator="containsText" text="Газель базы">
      <formula>NOT(ISERROR(SEARCH("Газель базы",B1258)))</formula>
    </cfRule>
    <cfRule type="containsText" dxfId="541" priority="474" operator="containsText" text="Погрузчик базы">
      <formula>NOT(ISERROR(SEARCH("Погрузчик базы",B1258)))</formula>
    </cfRule>
  </conditionalFormatting>
  <conditionalFormatting sqref="B1281:B1287">
    <cfRule type="containsText" dxfId="540" priority="471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39" priority="469" operator="containsText" text="Газель базы">
      <formula>NOT(ISERROR(SEARCH("Газель базы",B1281)))</formula>
    </cfRule>
    <cfRule type="containsText" dxfId="538" priority="470" operator="containsText" text="Погрузчик базы">
      <formula>NOT(ISERROR(SEARCH("Погрузчик базы",B1281)))</formula>
    </cfRule>
  </conditionalFormatting>
  <conditionalFormatting sqref="B1281:B1287">
    <cfRule type="containsText" dxfId="537" priority="468" operator="containsText" text="Трактор базы">
      <formula>NOT(ISERROR(SEARCH("Трактор базы",B1281)))</formula>
    </cfRule>
  </conditionalFormatting>
  <conditionalFormatting sqref="B1296">
    <cfRule type="containsText" dxfId="536" priority="464" operator="containsText" text="Трактор базы">
      <formula>NOT(ISERROR(SEARCH("Трактор базы",B1296)))</formula>
    </cfRule>
  </conditionalFormatting>
  <conditionalFormatting sqref="B1296">
    <cfRule type="containsText" dxfId="535" priority="467" operator="containsText" text="Выезд с территории">
      <formula>NOT(ISERROR(SEARCH("Выезд с территории",B1296)))</formula>
    </cfRule>
  </conditionalFormatting>
  <conditionalFormatting sqref="B1296">
    <cfRule type="containsText" dxfId="534" priority="465" operator="containsText" text="Газель базы">
      <formula>NOT(ISERROR(SEARCH("Газель базы",B1296)))</formula>
    </cfRule>
    <cfRule type="containsText" dxfId="533" priority="466" operator="containsText" text="Погрузчик базы">
      <formula>NOT(ISERROR(SEARCH("Погрузчик базы",B1296)))</formula>
    </cfRule>
  </conditionalFormatting>
  <conditionalFormatting sqref="C1320:C1321">
    <cfRule type="notContainsText" dxfId="532" priority="462" operator="notContains" text="порожний">
      <formula>ISERROR(SEARCH("порожний",C1320))</formula>
    </cfRule>
  </conditionalFormatting>
  <conditionalFormatting sqref="A1323">
    <cfRule type="containsText" dxfId="531" priority="456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530" priority="459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529" priority="461" operator="containsText" text="Выезд с территории">
      <formula>NOT(ISERROR(SEARCH("Выезд с территории",A1322)))</formula>
    </cfRule>
  </conditionalFormatting>
  <conditionalFormatting sqref="A1322">
    <cfRule type="containsText" dxfId="528" priority="460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527" priority="458" operator="containsText" text="Выезд с территории">
      <formula>NOT(ISERROR(SEARCH("Выезд с территории",A1323)))</formula>
    </cfRule>
  </conditionalFormatting>
  <conditionalFormatting sqref="A1323">
    <cfRule type="containsText" dxfId="526" priority="457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525" priority="455" operator="notContains" text="порожний">
      <formula>ISERROR(SEARCH("порожний",C1336))</formula>
    </cfRule>
  </conditionalFormatting>
  <conditionalFormatting sqref="C1346">
    <cfRule type="notContainsText" dxfId="524" priority="454" operator="notContains" text="порожний">
      <formula>ISERROR(SEARCH("порожний",C1346))</formula>
    </cfRule>
  </conditionalFormatting>
  <conditionalFormatting sqref="A1391">
    <cfRule type="containsText" dxfId="523" priority="448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522" priority="450" operator="containsText" text="Выезд с территории">
      <formula>NOT(ISERROR(SEARCH("Выезд с территории",A1391)))</formula>
    </cfRule>
  </conditionalFormatting>
  <conditionalFormatting sqref="A1391">
    <cfRule type="containsText" dxfId="521" priority="449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520" priority="445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519" priority="447" operator="containsText" text="Выезд с территории">
      <formula>NOT(ISERROR(SEARCH("Выезд с территории",A1398)))</formula>
    </cfRule>
  </conditionalFormatting>
  <conditionalFormatting sqref="A1398">
    <cfRule type="containsText" dxfId="518" priority="446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517" priority="444" operator="notContains" text="порожний">
      <formula>ISERROR(SEARCH("порожний",C1606))</formula>
    </cfRule>
  </conditionalFormatting>
  <conditionalFormatting sqref="B1633:B1636">
    <cfRule type="containsText" dxfId="516" priority="443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515" priority="441" operator="containsText" text="Газель базы">
      <formula>NOT(ISERROR(SEARCH("Газель базы",B1633)))</formula>
    </cfRule>
    <cfRule type="containsText" dxfId="514" priority="442" operator="containsText" text="Погрузчик базы">
      <formula>NOT(ISERROR(SEARCH("Погрузчик базы",B1633)))</formula>
    </cfRule>
  </conditionalFormatting>
  <conditionalFormatting sqref="B1633:B1636">
    <cfRule type="containsText" dxfId="513" priority="440" operator="containsText" text="Трактор базы">
      <formula>NOT(ISERROR(SEARCH("Трактор базы",B1633)))</formula>
    </cfRule>
  </conditionalFormatting>
  <conditionalFormatting sqref="B1637:B1642">
    <cfRule type="containsText" dxfId="512" priority="439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511" priority="437" operator="containsText" text="Газель базы">
      <formula>NOT(ISERROR(SEARCH("Газель базы",B1637)))</formula>
    </cfRule>
    <cfRule type="containsText" dxfId="510" priority="438" operator="containsText" text="Погрузчик базы">
      <formula>NOT(ISERROR(SEARCH("Погрузчик базы",B1637)))</formula>
    </cfRule>
  </conditionalFormatting>
  <conditionalFormatting sqref="B1637:B1642">
    <cfRule type="containsText" dxfId="509" priority="436" operator="containsText" text="Трактор базы">
      <formula>NOT(ISERROR(SEARCH("Трактор базы",B1637)))</formula>
    </cfRule>
  </conditionalFormatting>
  <conditionalFormatting sqref="B1671:B1672">
    <cfRule type="containsText" dxfId="508" priority="432" operator="containsText" text="Трактор базы">
      <formula>NOT(ISERROR(SEARCH("Трактор базы",B1671)))</formula>
    </cfRule>
  </conditionalFormatting>
  <conditionalFormatting sqref="B1671:B1672">
    <cfRule type="containsText" dxfId="507" priority="435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506" priority="433" operator="containsText" text="Газель базы">
      <formula>NOT(ISERROR(SEARCH("Газель базы",B1671)))</formula>
    </cfRule>
    <cfRule type="containsText" dxfId="505" priority="434" operator="containsText" text="Погрузчик базы">
      <formula>NOT(ISERROR(SEARCH("Погрузчик базы",B1671)))</formula>
    </cfRule>
  </conditionalFormatting>
  <conditionalFormatting sqref="B1675">
    <cfRule type="containsText" dxfId="504" priority="428" operator="containsText" text="Трактор базы">
      <formula>NOT(ISERROR(SEARCH("Трактор базы",B1675)))</formula>
    </cfRule>
  </conditionalFormatting>
  <conditionalFormatting sqref="B1675">
    <cfRule type="containsText" dxfId="503" priority="431" operator="containsText" text="Выезд с территории">
      <formula>NOT(ISERROR(SEARCH("Выезд с территории",B1675)))</formula>
    </cfRule>
  </conditionalFormatting>
  <conditionalFormatting sqref="B1675">
    <cfRule type="containsText" dxfId="502" priority="429" operator="containsText" text="Газель базы">
      <formula>NOT(ISERROR(SEARCH("Газель базы",B1675)))</formula>
    </cfRule>
    <cfRule type="containsText" dxfId="501" priority="430" operator="containsText" text="Погрузчик базы">
      <formula>NOT(ISERROR(SEARCH("Погрузчик базы",B1675)))</formula>
    </cfRule>
  </conditionalFormatting>
  <conditionalFormatting sqref="A1678">
    <cfRule type="containsText" dxfId="500" priority="425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99" priority="427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98" priority="426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97" priority="424" operator="notContains" text="порожний">
      <formula>ISERROR(SEARCH("порожний",C1723))</formula>
    </cfRule>
  </conditionalFormatting>
  <conditionalFormatting sqref="C1725:C1726">
    <cfRule type="notContainsText" dxfId="496" priority="423" operator="notContains" text="порожний">
      <formula>ISERROR(SEARCH("порожний",C1725))</formula>
    </cfRule>
  </conditionalFormatting>
  <conditionalFormatting sqref="C1727">
    <cfRule type="notContainsText" dxfId="495" priority="422" operator="notContains" text="порожний">
      <formula>ISERROR(SEARCH("порожний",C1727))</formula>
    </cfRule>
  </conditionalFormatting>
  <conditionalFormatting sqref="C1728">
    <cfRule type="notContainsText" dxfId="494" priority="421" operator="notContains" text="порожний">
      <formula>ISERROR(SEARCH("порожний",C1728))</formula>
    </cfRule>
  </conditionalFormatting>
  <conditionalFormatting sqref="B1732:B1733">
    <cfRule type="containsText" dxfId="493" priority="420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492" priority="418" operator="containsText" text="Газель базы">
      <formula>NOT(ISERROR(SEARCH("Газель базы",B1732)))</formula>
    </cfRule>
    <cfRule type="containsText" dxfId="491" priority="419" operator="containsText" text="Погрузчик базы">
      <formula>NOT(ISERROR(SEARCH("Погрузчик базы",B1732)))</formula>
    </cfRule>
  </conditionalFormatting>
  <conditionalFormatting sqref="B1732:B1733">
    <cfRule type="containsText" dxfId="490" priority="417" operator="containsText" text="Трактор базы">
      <formula>NOT(ISERROR(SEARCH("Трактор базы",B1732)))</formula>
    </cfRule>
  </conditionalFormatting>
  <conditionalFormatting sqref="B1734:B1735">
    <cfRule type="containsText" dxfId="489" priority="416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488" priority="414" operator="containsText" text="Газель базы">
      <formula>NOT(ISERROR(SEARCH("Газель базы",B1734)))</formula>
    </cfRule>
    <cfRule type="containsText" dxfId="487" priority="415" operator="containsText" text="Погрузчик базы">
      <formula>NOT(ISERROR(SEARCH("Погрузчик базы",B1734)))</formula>
    </cfRule>
  </conditionalFormatting>
  <conditionalFormatting sqref="B1734:B1735">
    <cfRule type="containsText" dxfId="486" priority="413" operator="containsText" text="Трактор базы">
      <formula>NOT(ISERROR(SEARCH("Трактор базы",B1734)))</formula>
    </cfRule>
  </conditionalFormatting>
  <conditionalFormatting sqref="B1762:B1764">
    <cfRule type="containsText" dxfId="485" priority="399" operator="containsText" text="Трактор базы">
      <formula>NOT(ISERROR(SEARCH("Трактор базы",B1762)))</formula>
    </cfRule>
  </conditionalFormatting>
  <conditionalFormatting sqref="B1740:B1741">
    <cfRule type="containsText" dxfId="484" priority="412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483" priority="410" operator="containsText" text="Газель базы">
      <formula>NOT(ISERROR(SEARCH("Газель базы",B1740)))</formula>
    </cfRule>
    <cfRule type="containsText" dxfId="482" priority="411" operator="containsText" text="Погрузчик базы">
      <formula>NOT(ISERROR(SEARCH("Погрузчик базы",B1740)))</formula>
    </cfRule>
  </conditionalFormatting>
  <conditionalFormatting sqref="B1740:B1741">
    <cfRule type="containsText" dxfId="481" priority="409" operator="containsText" text="Трактор базы">
      <formula>NOT(ISERROR(SEARCH("Трактор базы",B1740)))</formula>
    </cfRule>
  </conditionalFormatting>
  <conditionalFormatting sqref="A1755">
    <cfRule type="containsText" dxfId="480" priority="406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479" priority="408" operator="containsText" text="Выезд с территории">
      <formula>NOT(ISERROR(SEARCH("Выезд с территории",A1755)))</formula>
    </cfRule>
  </conditionalFormatting>
  <conditionalFormatting sqref="A1755">
    <cfRule type="containsText" dxfId="478" priority="407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477" priority="403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476" priority="405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475" priority="404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474" priority="390" operator="containsText" text="Трактор базы">
      <formula>NOT(ISERROR(SEARCH("Трактор базы",B1773)))</formula>
    </cfRule>
  </conditionalFormatting>
  <conditionalFormatting sqref="B1762:B1764">
    <cfRule type="containsText" dxfId="473" priority="402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72" priority="400" operator="containsText" text="Газель базы">
      <formula>NOT(ISERROR(SEARCH("Газель базы",B1762)))</formula>
    </cfRule>
    <cfRule type="containsText" dxfId="471" priority="401" operator="containsText" text="Погрузчик базы">
      <formula>NOT(ISERROR(SEARCH("Погрузчик базы",B1762)))</formula>
    </cfRule>
  </conditionalFormatting>
  <conditionalFormatting sqref="B1776:B1777">
    <cfRule type="containsText" dxfId="470" priority="381" operator="containsText" text="Трактор базы">
      <formula>NOT(ISERROR(SEARCH("Трактор базы",B1776)))</formula>
    </cfRule>
  </conditionalFormatting>
  <conditionalFormatting sqref="B1770:B1771">
    <cfRule type="containsText" dxfId="469" priority="398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68" priority="396" operator="containsText" text="Газель базы">
      <formula>NOT(ISERROR(SEARCH("Газель базы",B1770)))</formula>
    </cfRule>
    <cfRule type="containsText" dxfId="467" priority="397" operator="containsText" text="Погрузчик базы">
      <formula>NOT(ISERROR(SEARCH("Погрузчик базы",B1770)))</formula>
    </cfRule>
  </conditionalFormatting>
  <conditionalFormatting sqref="B1770:B1771">
    <cfRule type="containsText" dxfId="466" priority="395" operator="containsText" text="Трактор базы">
      <formula>NOT(ISERROR(SEARCH("Трактор базы",B1770)))</formula>
    </cfRule>
  </conditionalFormatting>
  <conditionalFormatting sqref="B1773">
    <cfRule type="containsText" dxfId="465" priority="394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64" priority="393" operator="notContains" text="порожний">
      <formula>ISERROR(SEARCH("порожний",C1773))</formula>
    </cfRule>
  </conditionalFormatting>
  <conditionalFormatting sqref="B1773">
    <cfRule type="containsText" dxfId="463" priority="391" operator="containsText" text="Газель базы">
      <formula>NOT(ISERROR(SEARCH("Газель базы",B1773)))</formula>
    </cfRule>
    <cfRule type="containsText" dxfId="462" priority="392" operator="containsText" text="Погрузчик базы">
      <formula>NOT(ISERROR(SEARCH("Погрузчик базы",B1773)))</formula>
    </cfRule>
  </conditionalFormatting>
  <conditionalFormatting sqref="B1775">
    <cfRule type="containsText" dxfId="461" priority="385" operator="containsText" text="Трактор базы">
      <formula>NOT(ISERROR(SEARCH("Трактор базы",B1775)))</formula>
    </cfRule>
  </conditionalFormatting>
  <conditionalFormatting sqref="B1775">
    <cfRule type="containsText" dxfId="460" priority="389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59" priority="388" operator="notContains" text="порожний">
      <formula>ISERROR(SEARCH("порожний",C1775))</formula>
    </cfRule>
  </conditionalFormatting>
  <conditionalFormatting sqref="B1775">
    <cfRule type="containsText" dxfId="458" priority="386" operator="containsText" text="Газель базы">
      <formula>NOT(ISERROR(SEARCH("Газель базы",B1775)))</formula>
    </cfRule>
    <cfRule type="containsText" dxfId="457" priority="387" operator="containsText" text="Погрузчик базы">
      <formula>NOT(ISERROR(SEARCH("Погрузчик базы",B1775)))</formula>
    </cfRule>
  </conditionalFormatting>
  <conditionalFormatting sqref="B1776:B1777">
    <cfRule type="containsText" dxfId="456" priority="384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55" priority="382" operator="containsText" text="Газель базы">
      <formula>NOT(ISERROR(SEARCH("Газель базы",B1776)))</formula>
    </cfRule>
    <cfRule type="containsText" dxfId="454" priority="383" operator="containsText" text="Погрузчик базы">
      <formula>NOT(ISERROR(SEARCH("Погрузчик базы",B1776)))</formula>
    </cfRule>
  </conditionalFormatting>
  <conditionalFormatting sqref="B1891">
    <cfRule type="containsText" dxfId="453" priority="373" operator="containsText" text="Трактор базы">
      <formula>NOT(ISERROR(SEARCH("Трактор базы",B1891)))</formula>
    </cfRule>
  </conditionalFormatting>
  <conditionalFormatting sqref="B1889">
    <cfRule type="containsText" dxfId="452" priority="380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51" priority="378" operator="containsText" text="Газель базы">
      <formula>NOT(ISERROR(SEARCH("Газель базы",B1889)))</formula>
    </cfRule>
    <cfRule type="containsText" dxfId="450" priority="379" operator="containsText" text="Погрузчик базы">
      <formula>NOT(ISERROR(SEARCH("Погрузчик базы",B1889)))</formula>
    </cfRule>
  </conditionalFormatting>
  <conditionalFormatting sqref="B1889">
    <cfRule type="containsText" dxfId="449" priority="377" operator="containsText" text="Трактор базы">
      <formula>NOT(ISERROR(SEARCH("Трактор базы",B1889)))</formula>
    </cfRule>
  </conditionalFormatting>
  <conditionalFormatting sqref="B1891">
    <cfRule type="containsText" dxfId="448" priority="376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47" priority="374" operator="containsText" text="Газель базы">
      <formula>NOT(ISERROR(SEARCH("Газель базы",B1891)))</formula>
    </cfRule>
    <cfRule type="containsText" dxfId="446" priority="375" operator="containsText" text="Погрузчик базы">
      <formula>NOT(ISERROR(SEARCH("Погрузчик базы",B1891)))</formula>
    </cfRule>
  </conditionalFormatting>
  <conditionalFormatting sqref="B1920">
    <cfRule type="containsText" dxfId="445" priority="361" operator="containsText" text="Трактор базы">
      <formula>NOT(ISERROR(SEARCH("Трактор базы",B1920)))</formula>
    </cfRule>
  </conditionalFormatting>
  <conditionalFormatting sqref="B1904:B1914">
    <cfRule type="containsText" dxfId="444" priority="372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43" priority="370" operator="containsText" text="Газель базы">
      <formula>NOT(ISERROR(SEARCH("Газель базы",B1904)))</formula>
    </cfRule>
    <cfRule type="containsText" dxfId="442" priority="371" operator="containsText" text="Погрузчик базы">
      <formula>NOT(ISERROR(SEARCH("Погрузчик базы",B1904)))</formula>
    </cfRule>
  </conditionalFormatting>
  <conditionalFormatting sqref="B1904:B1914">
    <cfRule type="containsText" dxfId="441" priority="369" operator="containsText" text="Трактор базы">
      <formula>NOT(ISERROR(SEARCH("Трактор базы",B1904)))</formula>
    </cfRule>
  </conditionalFormatting>
  <conditionalFormatting sqref="B1915:B1919">
    <cfRule type="containsText" dxfId="440" priority="368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39" priority="366" operator="containsText" text="Газель базы">
      <formula>NOT(ISERROR(SEARCH("Газель базы",B1915)))</formula>
    </cfRule>
    <cfRule type="containsText" dxfId="438" priority="367" operator="containsText" text="Погрузчик базы">
      <formula>NOT(ISERROR(SEARCH("Погрузчик базы",B1915)))</formula>
    </cfRule>
  </conditionalFormatting>
  <conditionalFormatting sqref="B1915:B1919">
    <cfRule type="containsText" dxfId="437" priority="365" operator="containsText" text="Трактор базы">
      <formula>NOT(ISERROR(SEARCH("Трактор базы",B1915)))</formula>
    </cfRule>
  </conditionalFormatting>
  <conditionalFormatting sqref="B1920">
    <cfRule type="containsText" dxfId="436" priority="364" operator="containsText" text="Выезд с территории">
      <formula>NOT(ISERROR(SEARCH("Выезд с территории",B1920)))</formula>
    </cfRule>
  </conditionalFormatting>
  <conditionalFormatting sqref="B1920">
    <cfRule type="containsText" dxfId="435" priority="362" operator="containsText" text="Газель базы">
      <formula>NOT(ISERROR(SEARCH("Газель базы",B1920)))</formula>
    </cfRule>
    <cfRule type="containsText" dxfId="434" priority="363" operator="containsText" text="Погрузчик базы">
      <formula>NOT(ISERROR(SEARCH("Погрузчик базы",B1920)))</formula>
    </cfRule>
  </conditionalFormatting>
  <conditionalFormatting sqref="B1939">
    <cfRule type="containsText" dxfId="433" priority="357" operator="containsText" text="Трактор базы">
      <formula>NOT(ISERROR(SEARCH("Трактор базы",B1939)))</formula>
    </cfRule>
  </conditionalFormatting>
  <conditionalFormatting sqref="B1939">
    <cfRule type="containsText" dxfId="432" priority="360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31" priority="358" operator="containsText" text="Газель базы">
      <formula>NOT(ISERROR(SEARCH("Газель базы",B1939)))</formula>
    </cfRule>
    <cfRule type="containsText" dxfId="430" priority="359" operator="containsText" text="Погрузчик базы">
      <formula>NOT(ISERROR(SEARCH("Погрузчик базы",B1939)))</formula>
    </cfRule>
  </conditionalFormatting>
  <conditionalFormatting sqref="A1943">
    <cfRule type="containsText" dxfId="429" priority="354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428" priority="356" operator="containsText" text="Выезд с территории">
      <formula>NOT(ISERROR(SEARCH("Выезд с территории",A1943)))</formula>
    </cfRule>
  </conditionalFormatting>
  <conditionalFormatting sqref="A1943">
    <cfRule type="containsText" dxfId="427" priority="355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426" priority="338" operator="containsText" text="Трактор базы">
      <formula>NOT(ISERROR(SEARCH("Трактор базы",B1977)))</formula>
    </cfRule>
  </conditionalFormatting>
  <conditionalFormatting sqref="B1974">
    <cfRule type="containsText" dxfId="425" priority="353" operator="containsText" text="Выезд с территории">
      <formula>NOT(ISERROR(SEARCH("Выезд с территории",B1974)))</formula>
    </cfRule>
  </conditionalFormatting>
  <conditionalFormatting sqref="B1974">
    <cfRule type="containsText" dxfId="424" priority="351" operator="containsText" text="Газель базы">
      <formula>NOT(ISERROR(SEARCH("Газель базы",B1974)))</formula>
    </cfRule>
    <cfRule type="containsText" dxfId="423" priority="352" operator="containsText" text="Погрузчик базы">
      <formula>NOT(ISERROR(SEARCH("Погрузчик базы",B1974)))</formula>
    </cfRule>
  </conditionalFormatting>
  <conditionalFormatting sqref="B1974">
    <cfRule type="containsText" dxfId="422" priority="350" operator="containsText" text="Трактор базы">
      <formula>NOT(ISERROR(SEARCH("Трактор базы",B1974)))</formula>
    </cfRule>
  </conditionalFormatting>
  <conditionalFormatting sqref="B1975">
    <cfRule type="containsText" dxfId="421" priority="349" operator="containsText" text="Выезд с территории">
      <formula>NOT(ISERROR(SEARCH("Выезд с территории",B1975)))</formula>
    </cfRule>
  </conditionalFormatting>
  <conditionalFormatting sqref="B1975">
    <cfRule type="containsText" dxfId="420" priority="347" operator="containsText" text="Газель базы">
      <formula>NOT(ISERROR(SEARCH("Газель базы",B1975)))</formula>
    </cfRule>
    <cfRule type="containsText" dxfId="419" priority="348" operator="containsText" text="Погрузчик базы">
      <formula>NOT(ISERROR(SEARCH("Погрузчик базы",B1975)))</formula>
    </cfRule>
  </conditionalFormatting>
  <conditionalFormatting sqref="B1975">
    <cfRule type="containsText" dxfId="418" priority="346" operator="containsText" text="Трактор базы">
      <formula>NOT(ISERROR(SEARCH("Трактор базы",B1975)))</formula>
    </cfRule>
  </conditionalFormatting>
  <conditionalFormatting sqref="B1976">
    <cfRule type="containsText" dxfId="417" priority="345" operator="containsText" text="Выезд с территории">
      <formula>NOT(ISERROR(SEARCH("Выезд с территории",B1976)))</formula>
    </cfRule>
  </conditionalFormatting>
  <conditionalFormatting sqref="B1976">
    <cfRule type="containsText" dxfId="416" priority="343" operator="containsText" text="Газель базы">
      <formula>NOT(ISERROR(SEARCH("Газель базы",B1976)))</formula>
    </cfRule>
    <cfRule type="containsText" dxfId="415" priority="344" operator="containsText" text="Погрузчик базы">
      <formula>NOT(ISERROR(SEARCH("Погрузчик базы",B1976)))</formula>
    </cfRule>
  </conditionalFormatting>
  <conditionalFormatting sqref="B1976">
    <cfRule type="containsText" dxfId="414" priority="342" operator="containsText" text="Трактор базы">
      <formula>NOT(ISERROR(SEARCH("Трактор базы",B1976)))</formula>
    </cfRule>
  </conditionalFormatting>
  <conditionalFormatting sqref="B1977">
    <cfRule type="containsText" dxfId="413" priority="341" operator="containsText" text="Выезд с территории">
      <formula>NOT(ISERROR(SEARCH("Выезд с территории",B1977)))</formula>
    </cfRule>
  </conditionalFormatting>
  <conditionalFormatting sqref="B1977">
    <cfRule type="containsText" dxfId="412" priority="339" operator="containsText" text="Газель базы">
      <formula>NOT(ISERROR(SEARCH("Газель базы",B1977)))</formula>
    </cfRule>
    <cfRule type="containsText" dxfId="411" priority="340" operator="containsText" text="Погрузчик базы">
      <formula>NOT(ISERROR(SEARCH("Погрузчик базы",B1977)))</formula>
    </cfRule>
  </conditionalFormatting>
  <conditionalFormatting sqref="C1965">
    <cfRule type="notContainsText" dxfId="410" priority="337" operator="notContains" text="порожний">
      <formula>ISERROR(SEARCH("порожний",C1965))</formula>
    </cfRule>
  </conditionalFormatting>
  <conditionalFormatting sqref="B2042">
    <cfRule type="containsText" dxfId="409" priority="333" operator="containsText" text="Трактор базы">
      <formula>NOT(ISERROR(SEARCH("Трактор базы",B2042)))</formula>
    </cfRule>
  </conditionalFormatting>
  <conditionalFormatting sqref="B2042">
    <cfRule type="containsText" dxfId="408" priority="336" operator="containsText" text="Выезд с территории">
      <formula>NOT(ISERROR(SEARCH("Выезд с территории",B2042)))</formula>
    </cfRule>
  </conditionalFormatting>
  <conditionalFormatting sqref="B2042">
    <cfRule type="containsText" dxfId="407" priority="334" operator="containsText" text="Газель базы">
      <formula>NOT(ISERROR(SEARCH("Газель базы",B2042)))</formula>
    </cfRule>
    <cfRule type="containsText" dxfId="406" priority="335" operator="containsText" text="Погрузчик базы">
      <formula>NOT(ISERROR(SEARCH("Погрузчик базы",B2042)))</formula>
    </cfRule>
  </conditionalFormatting>
  <conditionalFormatting sqref="C2050">
    <cfRule type="notContainsText" dxfId="405" priority="332" operator="notContains" text="порожний">
      <formula>ISERROR(SEARCH("порожний",C2050))</formula>
    </cfRule>
  </conditionalFormatting>
  <conditionalFormatting sqref="B2054">
    <cfRule type="containsText" dxfId="404" priority="331" operator="containsText" text="Выезд с территории">
      <formula>NOT(ISERROR(SEARCH("Выезд с территории",B2054)))</formula>
    </cfRule>
  </conditionalFormatting>
  <conditionalFormatting sqref="B2054">
    <cfRule type="containsText" dxfId="403" priority="329" operator="containsText" text="Газель базы">
      <formula>NOT(ISERROR(SEARCH("Газель базы",B2054)))</formula>
    </cfRule>
    <cfRule type="containsText" dxfId="402" priority="330" operator="containsText" text="Погрузчик базы">
      <formula>NOT(ISERROR(SEARCH("Погрузчик базы",B2054)))</formula>
    </cfRule>
  </conditionalFormatting>
  <conditionalFormatting sqref="B2054">
    <cfRule type="containsText" dxfId="401" priority="328" operator="containsText" text="Трактор базы">
      <formula>NOT(ISERROR(SEARCH("Трактор базы",B2054)))</formula>
    </cfRule>
  </conditionalFormatting>
  <conditionalFormatting sqref="B2055">
    <cfRule type="containsText" dxfId="400" priority="324" operator="containsText" text="Трактор базы">
      <formula>NOT(ISERROR(SEARCH("Трактор базы",B2055)))</formula>
    </cfRule>
  </conditionalFormatting>
  <conditionalFormatting sqref="B2055">
    <cfRule type="containsText" dxfId="399" priority="327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98" priority="325" operator="containsText" text="Газель базы">
      <formula>NOT(ISERROR(SEARCH("Газель базы",B2055)))</formula>
    </cfRule>
    <cfRule type="containsText" dxfId="397" priority="326" operator="containsText" text="Погрузчик базы">
      <formula>NOT(ISERROR(SEARCH("Погрузчик базы",B2055)))</formula>
    </cfRule>
  </conditionalFormatting>
  <conditionalFormatting sqref="A2087:A2089">
    <cfRule type="containsText" dxfId="396" priority="317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95" priority="323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94" priority="322" operator="notContains" text="порожний">
      <formula>ISERROR(SEARCH("порожний",C2087))</formula>
    </cfRule>
  </conditionalFormatting>
  <conditionalFormatting sqref="B2087:B2089">
    <cfRule type="containsText" dxfId="393" priority="320" operator="containsText" text="Газель базы">
      <formula>NOT(ISERROR(SEARCH("Газель базы",B2087)))</formula>
    </cfRule>
    <cfRule type="containsText" dxfId="392" priority="321" operator="containsText" text="Погрузчик базы">
      <formula>NOT(ISERROR(SEARCH("Погрузчик базы",B2087)))</formula>
    </cfRule>
  </conditionalFormatting>
  <conditionalFormatting sqref="B2087:B2089">
    <cfRule type="containsText" dxfId="391" priority="319" operator="containsText" text="Трактор базы">
      <formula>NOT(ISERROR(SEARCH("Трактор базы",B2087)))</formula>
    </cfRule>
  </conditionalFormatting>
  <conditionalFormatting sqref="A2087:A2089">
    <cfRule type="containsText" dxfId="390" priority="318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389" priority="316" operator="containsText" text="Выезд с территории">
      <formula>NOT(ISERROR(SEARCH("Выезд с территории",B2101)))</formula>
    </cfRule>
  </conditionalFormatting>
  <conditionalFormatting sqref="B2101">
    <cfRule type="containsText" dxfId="388" priority="314" operator="containsText" text="Газель базы">
      <formula>NOT(ISERROR(SEARCH("Газель базы",B2101)))</formula>
    </cfRule>
    <cfRule type="containsText" dxfId="387" priority="315" operator="containsText" text="Погрузчик базы">
      <formula>NOT(ISERROR(SEARCH("Погрузчик базы",B2101)))</formula>
    </cfRule>
  </conditionalFormatting>
  <conditionalFormatting sqref="B2101">
    <cfRule type="containsText" dxfId="386" priority="313" operator="containsText" text="Трактор базы">
      <formula>NOT(ISERROR(SEARCH("Трактор базы",B2101)))</formula>
    </cfRule>
  </conditionalFormatting>
  <conditionalFormatting sqref="B2102">
    <cfRule type="containsText" dxfId="385" priority="312" operator="containsText" text="Выезд с территории">
      <formula>NOT(ISERROR(SEARCH("Выезд с территории",B2102)))</formula>
    </cfRule>
  </conditionalFormatting>
  <conditionalFormatting sqref="B2102">
    <cfRule type="containsText" dxfId="384" priority="310" operator="containsText" text="Газель базы">
      <formula>NOT(ISERROR(SEARCH("Газель базы",B2102)))</formula>
    </cfRule>
    <cfRule type="containsText" dxfId="383" priority="311" operator="containsText" text="Погрузчик базы">
      <formula>NOT(ISERROR(SEARCH("Погрузчик базы",B2102)))</formula>
    </cfRule>
  </conditionalFormatting>
  <conditionalFormatting sqref="B2102">
    <cfRule type="containsText" dxfId="382" priority="309" operator="containsText" text="Трактор базы">
      <formula>NOT(ISERROR(SEARCH("Трактор базы",B2102)))</formula>
    </cfRule>
  </conditionalFormatting>
  <conditionalFormatting sqref="B2103">
    <cfRule type="containsText" dxfId="381" priority="305" operator="containsText" text="Трактор базы">
      <formula>NOT(ISERROR(SEARCH("Трактор базы",B2103)))</formula>
    </cfRule>
  </conditionalFormatting>
  <conditionalFormatting sqref="B2103">
    <cfRule type="containsText" dxfId="380" priority="308" operator="containsText" text="Выезд с территории">
      <formula>NOT(ISERROR(SEARCH("Выезд с территории",B2103)))</formula>
    </cfRule>
  </conditionalFormatting>
  <conditionalFormatting sqref="B2103">
    <cfRule type="containsText" dxfId="379" priority="306" operator="containsText" text="Газель базы">
      <formula>NOT(ISERROR(SEARCH("Газель базы",B2103)))</formula>
    </cfRule>
    <cfRule type="containsText" dxfId="378" priority="307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377" priority="302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376" priority="304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375" priority="303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374" priority="301" operator="containsText" text="Выезд с территории">
      <formula>NOT(ISERROR(SEARCH("Выезд с территории",B2276)))</formula>
    </cfRule>
  </conditionalFormatting>
  <conditionalFormatting sqref="B2276">
    <cfRule type="containsText" dxfId="373" priority="299" operator="containsText" text="Газель базы">
      <formula>NOT(ISERROR(SEARCH("Газель базы",B2276)))</formula>
    </cfRule>
    <cfRule type="containsText" dxfId="372" priority="300" operator="containsText" text="Погрузчик базы">
      <formula>NOT(ISERROR(SEARCH("Погрузчик базы",B2276)))</formula>
    </cfRule>
  </conditionalFormatting>
  <conditionalFormatting sqref="B2276">
    <cfRule type="containsText" dxfId="371" priority="298" operator="containsText" text="Трактор базы">
      <formula>NOT(ISERROR(SEARCH("Трактор базы",B2276)))</formula>
    </cfRule>
  </conditionalFormatting>
  <conditionalFormatting sqref="B2277">
    <cfRule type="containsText" dxfId="370" priority="294" operator="containsText" text="Трактор базы">
      <formula>NOT(ISERROR(SEARCH("Трактор базы",B2277)))</formula>
    </cfRule>
  </conditionalFormatting>
  <conditionalFormatting sqref="B2277">
    <cfRule type="containsText" dxfId="369" priority="297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68" priority="295" operator="containsText" text="Газель базы">
      <formula>NOT(ISERROR(SEARCH("Газель базы",B2277)))</formula>
    </cfRule>
    <cfRule type="containsText" dxfId="367" priority="296" operator="containsText" text="Погрузчик базы">
      <formula>NOT(ISERROR(SEARCH("Погрузчик базы",B2277)))</formula>
    </cfRule>
  </conditionalFormatting>
  <conditionalFormatting sqref="A2279">
    <cfRule type="containsText" dxfId="366" priority="291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65" priority="293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64" priority="292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63" priority="288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62" priority="290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61" priority="289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60" priority="269" operator="containsText" text="Трактор базы">
      <formula>NOT(ISERROR(SEARCH("Трактор базы",B2382)))</formula>
    </cfRule>
  </conditionalFormatting>
  <conditionalFormatting sqref="B2348:B2349">
    <cfRule type="containsText" dxfId="359" priority="287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58" priority="285" operator="containsText" text="Газель базы">
      <formula>NOT(ISERROR(SEARCH("Газель базы",B2348)))</formula>
    </cfRule>
    <cfRule type="containsText" dxfId="357" priority="286" operator="containsText" text="Погрузчик базы">
      <formula>NOT(ISERROR(SEARCH("Погрузчик базы",B2348)))</formula>
    </cfRule>
  </conditionalFormatting>
  <conditionalFormatting sqref="B2348:B2349">
    <cfRule type="containsText" dxfId="356" priority="284" operator="containsText" text="Трактор базы">
      <formula>NOT(ISERROR(SEARCH("Трактор базы",B2348)))</formula>
    </cfRule>
  </conditionalFormatting>
  <conditionalFormatting sqref="A2350">
    <cfRule type="containsText" dxfId="355" priority="281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54" priority="283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53" priority="282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52" priority="280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51" priority="278" operator="containsText" text="Газель базы">
      <formula>NOT(ISERROR(SEARCH("Газель базы",B2352)))</formula>
    </cfRule>
    <cfRule type="containsText" dxfId="350" priority="279" operator="containsText" text="Погрузчик базы">
      <formula>NOT(ISERROR(SEARCH("Погрузчик базы",B2352)))</formula>
    </cfRule>
  </conditionalFormatting>
  <conditionalFormatting sqref="B2352:B2354">
    <cfRule type="containsText" dxfId="349" priority="277" operator="containsText" text="Трактор базы">
      <formula>NOT(ISERROR(SEARCH("Трактор базы",B2352)))</formula>
    </cfRule>
  </conditionalFormatting>
  <conditionalFormatting sqref="B2358">
    <cfRule type="containsText" dxfId="348" priority="276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47" priority="274" operator="containsText" text="Газель базы">
      <formula>NOT(ISERROR(SEARCH("Газель базы",B2358)))</formula>
    </cfRule>
    <cfRule type="containsText" dxfId="346" priority="275" operator="containsText" text="Погрузчик базы">
      <formula>NOT(ISERROR(SEARCH("Погрузчик базы",B2358)))</formula>
    </cfRule>
  </conditionalFormatting>
  <conditionalFormatting sqref="B2358">
    <cfRule type="containsText" dxfId="345" priority="273" operator="containsText" text="Трактор базы">
      <formula>NOT(ISERROR(SEARCH("Трактор базы",B2358)))</formula>
    </cfRule>
  </conditionalFormatting>
  <conditionalFormatting sqref="B2382">
    <cfRule type="containsText" dxfId="344" priority="272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43" priority="270" operator="containsText" text="Газель базы">
      <formula>NOT(ISERROR(SEARCH("Газель базы",B2382)))</formula>
    </cfRule>
    <cfRule type="containsText" dxfId="342" priority="271" operator="containsText" text="Погрузчик базы">
      <formula>NOT(ISERROR(SEARCH("Погрузчик базы",B2382)))</formula>
    </cfRule>
  </conditionalFormatting>
  <conditionalFormatting sqref="B2423:B2424">
    <cfRule type="containsText" dxfId="341" priority="268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40" priority="266" operator="containsText" text="Газель базы">
      <formula>NOT(ISERROR(SEARCH("Газель базы",B2423)))</formula>
    </cfRule>
    <cfRule type="containsText" dxfId="339" priority="267" operator="containsText" text="Погрузчик базы">
      <formula>NOT(ISERROR(SEARCH("Погрузчик базы",B2423)))</formula>
    </cfRule>
  </conditionalFormatting>
  <conditionalFormatting sqref="B2423:B2424">
    <cfRule type="containsText" dxfId="338" priority="265" operator="containsText" text="Трактор базы">
      <formula>NOT(ISERROR(SEARCH("Трактор базы",B2423)))</formula>
    </cfRule>
  </conditionalFormatting>
  <conditionalFormatting sqref="B2431">
    <cfRule type="containsText" dxfId="337" priority="264" operator="containsText" text="Выезд с территории">
      <formula>NOT(ISERROR(SEARCH("Выезд с территории",B2431)))</formula>
    </cfRule>
  </conditionalFormatting>
  <conditionalFormatting sqref="B2431">
    <cfRule type="containsText" dxfId="336" priority="262" operator="containsText" text="Газель базы">
      <formula>NOT(ISERROR(SEARCH("Газель базы",B2431)))</formula>
    </cfRule>
    <cfRule type="containsText" dxfId="335" priority="263" operator="containsText" text="Погрузчик базы">
      <formula>NOT(ISERROR(SEARCH("Погрузчик базы",B2431)))</formula>
    </cfRule>
  </conditionalFormatting>
  <conditionalFormatting sqref="B2431">
    <cfRule type="containsText" dxfId="334" priority="261" operator="containsText" text="Трактор базы">
      <formula>NOT(ISERROR(SEARCH("Трактор базы",B2431)))</formula>
    </cfRule>
  </conditionalFormatting>
  <conditionalFormatting sqref="B2478">
    <cfRule type="containsText" dxfId="333" priority="249" operator="containsText" text="Трактор базы">
      <formula>NOT(ISERROR(SEARCH("Трактор базы",B2478)))</formula>
    </cfRule>
  </conditionalFormatting>
  <conditionalFormatting sqref="B2462:B2463">
    <cfRule type="containsText" dxfId="332" priority="260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331" priority="258" operator="containsText" text="Газель базы">
      <formula>NOT(ISERROR(SEARCH("Газель базы",B2462)))</formula>
    </cfRule>
    <cfRule type="containsText" dxfId="330" priority="259" operator="containsText" text="Погрузчик базы">
      <formula>NOT(ISERROR(SEARCH("Погрузчик базы",B2462)))</formula>
    </cfRule>
  </conditionalFormatting>
  <conditionalFormatting sqref="B2462:B2463">
    <cfRule type="containsText" dxfId="329" priority="257" operator="containsText" text="Трактор базы">
      <formula>NOT(ISERROR(SEARCH("Трактор базы",B2462)))</formula>
    </cfRule>
  </conditionalFormatting>
  <conditionalFormatting sqref="B2467">
    <cfRule type="containsText" dxfId="328" priority="256" operator="containsText" text="Выезд с территории">
      <formula>NOT(ISERROR(SEARCH("Выезд с территории",B2467)))</formula>
    </cfRule>
  </conditionalFormatting>
  <conditionalFormatting sqref="B2467">
    <cfRule type="containsText" dxfId="327" priority="254" operator="containsText" text="Газель базы">
      <formula>NOT(ISERROR(SEARCH("Газель базы",B2467)))</formula>
    </cfRule>
    <cfRule type="containsText" dxfId="326" priority="255" operator="containsText" text="Погрузчик базы">
      <formula>NOT(ISERROR(SEARCH("Погрузчик базы",B2467)))</formula>
    </cfRule>
  </conditionalFormatting>
  <conditionalFormatting sqref="B2467">
    <cfRule type="containsText" dxfId="325" priority="253" operator="containsText" text="Трактор базы">
      <formula>NOT(ISERROR(SEARCH("Трактор базы",B2467)))</formula>
    </cfRule>
  </conditionalFormatting>
  <conditionalFormatting sqref="B2478">
    <cfRule type="containsText" dxfId="324" priority="252" operator="containsText" text="Выезд с территории">
      <formula>NOT(ISERROR(SEARCH("Выезд с территории",B2478)))</formula>
    </cfRule>
  </conditionalFormatting>
  <conditionalFormatting sqref="B2478">
    <cfRule type="containsText" dxfId="323" priority="250" operator="containsText" text="Газель базы">
      <formula>NOT(ISERROR(SEARCH("Газель базы",B2478)))</formula>
    </cfRule>
    <cfRule type="containsText" dxfId="322" priority="251" operator="containsText" text="Погрузчик базы">
      <formula>NOT(ISERROR(SEARCH("Погрузчик базы",B2478)))</formula>
    </cfRule>
  </conditionalFormatting>
  <conditionalFormatting sqref="B2499">
    <cfRule type="containsText" dxfId="321" priority="237" operator="containsText" text="Трактор базы">
      <formula>NOT(ISERROR(SEARCH("Трактор базы",B2499)))</formula>
    </cfRule>
  </conditionalFormatting>
  <conditionalFormatting sqref="B2497">
    <cfRule type="containsText" dxfId="320" priority="248" operator="containsText" text="Выезд с территории">
      <formula>NOT(ISERROR(SEARCH("Выезд с территории",B2497)))</formula>
    </cfRule>
  </conditionalFormatting>
  <conditionalFormatting sqref="B2497">
    <cfRule type="containsText" dxfId="319" priority="246" operator="containsText" text="Газель базы">
      <formula>NOT(ISERROR(SEARCH("Газель базы",B2497)))</formula>
    </cfRule>
    <cfRule type="containsText" dxfId="318" priority="247" operator="containsText" text="Погрузчик базы">
      <formula>NOT(ISERROR(SEARCH("Погрузчик базы",B2497)))</formula>
    </cfRule>
  </conditionalFormatting>
  <conditionalFormatting sqref="B2497">
    <cfRule type="containsText" dxfId="317" priority="245" operator="containsText" text="Трактор базы">
      <formula>NOT(ISERROR(SEARCH("Трактор базы",B2497)))</formula>
    </cfRule>
  </conditionalFormatting>
  <conditionalFormatting sqref="B2498">
    <cfRule type="containsText" dxfId="316" priority="244" operator="containsText" text="Выезд с территории">
      <formula>NOT(ISERROR(SEARCH("Выезд с территории",B2498)))</formula>
    </cfRule>
  </conditionalFormatting>
  <conditionalFormatting sqref="B2498">
    <cfRule type="containsText" dxfId="315" priority="242" operator="containsText" text="Газель базы">
      <formula>NOT(ISERROR(SEARCH("Газель базы",B2498)))</formula>
    </cfRule>
    <cfRule type="containsText" dxfId="314" priority="243" operator="containsText" text="Погрузчик базы">
      <formula>NOT(ISERROR(SEARCH("Погрузчик базы",B2498)))</formula>
    </cfRule>
  </conditionalFormatting>
  <conditionalFormatting sqref="B2498">
    <cfRule type="containsText" dxfId="313" priority="241" operator="containsText" text="Трактор базы">
      <formula>NOT(ISERROR(SEARCH("Трактор базы",B2498)))</formula>
    </cfRule>
  </conditionalFormatting>
  <conditionalFormatting sqref="B2499">
    <cfRule type="containsText" dxfId="312" priority="240" operator="containsText" text="Выезд с территории">
      <formula>NOT(ISERROR(SEARCH("Выезд с территории",B2499)))</formula>
    </cfRule>
  </conditionalFormatting>
  <conditionalFormatting sqref="B2499">
    <cfRule type="containsText" dxfId="311" priority="238" operator="containsText" text="Газель базы">
      <formula>NOT(ISERROR(SEARCH("Газель базы",B2499)))</formula>
    </cfRule>
    <cfRule type="containsText" dxfId="310" priority="239" operator="containsText" text="Погрузчик базы">
      <formula>NOT(ISERROR(SEARCH("Погрузчик базы",B2499)))</formula>
    </cfRule>
  </conditionalFormatting>
  <conditionalFormatting sqref="B2512:B2513">
    <cfRule type="containsText" dxfId="309" priority="211" operator="containsText" text="Трактор базы">
      <formula>NOT(ISERROR(SEARCH("Трактор базы",B2512)))</formula>
    </cfRule>
  </conditionalFormatting>
  <conditionalFormatting sqref="B2500">
    <cfRule type="containsText" dxfId="308" priority="236" operator="containsText" text="Выезд с территории">
      <formula>NOT(ISERROR(SEARCH("Выезд с территории",B2500)))</formula>
    </cfRule>
  </conditionalFormatting>
  <conditionalFormatting sqref="B2500">
    <cfRule type="containsText" dxfId="307" priority="234" operator="containsText" text="Газель базы">
      <formula>NOT(ISERROR(SEARCH("Газель базы",B2500)))</formula>
    </cfRule>
    <cfRule type="containsText" dxfId="306" priority="235" operator="containsText" text="Погрузчик базы">
      <formula>NOT(ISERROR(SEARCH("Погрузчик базы",B2500)))</formula>
    </cfRule>
  </conditionalFormatting>
  <conditionalFormatting sqref="B2500">
    <cfRule type="containsText" dxfId="305" priority="233" operator="containsText" text="Трактор базы">
      <formula>NOT(ISERROR(SEARCH("Трактор базы",B2500)))</formula>
    </cfRule>
  </conditionalFormatting>
  <conditionalFormatting sqref="B2501">
    <cfRule type="containsText" dxfId="304" priority="232" operator="containsText" text="Выезд с территории">
      <formula>NOT(ISERROR(SEARCH("Выезд с территории",B2501)))</formula>
    </cfRule>
  </conditionalFormatting>
  <conditionalFormatting sqref="B2501">
    <cfRule type="containsText" dxfId="303" priority="230" operator="containsText" text="Газель базы">
      <formula>NOT(ISERROR(SEARCH("Газель базы",B2501)))</formula>
    </cfRule>
    <cfRule type="containsText" dxfId="302" priority="231" operator="containsText" text="Погрузчик базы">
      <formula>NOT(ISERROR(SEARCH("Погрузчик базы",B2501)))</formula>
    </cfRule>
  </conditionalFormatting>
  <conditionalFormatting sqref="B2501">
    <cfRule type="containsText" dxfId="301" priority="229" operator="containsText" text="Трактор базы">
      <formula>NOT(ISERROR(SEARCH("Трактор базы",B2501)))</formula>
    </cfRule>
  </conditionalFormatting>
  <conditionalFormatting sqref="B2502">
    <cfRule type="containsText" dxfId="300" priority="225" operator="containsText" text="Трактор базы">
      <formula>NOT(ISERROR(SEARCH("Трактор базы",B2502)))</formula>
    </cfRule>
  </conditionalFormatting>
  <conditionalFormatting sqref="B2502">
    <cfRule type="containsText" dxfId="299" priority="228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98" priority="226" operator="containsText" text="Газель базы">
      <formula>NOT(ISERROR(SEARCH("Газель базы",B2502)))</formula>
    </cfRule>
    <cfRule type="containsText" dxfId="297" priority="227" operator="containsText" text="Погрузчик базы">
      <formula>NOT(ISERROR(SEARCH("Погрузчик базы",B2502)))</formula>
    </cfRule>
  </conditionalFormatting>
  <conditionalFormatting sqref="A2503:A2504">
    <cfRule type="containsText" dxfId="296" priority="222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95" priority="224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94" priority="223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293" priority="219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292" priority="221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291" priority="220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290" priority="218" operator="containsText" text="Выезд с территории">
      <formula>NOT(ISERROR(SEARCH("Выезд с территории",B2509)))</formula>
    </cfRule>
  </conditionalFormatting>
  <conditionalFormatting sqref="B2509">
    <cfRule type="containsText" dxfId="289" priority="216" operator="containsText" text="Газель базы">
      <formula>NOT(ISERROR(SEARCH("Газель базы",B2509)))</formula>
    </cfRule>
    <cfRule type="containsText" dxfId="288" priority="217" operator="containsText" text="Погрузчик базы">
      <formula>NOT(ISERROR(SEARCH("Погрузчик базы",B2509)))</formula>
    </cfRule>
  </conditionalFormatting>
  <conditionalFormatting sqref="B2509">
    <cfRule type="containsText" dxfId="287" priority="215" operator="containsText" text="Трактор базы">
      <formula>NOT(ISERROR(SEARCH("Трактор базы",B2509)))</formula>
    </cfRule>
  </conditionalFormatting>
  <conditionalFormatting sqref="B2512:B2513">
    <cfRule type="containsText" dxfId="286" priority="214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285" priority="212" operator="containsText" text="Газель базы">
      <formula>NOT(ISERROR(SEARCH("Газель базы",B2512)))</formula>
    </cfRule>
    <cfRule type="containsText" dxfId="284" priority="213" operator="containsText" text="Погрузчик базы">
      <formula>NOT(ISERROR(SEARCH("Погрузчик базы",B2512)))</formula>
    </cfRule>
  </conditionalFormatting>
  <conditionalFormatting sqref="E2586">
    <cfRule type="containsText" dxfId="283" priority="210" operator="containsText" text="Выезд с территории">
      <formula>NOT(ISERROR(SEARCH("Выезд с территории",E2586)))</formula>
    </cfRule>
  </conditionalFormatting>
  <conditionalFormatting sqref="A2710">
    <cfRule type="containsText" dxfId="282" priority="207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281" priority="209" operator="containsText" text="Выезд с территории">
      <formula>NOT(ISERROR(SEARCH("Выезд с территории",A2710)))</formula>
    </cfRule>
  </conditionalFormatting>
  <conditionalFormatting sqref="A2710">
    <cfRule type="containsText" dxfId="280" priority="208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279" priority="206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278" priority="204" operator="containsText" text="Газель базы">
      <formula>NOT(ISERROR(SEARCH("Газель базы",B2810)))</formula>
    </cfRule>
    <cfRule type="containsText" dxfId="277" priority="205" operator="containsText" text="Погрузчик базы">
      <formula>NOT(ISERROR(SEARCH("Погрузчик базы",B2810)))</formula>
    </cfRule>
  </conditionalFormatting>
  <conditionalFormatting sqref="B2810:B2811">
    <cfRule type="containsText" dxfId="276" priority="203" operator="containsText" text="Трактор базы">
      <formula>NOT(ISERROR(SEARCH("Трактор базы",B2810)))</formula>
    </cfRule>
  </conditionalFormatting>
  <conditionalFormatting sqref="B2923:B2927">
    <cfRule type="containsText" dxfId="275" priority="199" operator="containsText" text="Трактор базы">
      <formula>NOT(ISERROR(SEARCH("Трактор базы",B2923)))</formula>
    </cfRule>
  </conditionalFormatting>
  <conditionalFormatting sqref="B2923:B2927">
    <cfRule type="containsText" dxfId="274" priority="202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273" priority="200" operator="containsText" text="Газель базы">
      <formula>NOT(ISERROR(SEARCH("Газель базы",B2923)))</formula>
    </cfRule>
    <cfRule type="containsText" dxfId="272" priority="201" operator="containsText" text="Погрузчик базы">
      <formula>NOT(ISERROR(SEARCH("Погрузчик базы",B2923)))</formula>
    </cfRule>
  </conditionalFormatting>
  <conditionalFormatting sqref="A2991">
    <cfRule type="containsText" dxfId="271" priority="198" operator="containsText" text="Выезд с территории">
      <formula>NOT(ISERROR(SEARCH("Выезд с территории",A2991)))</formula>
    </cfRule>
  </conditionalFormatting>
  <conditionalFormatting sqref="A2991">
    <cfRule type="containsText" dxfId="270" priority="197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269" priority="196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268" priority="195" operator="containsText" text="Выезд с территории">
      <formula>NOT(ISERROR(SEARCH("Выезд с территории",B2993)))</formula>
    </cfRule>
  </conditionalFormatting>
  <conditionalFormatting sqref="B2993">
    <cfRule type="containsText" dxfId="267" priority="193" operator="containsText" text="Газель базы">
      <formula>NOT(ISERROR(SEARCH("Газель базы",B2993)))</formula>
    </cfRule>
    <cfRule type="containsText" dxfId="266" priority="194" operator="containsText" text="Погрузчик базы">
      <formula>NOT(ISERROR(SEARCH("Погрузчик базы",B2993)))</formula>
    </cfRule>
  </conditionalFormatting>
  <conditionalFormatting sqref="B2993">
    <cfRule type="containsText" dxfId="265" priority="192" operator="containsText" text="Трактор базы">
      <formula>NOT(ISERROR(SEARCH("Трактор базы",B2993)))</formula>
    </cfRule>
  </conditionalFormatting>
  <conditionalFormatting sqref="B2995">
    <cfRule type="containsText" dxfId="264" priority="188" operator="containsText" text="Трактор базы">
      <formula>NOT(ISERROR(SEARCH("Трактор базы",B2995)))</formula>
    </cfRule>
  </conditionalFormatting>
  <conditionalFormatting sqref="B2995">
    <cfRule type="containsText" dxfId="263" priority="191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62" priority="189" operator="containsText" text="Газель базы">
      <formula>NOT(ISERROR(SEARCH("Газель базы",B2995)))</formula>
    </cfRule>
    <cfRule type="containsText" dxfId="261" priority="190" operator="containsText" text="Погрузчик базы">
      <formula>NOT(ISERROR(SEARCH("Погрузчик базы",B2995)))</formula>
    </cfRule>
  </conditionalFormatting>
  <conditionalFormatting sqref="A3008">
    <cfRule type="containsText" dxfId="260" priority="185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59" priority="187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58" priority="186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57" priority="182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56" priority="184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55" priority="183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54" priority="179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53" priority="181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52" priority="180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51" priority="175" operator="containsText" text="Трактор базы">
      <formula>NOT(ISERROR(SEARCH("Трактор базы",B3150)))</formula>
    </cfRule>
  </conditionalFormatting>
  <conditionalFormatting sqref="B3203">
    <cfRule type="containsText" dxfId="250" priority="167" operator="containsText" text="Трактор базы">
      <formula>NOT(ISERROR(SEARCH("Трактор базы",B3203)))</formula>
    </cfRule>
  </conditionalFormatting>
  <conditionalFormatting sqref="B3150:B3151">
    <cfRule type="containsText" dxfId="249" priority="178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48" priority="176" operator="containsText" text="Газель базы">
      <formula>NOT(ISERROR(SEARCH("Газель базы",B3150)))</formula>
    </cfRule>
    <cfRule type="containsText" dxfId="247" priority="177" operator="containsText" text="Погрузчик базы">
      <formula>NOT(ISERROR(SEARCH("Погрузчик базы",B3150)))</formula>
    </cfRule>
  </conditionalFormatting>
  <conditionalFormatting sqref="B3201">
    <cfRule type="containsText" dxfId="246" priority="171" operator="containsText" text="Трактор базы">
      <formula>NOT(ISERROR(SEARCH("Трактор базы",B3201)))</formula>
    </cfRule>
  </conditionalFormatting>
  <conditionalFormatting sqref="B3201">
    <cfRule type="containsText" dxfId="245" priority="174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44" priority="172" operator="containsText" text="Газель базы">
      <formula>NOT(ISERROR(SEARCH("Газель базы",B3201)))</formula>
    </cfRule>
    <cfRule type="containsText" dxfId="243" priority="173" operator="containsText" text="Погрузчик базы">
      <formula>NOT(ISERROR(SEARCH("Погрузчик базы",B3201)))</formula>
    </cfRule>
  </conditionalFormatting>
  <conditionalFormatting sqref="B3203">
    <cfRule type="containsText" dxfId="242" priority="170" operator="containsText" text="Выезд с территории">
      <formula>NOT(ISERROR(SEARCH("Выезд с территории",B3203)))</formula>
    </cfRule>
  </conditionalFormatting>
  <conditionalFormatting sqref="B3203">
    <cfRule type="containsText" dxfId="241" priority="168" operator="containsText" text="Газель базы">
      <formula>NOT(ISERROR(SEARCH("Газель базы",B3203)))</formula>
    </cfRule>
    <cfRule type="containsText" dxfId="240" priority="169" operator="containsText" text="Погрузчик базы">
      <formula>NOT(ISERROR(SEARCH("Погрузчик базы",B3203)))</formula>
    </cfRule>
  </conditionalFormatting>
  <conditionalFormatting sqref="B3227:B3229">
    <cfRule type="containsText" dxfId="239" priority="166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238" priority="164" operator="containsText" text="Газель базы">
      <formula>NOT(ISERROR(SEARCH("Газель базы",B3227)))</formula>
    </cfRule>
    <cfRule type="containsText" dxfId="237" priority="165" operator="containsText" text="Погрузчик базы">
      <formula>NOT(ISERROR(SEARCH("Погрузчик базы",B3227)))</formula>
    </cfRule>
  </conditionalFormatting>
  <conditionalFormatting sqref="B3227:B3229">
    <cfRule type="containsText" dxfId="236" priority="163" operator="containsText" text="Трактор базы">
      <formula>NOT(ISERROR(SEARCH("Трактор базы",B3227)))</formula>
    </cfRule>
  </conditionalFormatting>
  <conditionalFormatting sqref="B3259:B3261">
    <cfRule type="containsText" dxfId="235" priority="162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234" priority="160" operator="containsText" text="Газель базы">
      <formula>NOT(ISERROR(SEARCH("Газель базы",B3259)))</formula>
    </cfRule>
    <cfRule type="containsText" dxfId="233" priority="161" operator="containsText" text="Погрузчик базы">
      <formula>NOT(ISERROR(SEARCH("Погрузчик базы",B3259)))</formula>
    </cfRule>
  </conditionalFormatting>
  <conditionalFormatting sqref="B3259:B3261">
    <cfRule type="containsText" dxfId="232" priority="159" operator="containsText" text="Трактор базы">
      <formula>NOT(ISERROR(SEARCH("Трактор базы",B3259)))</formula>
    </cfRule>
  </conditionalFormatting>
  <conditionalFormatting sqref="A3335:A3336 A3373:A3374">
    <cfRule type="containsText" dxfId="231" priority="153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230" priority="155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229" priority="154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228" priority="150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227" priority="152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226" priority="151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225" priority="149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224" priority="147" operator="containsText" text="Газель базы">
      <formula>NOT(ISERROR(SEARCH("Газель базы",B3364)))</formula>
    </cfRule>
    <cfRule type="containsText" dxfId="223" priority="148" operator="containsText" text="Погрузчик базы">
      <formula>NOT(ISERROR(SEARCH("Погрузчик базы",B3364)))</formula>
    </cfRule>
  </conditionalFormatting>
  <conditionalFormatting sqref="B3364:B3365">
    <cfRule type="containsText" dxfId="222" priority="146" operator="containsText" text="Трактор базы">
      <formula>NOT(ISERROR(SEARCH("Трактор базы",B3364)))</formula>
    </cfRule>
  </conditionalFormatting>
  <conditionalFormatting sqref="A3364">
    <cfRule type="containsText" dxfId="221" priority="145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220" priority="144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219" priority="143" operator="containsText" text="Выезд с территории">
      <formula>NOT(ISERROR(SEARCH("Выезд с территории",A3366)))</formula>
    </cfRule>
  </conditionalFormatting>
  <conditionalFormatting sqref="B3366">
    <cfRule type="containsText" dxfId="218" priority="141" operator="containsText" text="Газель базы">
      <formula>NOT(ISERROR(SEARCH("Газель базы",B3366)))</formula>
    </cfRule>
    <cfRule type="containsText" dxfId="217" priority="142" operator="containsText" text="Погрузчик базы">
      <formula>NOT(ISERROR(SEARCH("Погрузчик базы",B3366)))</formula>
    </cfRule>
  </conditionalFormatting>
  <conditionalFormatting sqref="B3366">
    <cfRule type="containsText" dxfId="216" priority="140" operator="containsText" text="Трактор базы">
      <formula>NOT(ISERROR(SEARCH("Трактор базы",B3366)))</formula>
    </cfRule>
  </conditionalFormatting>
  <conditionalFormatting sqref="A3366">
    <cfRule type="containsText" dxfId="215" priority="139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214" priority="138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213" priority="137" operator="containsText" text="Выезд с территории">
      <formula>NOT(ISERROR(SEARCH("Выезд с территории",B3367)))</formula>
    </cfRule>
  </conditionalFormatting>
  <conditionalFormatting sqref="B3367">
    <cfRule type="containsText" dxfId="212" priority="135" operator="containsText" text="Газель базы">
      <formula>NOT(ISERROR(SEARCH("Газель базы",B3367)))</formula>
    </cfRule>
    <cfRule type="containsText" dxfId="211" priority="136" operator="containsText" text="Погрузчик базы">
      <formula>NOT(ISERROR(SEARCH("Погрузчик базы",B3367)))</formula>
    </cfRule>
  </conditionalFormatting>
  <conditionalFormatting sqref="B3367">
    <cfRule type="containsText" dxfId="210" priority="134" operator="containsText" text="Трактор базы">
      <formula>NOT(ISERROR(SEARCH("Трактор базы",B3367)))</formula>
    </cfRule>
  </conditionalFormatting>
  <conditionalFormatting sqref="A3430:B3430">
    <cfRule type="containsText" dxfId="209" priority="133" operator="containsText" text="Выезд с территории">
      <formula>NOT(ISERROR(SEARCH("Выезд с территории",A3430)))</formula>
    </cfRule>
  </conditionalFormatting>
  <conditionalFormatting sqref="B3430">
    <cfRule type="containsText" dxfId="208" priority="131" operator="containsText" text="Газель базы">
      <formula>NOT(ISERROR(SEARCH("Газель базы",B3430)))</formula>
    </cfRule>
    <cfRule type="containsText" dxfId="207" priority="132" operator="containsText" text="Погрузчик базы">
      <formula>NOT(ISERROR(SEARCH("Погрузчик базы",B3430)))</formula>
    </cfRule>
  </conditionalFormatting>
  <conditionalFormatting sqref="B3430">
    <cfRule type="containsText" dxfId="206" priority="130" operator="containsText" text="Трактор базы">
      <formula>NOT(ISERROR(SEARCH("Трактор базы",B3430)))</formula>
    </cfRule>
  </conditionalFormatting>
  <conditionalFormatting sqref="A3430">
    <cfRule type="containsText" dxfId="205" priority="129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204" priority="128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203" priority="119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202" priority="121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201" priority="120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200" priority="118" operator="containsText" text="Выезд с территории">
      <formula>NOT(ISERROR(SEARCH("Выезд с территории",A3480)))</formula>
    </cfRule>
  </conditionalFormatting>
  <conditionalFormatting sqref="B3480">
    <cfRule type="containsText" dxfId="199" priority="116" operator="containsText" text="Газель базы">
      <formula>NOT(ISERROR(SEARCH("Газель базы",B3480)))</formula>
    </cfRule>
    <cfRule type="containsText" dxfId="198" priority="117" operator="containsText" text="Погрузчик базы">
      <formula>NOT(ISERROR(SEARCH("Погрузчик базы",B3480)))</formula>
    </cfRule>
  </conditionalFormatting>
  <conditionalFormatting sqref="B3480">
    <cfRule type="containsText" dxfId="197" priority="115" operator="containsText" text="Трактор базы">
      <formula>NOT(ISERROR(SEARCH("Трактор базы",B3480)))</formula>
    </cfRule>
  </conditionalFormatting>
  <conditionalFormatting sqref="A3480">
    <cfRule type="containsText" dxfId="196" priority="113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195" priority="114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194" priority="110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193" priority="112" operator="containsText" text="Выезд с территории">
      <formula>NOT(ISERROR(SEARCH("Выезд с территории",A3506)))</formula>
    </cfRule>
  </conditionalFormatting>
  <conditionalFormatting sqref="A3506">
    <cfRule type="containsText" dxfId="192" priority="111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191" priority="107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190" priority="109" operator="containsText" text="Выезд с территории">
      <formula>NOT(ISERROR(SEARCH("Выезд с территории",A3587)))</formula>
    </cfRule>
  </conditionalFormatting>
  <conditionalFormatting sqref="A3587">
    <cfRule type="containsText" dxfId="189" priority="108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188" priority="99" operator="containsText" text="Трактор базы">
      <formula>NOT(ISERROR(SEARCH("Трактор базы",B3601)))</formula>
    </cfRule>
  </conditionalFormatting>
  <conditionalFormatting sqref="B3601:B3612">
    <cfRule type="containsText" dxfId="187" priority="102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186" priority="100" operator="containsText" text="Газель базы">
      <formula>NOT(ISERROR(SEARCH("Газель базы",B3601)))</formula>
    </cfRule>
    <cfRule type="containsText" dxfId="185" priority="101" operator="containsText" text="Погрузчик базы">
      <formula>NOT(ISERROR(SEARCH("Погрузчик базы",B3601)))</formula>
    </cfRule>
  </conditionalFormatting>
  <conditionalFormatting sqref="A3696">
    <cfRule type="containsText" dxfId="184" priority="96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183" priority="98" operator="containsText" text="Выезд с территории">
      <formula>NOT(ISERROR(SEARCH("Выезд с территории",A3696)))</formula>
    </cfRule>
  </conditionalFormatting>
  <conditionalFormatting sqref="A3696">
    <cfRule type="containsText" dxfId="182" priority="97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181" priority="93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180" priority="90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179" priority="95" operator="containsText" text="Выезд с территории">
      <formula>NOT(ISERROR(SEARCH("Выезд с территории",A3713)))</formula>
    </cfRule>
  </conditionalFormatting>
  <conditionalFormatting sqref="A3713">
    <cfRule type="containsText" dxfId="178" priority="94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177" priority="92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176" priority="91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175" priority="89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174" priority="87" operator="containsText" text="Газель базы">
      <formula>NOT(ISERROR(SEARCH("Газель базы",B3750)))</formula>
    </cfRule>
    <cfRule type="containsText" dxfId="173" priority="88" operator="containsText" text="Погрузчик базы">
      <formula>NOT(ISERROR(SEARCH("Погрузчик базы",B3750)))</formula>
    </cfRule>
  </conditionalFormatting>
  <conditionalFormatting sqref="B3750:B3751">
    <cfRule type="containsText" dxfId="172" priority="86" operator="containsText" text="Трактор базы">
      <formula>NOT(ISERROR(SEARCH("Трактор базы",B3750)))</formula>
    </cfRule>
  </conditionalFormatting>
  <conditionalFormatting sqref="B3761:B3762">
    <cfRule type="containsText" dxfId="171" priority="85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170" priority="83" operator="containsText" text="Газель базы">
      <formula>NOT(ISERROR(SEARCH("Газель базы",B3761)))</formula>
    </cfRule>
    <cfRule type="containsText" dxfId="169" priority="84" operator="containsText" text="Погрузчик базы">
      <formula>NOT(ISERROR(SEARCH("Погрузчик базы",B3761)))</formula>
    </cfRule>
  </conditionalFormatting>
  <conditionalFormatting sqref="B3761:B3762">
    <cfRule type="containsText" dxfId="168" priority="82" operator="containsText" text="Трактор базы">
      <formula>NOT(ISERROR(SEARCH("Трактор базы",B3761)))</formula>
    </cfRule>
  </conditionalFormatting>
  <conditionalFormatting sqref="A3778">
    <cfRule type="containsText" dxfId="167" priority="81" operator="containsText" text="Выезд с территории">
      <formula>NOT(ISERROR(SEARCH("Выезд с территории",A3778)))</formula>
    </cfRule>
  </conditionalFormatting>
  <conditionalFormatting sqref="A3778">
    <cfRule type="containsText" dxfId="166" priority="80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165" priority="79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164" priority="75" operator="containsText" text="Камера не работала">
      <formula>NOT(ISERROR(SEARCH("Камера не работала",A3790)))</formula>
    </cfRule>
  </conditionalFormatting>
  <conditionalFormatting sqref="A3790">
    <cfRule type="containsText" dxfId="163" priority="78" operator="containsText" text="Выезд с территории">
      <formula>NOT(ISERROR(SEARCH("Выезд с территории",A3790)))</formula>
    </cfRule>
  </conditionalFormatting>
  <conditionalFormatting sqref="A3790">
    <cfRule type="containsText" dxfId="162" priority="77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61" priority="76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60" priority="74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59" priority="72" operator="containsText" text="Газель базы">
      <formula>NOT(ISERROR(SEARCH("Газель базы",B3797)))</formula>
    </cfRule>
    <cfRule type="containsText" dxfId="158" priority="73" operator="containsText" text="Погрузчик базы">
      <formula>NOT(ISERROR(SEARCH("Погрузчик базы",B3797)))</formula>
    </cfRule>
  </conditionalFormatting>
  <conditionalFormatting sqref="B3797">
    <cfRule type="containsText" dxfId="157" priority="71" operator="containsText" text="Трактор базы">
      <formula>NOT(ISERROR(SEARCH("Трактор базы",B3797)))</formula>
    </cfRule>
  </conditionalFormatting>
  <conditionalFormatting sqref="B3799:B3800">
    <cfRule type="containsText" dxfId="156" priority="70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155" priority="68" operator="containsText" text="Газель базы">
      <formula>NOT(ISERROR(SEARCH("Газель базы",B3799)))</formula>
    </cfRule>
    <cfRule type="containsText" dxfId="154" priority="69" operator="containsText" text="Погрузчик базы">
      <formula>NOT(ISERROR(SEARCH("Погрузчик базы",B3799)))</formula>
    </cfRule>
  </conditionalFormatting>
  <conditionalFormatting sqref="B3799:B3800">
    <cfRule type="containsText" dxfId="153" priority="67" operator="containsText" text="Трактор базы">
      <formula>NOT(ISERROR(SEARCH("Трактор базы",B3799)))</formula>
    </cfRule>
  </conditionalFormatting>
  <conditionalFormatting sqref="B3881">
    <cfRule type="containsText" dxfId="152" priority="66" operator="containsText" text="Выезд с территории">
      <formula>NOT(ISERROR(SEARCH("Выезд с территории",B3881)))</formula>
    </cfRule>
  </conditionalFormatting>
  <conditionalFormatting sqref="B3881">
    <cfRule type="containsText" dxfId="151" priority="64" operator="containsText" text="Газель базы">
      <formula>NOT(ISERROR(SEARCH("Газель базы",B3881)))</formula>
    </cfRule>
    <cfRule type="containsText" dxfId="150" priority="65" operator="containsText" text="Погрузчик базы">
      <formula>NOT(ISERROR(SEARCH("Погрузчик базы",B3881)))</formula>
    </cfRule>
  </conditionalFormatting>
  <conditionalFormatting sqref="B3881">
    <cfRule type="containsText" dxfId="149" priority="63" operator="containsText" text="Трактор базы">
      <formula>NOT(ISERROR(SEARCH("Трактор базы",B3881)))</formula>
    </cfRule>
  </conditionalFormatting>
  <conditionalFormatting sqref="B3884">
    <cfRule type="containsText" dxfId="148" priority="59" operator="containsText" text="Трактор базы">
      <formula>NOT(ISERROR(SEARCH("Трактор базы",B3884)))</formula>
    </cfRule>
  </conditionalFormatting>
  <conditionalFormatting sqref="B3884">
    <cfRule type="containsText" dxfId="147" priority="62" operator="containsText" text="Выезд с территории">
      <formula>NOT(ISERROR(SEARCH("Выезд с территории",B3884)))</formula>
    </cfRule>
  </conditionalFormatting>
  <conditionalFormatting sqref="B3884">
    <cfRule type="containsText" dxfId="146" priority="60" operator="containsText" text="Газель базы">
      <formula>NOT(ISERROR(SEARCH("Газель базы",B3884)))</formula>
    </cfRule>
    <cfRule type="containsText" dxfId="145" priority="61" operator="containsText" text="Погрузчик базы">
      <formula>NOT(ISERROR(SEARCH("Погрузчик базы",B3884)))</formula>
    </cfRule>
  </conditionalFormatting>
  <conditionalFormatting sqref="B3913">
    <cfRule type="containsText" dxfId="144" priority="55" operator="containsText" text="Трактор базы">
      <formula>NOT(ISERROR(SEARCH("Трактор базы",B3913)))</formula>
    </cfRule>
  </conditionalFormatting>
  <conditionalFormatting sqref="B3913">
    <cfRule type="containsText" dxfId="143" priority="58" operator="containsText" text="Выезд с территории">
      <formula>NOT(ISERROR(SEARCH("Выезд с территории",B3913)))</formula>
    </cfRule>
  </conditionalFormatting>
  <conditionalFormatting sqref="B3913">
    <cfRule type="containsText" dxfId="142" priority="56" operator="containsText" text="Газель базы">
      <formula>NOT(ISERROR(SEARCH("Газель базы",B3913)))</formula>
    </cfRule>
    <cfRule type="containsText" dxfId="141" priority="57" operator="containsText" text="Погрузчик базы">
      <formula>NOT(ISERROR(SEARCH("Погрузчик базы",B3913)))</formula>
    </cfRule>
  </conditionalFormatting>
  <conditionalFormatting sqref="A3935">
    <cfRule type="containsText" dxfId="140" priority="49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139" priority="54" operator="containsText" text="Выезд с территории">
      <formula>NOT(ISERROR(SEARCH("Выезд с территории",A3935)))</formula>
    </cfRule>
  </conditionalFormatting>
  <conditionalFormatting sqref="B3935">
    <cfRule type="containsText" dxfId="138" priority="52" operator="containsText" text="Газель базы">
      <formula>NOT(ISERROR(SEARCH("Газель базы",B3935)))</formula>
    </cfRule>
    <cfRule type="containsText" dxfId="137" priority="53" operator="containsText" text="Погрузчик базы">
      <formula>NOT(ISERROR(SEARCH("Погрузчик базы",B3935)))</formula>
    </cfRule>
  </conditionalFormatting>
  <conditionalFormatting sqref="B3935">
    <cfRule type="containsText" dxfId="136" priority="51" operator="containsText" text="Трактор базы">
      <formula>NOT(ISERROR(SEARCH("Трактор базы",B3935)))</formula>
    </cfRule>
  </conditionalFormatting>
  <conditionalFormatting sqref="A3935">
    <cfRule type="containsText" dxfId="135" priority="50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134" priority="45" operator="containsText" text="Трактор базы">
      <formula>NOT(ISERROR(SEARCH("Трактор базы",B3937)))</formula>
    </cfRule>
  </conditionalFormatting>
  <conditionalFormatting sqref="B3937">
    <cfRule type="containsText" dxfId="133" priority="48" operator="containsText" text="Выезд с территории">
      <formula>NOT(ISERROR(SEARCH("Выезд с территории",B3937)))</formula>
    </cfRule>
  </conditionalFormatting>
  <conditionalFormatting sqref="B3937">
    <cfRule type="containsText" dxfId="132" priority="46" operator="containsText" text="Газель базы">
      <formula>NOT(ISERROR(SEARCH("Газель базы",B3937)))</formula>
    </cfRule>
    <cfRule type="containsText" dxfId="131" priority="47" operator="containsText" text="Погрузчик базы">
      <formula>NOT(ISERROR(SEARCH("Погрузчик базы",B3937)))</formula>
    </cfRule>
  </conditionalFormatting>
  <conditionalFormatting sqref="B3946">
    <cfRule type="containsText" dxfId="130" priority="36" operator="containsText" text="Трактор базы">
      <formula>NOT(ISERROR(SEARCH("Трактор базы",B3946)))</formula>
    </cfRule>
  </conditionalFormatting>
  <conditionalFormatting sqref="B3945">
    <cfRule type="containsText" dxfId="129" priority="44" operator="containsText" text="Выезд с территории">
      <formula>NOT(ISERROR(SEARCH("Выезд с территории",B3945)))</formula>
    </cfRule>
  </conditionalFormatting>
  <conditionalFormatting sqref="B3945">
    <cfRule type="containsText" dxfId="128" priority="42" operator="containsText" text="Газель базы">
      <formula>NOT(ISERROR(SEARCH("Газель базы",B3945)))</formula>
    </cfRule>
    <cfRule type="containsText" dxfId="127" priority="43" operator="containsText" text="Погрузчик базы">
      <formula>NOT(ISERROR(SEARCH("Погрузчик базы",B3945)))</formula>
    </cfRule>
  </conditionalFormatting>
  <conditionalFormatting sqref="B3945">
    <cfRule type="containsText" dxfId="126" priority="41" operator="containsText" text="Трактор базы">
      <formula>NOT(ISERROR(SEARCH("Трактор базы",B3945)))</formula>
    </cfRule>
  </conditionalFormatting>
  <conditionalFormatting sqref="D3946:E3946 B3946">
    <cfRule type="containsText" dxfId="125" priority="40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124" priority="39" operator="notContains" text="порожний">
      <formula>ISERROR(SEARCH("порожний",C3946))</formula>
    </cfRule>
  </conditionalFormatting>
  <conditionalFormatting sqref="B3946">
    <cfRule type="containsText" dxfId="123" priority="37" operator="containsText" text="Газель базы">
      <formula>NOT(ISERROR(SEARCH("Газель базы",B3946)))</formula>
    </cfRule>
    <cfRule type="containsText" dxfId="122" priority="38" operator="containsText" text="Погрузчик базы">
      <formula>NOT(ISERROR(SEARCH("Погрузчик базы",B3946)))</formula>
    </cfRule>
  </conditionalFormatting>
  <conditionalFormatting sqref="B3966:B3967">
    <cfRule type="containsText" dxfId="121" priority="32" operator="containsText" text="Трактор базы">
      <formula>NOT(ISERROR(SEARCH("Трактор базы",B3966)))</formula>
    </cfRule>
  </conditionalFormatting>
  <conditionalFormatting sqref="B3966:B3967">
    <cfRule type="containsText" dxfId="120" priority="35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119" priority="33" operator="containsText" text="Газель базы">
      <formula>NOT(ISERROR(SEARCH("Газель базы",B3966)))</formula>
    </cfRule>
    <cfRule type="containsText" dxfId="118" priority="34" operator="containsText" text="Погрузчик базы">
      <formula>NOT(ISERROR(SEARCH("Погрузчик базы",B3966)))</formula>
    </cfRule>
  </conditionalFormatting>
  <conditionalFormatting sqref="B3976">
    <cfRule type="containsText" dxfId="117" priority="31" operator="containsText" text="Выезд с территории">
      <formula>NOT(ISERROR(SEARCH("Выезд с территории",B3976)))</formula>
    </cfRule>
  </conditionalFormatting>
  <conditionalFormatting sqref="B3976">
    <cfRule type="containsText" dxfId="116" priority="29" operator="containsText" text="Газель базы">
      <formula>NOT(ISERROR(SEARCH("Газель базы",B3976)))</formula>
    </cfRule>
    <cfRule type="containsText" dxfId="115" priority="30" operator="containsText" text="Погрузчик базы">
      <formula>NOT(ISERROR(SEARCH("Погрузчик базы",B3976)))</formula>
    </cfRule>
  </conditionalFormatting>
  <conditionalFormatting sqref="B3976">
    <cfRule type="containsText" dxfId="114" priority="28" operator="containsText" text="Трактор базы">
      <formula>NOT(ISERROR(SEARCH("Трактор базы",B3976)))</formula>
    </cfRule>
  </conditionalFormatting>
  <conditionalFormatting sqref="B3984">
    <cfRule type="containsText" dxfId="113" priority="27" operator="containsText" text="Выезд с территории">
      <formula>NOT(ISERROR(SEARCH("Выезд с территории",B3984)))</formula>
    </cfRule>
  </conditionalFormatting>
  <conditionalFormatting sqref="B3984">
    <cfRule type="containsText" dxfId="112" priority="25" operator="containsText" text="Газель базы">
      <formula>NOT(ISERROR(SEARCH("Газель базы",B3984)))</formula>
    </cfRule>
    <cfRule type="containsText" dxfId="111" priority="26" operator="containsText" text="Погрузчик базы">
      <formula>NOT(ISERROR(SEARCH("Погрузчик базы",B3984)))</formula>
    </cfRule>
  </conditionalFormatting>
  <conditionalFormatting sqref="B3984">
    <cfRule type="containsText" dxfId="110" priority="24" operator="containsText" text="Трактор базы">
      <formula>NOT(ISERROR(SEARCH("Трактор базы",B3984)))</formula>
    </cfRule>
  </conditionalFormatting>
  <conditionalFormatting sqref="B4007:B4008">
    <cfRule type="containsText" dxfId="109" priority="20" operator="containsText" text="Трактор базы">
      <formula>NOT(ISERROR(SEARCH("Трактор базы",B4007)))</formula>
    </cfRule>
  </conditionalFormatting>
  <conditionalFormatting sqref="B4007:B4008">
    <cfRule type="containsText" dxfId="108" priority="23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107" priority="21" operator="containsText" text="Газель базы">
      <formula>NOT(ISERROR(SEARCH("Газель базы",B4007)))</formula>
    </cfRule>
    <cfRule type="containsText" dxfId="106" priority="22" operator="containsText" text="Погрузчик базы">
      <formula>NOT(ISERROR(SEARCH("Погрузчик базы",B4007)))</formula>
    </cfRule>
  </conditionalFormatting>
  <conditionalFormatting sqref="B4096">
    <cfRule type="containsText" dxfId="105" priority="8" operator="containsText" text="Трактор базы">
      <formula>NOT(ISERROR(SEARCH("Трактор базы",B4096)))</formula>
    </cfRule>
  </conditionalFormatting>
  <conditionalFormatting sqref="B4080:B4082">
    <cfRule type="containsText" dxfId="104" priority="19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103" priority="17" operator="containsText" text="Газель базы">
      <formula>NOT(ISERROR(SEARCH("Газель базы",B4080)))</formula>
    </cfRule>
    <cfRule type="containsText" dxfId="102" priority="18" operator="containsText" text="Погрузчик базы">
      <formula>NOT(ISERROR(SEARCH("Погрузчик базы",B4080)))</formula>
    </cfRule>
  </conditionalFormatting>
  <conditionalFormatting sqref="B4080:B4082">
    <cfRule type="containsText" dxfId="101" priority="16" operator="containsText" text="Трактор базы">
      <formula>NOT(ISERROR(SEARCH("Трактор базы",B4080)))</formula>
    </cfRule>
  </conditionalFormatting>
  <conditionalFormatting sqref="B4088:B4094">
    <cfRule type="containsText" dxfId="100" priority="15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99" priority="13" operator="containsText" text="Газель базы">
      <formula>NOT(ISERROR(SEARCH("Газель базы",B4088)))</formula>
    </cfRule>
    <cfRule type="containsText" dxfId="98" priority="14" operator="containsText" text="Погрузчик базы">
      <formula>NOT(ISERROR(SEARCH("Погрузчик базы",B4088)))</formula>
    </cfRule>
  </conditionalFormatting>
  <conditionalFormatting sqref="B4088:B4094">
    <cfRule type="containsText" dxfId="97" priority="12" operator="containsText" text="Трактор базы">
      <formula>NOT(ISERROR(SEARCH("Трактор базы",B4088)))</formula>
    </cfRule>
  </conditionalFormatting>
  <conditionalFormatting sqref="B4096">
    <cfRule type="containsText" dxfId="96" priority="11" operator="containsText" text="Выезд с территории">
      <formula>NOT(ISERROR(SEARCH("Выезд с территории",B4096)))</formula>
    </cfRule>
  </conditionalFormatting>
  <conditionalFormatting sqref="B4096">
    <cfRule type="containsText" dxfId="95" priority="9" operator="containsText" text="Газель базы">
      <formula>NOT(ISERROR(SEARCH("Газель базы",B4096)))</formula>
    </cfRule>
    <cfRule type="containsText" dxfId="94" priority="10" operator="containsText" text="Погрузчик базы">
      <formula>NOT(ISERROR(SEARCH("Погрузчик базы",B4096)))</formula>
    </cfRule>
  </conditionalFormatting>
  <conditionalFormatting sqref="A4374:A4375">
    <cfRule type="containsText" dxfId="93" priority="1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92" priority="3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91" priority="2" operator="containsText" text="Въезд на второстепенную дорогу">
      <formula>NOT(ISERROR(SEARCH("Въезд на второстепенную дорогу",A4374)))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39"/>
  <sheetViews>
    <sheetView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</sheetData>
  <conditionalFormatting sqref="D40:D50 E40:E53 D2:E39 G2:H39">
    <cfRule type="containsText" dxfId="90" priority="14" operator="containsText" text="Выезд с территории">
      <formula>NOT(ISERROR(SEARCH("Выезд с территории",D2)))</formula>
    </cfRule>
  </conditionalFormatting>
  <conditionalFormatting sqref="F2:F39">
    <cfRule type="notContainsText" dxfId="89" priority="13" operator="notContains" text="порожний">
      <formula>ISERROR(SEARCH("порожний",F2))</formula>
    </cfRule>
  </conditionalFormatting>
  <conditionalFormatting sqref="E2:E53">
    <cfRule type="containsText" dxfId="88" priority="11" operator="containsText" text="Газель базы">
      <formula>NOT(ISERROR(SEARCH("Газель базы",E2)))</formula>
    </cfRule>
    <cfRule type="containsText" dxfId="87" priority="12" operator="containsText" text="Погрузчик базы">
      <formula>NOT(ISERROR(SEARCH("Погрузчик базы",E2)))</formula>
    </cfRule>
  </conditionalFormatting>
  <conditionalFormatting sqref="E2:E53">
    <cfRule type="containsText" dxfId="86" priority="10" operator="containsText" text="Трактор базы">
      <formula>NOT(ISERROR(SEARCH("Трактор базы",E2)))</formula>
    </cfRule>
  </conditionalFormatting>
  <conditionalFormatting sqref="A2:C39">
    <cfRule type="expression" dxfId="85" priority="9">
      <formula>$A2="пн"</formula>
    </cfRule>
  </conditionalFormatting>
  <conditionalFormatting sqref="A2:C41">
    <cfRule type="expression" dxfId="84" priority="3">
      <formula>$A2="вс"</formula>
    </cfRule>
    <cfRule type="expression" dxfId="83" priority="4">
      <formula>$A2="сб"</formula>
    </cfRule>
    <cfRule type="expression" dxfId="82" priority="5">
      <formula>$A2="пт"</formula>
    </cfRule>
    <cfRule type="expression" dxfId="81" priority="6">
      <formula>$A2="чт"</formula>
    </cfRule>
    <cfRule type="expression" dxfId="80" priority="7">
      <formula>$A2="ср"</formula>
    </cfRule>
    <cfRule type="expression" dxfId="79" priority="8">
      <formula>$A2="вт"</formula>
    </cfRule>
  </conditionalFormatting>
  <conditionalFormatting sqref="D2:D50">
    <cfRule type="containsText" dxfId="7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">
    <cfRule type="containsText" dxfId="7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58"/>
  <sheetViews>
    <sheetView topLeftCell="A231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t="s">
        <v>1122</v>
      </c>
      <c r="J2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0.43606481481481479</v>
      </c>
      <c r="D3" s="1" t="s">
        <v>403</v>
      </c>
      <c r="E3" t="s">
        <v>67</v>
      </c>
      <c r="F3" t="s">
        <v>406</v>
      </c>
      <c r="H3" t="s">
        <v>407</v>
      </c>
      <c r="I3" t="s">
        <v>346</v>
      </c>
      <c r="J3" t="s">
        <v>271</v>
      </c>
      <c r="K3" t="s">
        <v>347</v>
      </c>
      <c r="L3" t="s">
        <v>348</v>
      </c>
      <c r="M3" s="2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3">
        <v>45972</v>
      </c>
      <c r="C4" s="5">
        <v>0.46743055555555557</v>
      </c>
      <c r="D4" s="1" t="s">
        <v>403</v>
      </c>
      <c r="E4" t="s">
        <v>63</v>
      </c>
      <c r="F4" t="s">
        <v>58</v>
      </c>
      <c r="H4" t="s">
        <v>1287</v>
      </c>
      <c r="I4" t="s">
        <v>1162</v>
      </c>
      <c r="J4" t="s">
        <v>1062</v>
      </c>
      <c r="K4" t="s">
        <v>1163</v>
      </c>
      <c r="L4" t="s">
        <v>1164</v>
      </c>
      <c r="M4" s="2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3">
        <v>45972</v>
      </c>
      <c r="C5" s="5">
        <v>0.47805555555555557</v>
      </c>
      <c r="D5" s="1" t="s">
        <v>1283</v>
      </c>
      <c r="E5" t="s">
        <v>63</v>
      </c>
      <c r="F5" t="s">
        <v>58</v>
      </c>
      <c r="H5" t="s">
        <v>1287</v>
      </c>
      <c r="I5" t="s">
        <v>1165</v>
      </c>
      <c r="J5" t="s">
        <v>1062</v>
      </c>
      <c r="K5" t="s">
        <v>1166</v>
      </c>
      <c r="L5" t="s">
        <v>1167</v>
      </c>
      <c r="M5" s="2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3">
        <v>45972</v>
      </c>
      <c r="C6" s="5">
        <v>0.42944444444444446</v>
      </c>
      <c r="D6" s="1" t="s">
        <v>403</v>
      </c>
      <c r="E6" t="s">
        <v>67</v>
      </c>
      <c r="F6" t="s">
        <v>405</v>
      </c>
      <c r="I6" t="s">
        <v>337</v>
      </c>
      <c r="J6" t="s">
        <v>271</v>
      </c>
      <c r="K6" t="s">
        <v>338</v>
      </c>
      <c r="L6" t="s">
        <v>339</v>
      </c>
      <c r="M6" s="2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3">
        <v>45972</v>
      </c>
      <c r="C7" s="5">
        <v>0.4316550925925926</v>
      </c>
      <c r="D7" s="1" t="s">
        <v>403</v>
      </c>
      <c r="E7" t="s">
        <v>67</v>
      </c>
      <c r="F7" t="s">
        <v>405</v>
      </c>
      <c r="I7" t="s">
        <v>340</v>
      </c>
      <c r="J7" t="s">
        <v>271</v>
      </c>
      <c r="K7" t="s">
        <v>341</v>
      </c>
      <c r="L7" t="s">
        <v>342</v>
      </c>
      <c r="M7" s="2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3">
        <v>45972</v>
      </c>
      <c r="C8" s="5">
        <v>0.43408564814814815</v>
      </c>
      <c r="D8" s="1" t="s">
        <v>403</v>
      </c>
      <c r="E8" t="s">
        <v>67</v>
      </c>
      <c r="F8" t="s">
        <v>405</v>
      </c>
      <c r="I8" t="s">
        <v>343</v>
      </c>
      <c r="J8" t="s">
        <v>271</v>
      </c>
      <c r="K8" t="s">
        <v>344</v>
      </c>
      <c r="L8" t="s">
        <v>345</v>
      </c>
      <c r="M8" s="2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3">
        <v>45972</v>
      </c>
      <c r="C9" s="5">
        <v>0.48200231481481481</v>
      </c>
      <c r="D9" s="1" t="s">
        <v>1283</v>
      </c>
      <c r="E9" t="s">
        <v>63</v>
      </c>
      <c r="F9" t="s">
        <v>58</v>
      </c>
      <c r="H9" t="s">
        <v>1287</v>
      </c>
      <c r="I9" t="s">
        <v>1168</v>
      </c>
      <c r="J9" t="s">
        <v>1062</v>
      </c>
      <c r="K9" t="s">
        <v>1169</v>
      </c>
      <c r="L9" t="s">
        <v>1170</v>
      </c>
      <c r="M9" s="2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3">
        <v>45972</v>
      </c>
      <c r="C10" s="5">
        <v>0.51658564814814811</v>
      </c>
      <c r="D10" s="1" t="s">
        <v>1283</v>
      </c>
      <c r="E10" t="s">
        <v>55</v>
      </c>
      <c r="F10" t="s">
        <v>1286</v>
      </c>
      <c r="H10" t="s">
        <v>1287</v>
      </c>
      <c r="I10" t="s">
        <v>1184</v>
      </c>
      <c r="J10" t="s">
        <v>1062</v>
      </c>
      <c r="K10" t="s">
        <v>1185</v>
      </c>
      <c r="L10" t="s">
        <v>1186</v>
      </c>
      <c r="M10" s="2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3">
        <v>45972</v>
      </c>
      <c r="C11" s="5">
        <v>0.52825231481481483</v>
      </c>
      <c r="D11" s="1" t="s">
        <v>1283</v>
      </c>
      <c r="E11" t="s">
        <v>55</v>
      </c>
      <c r="F11" t="s">
        <v>1288</v>
      </c>
      <c r="I11" t="s">
        <v>1187</v>
      </c>
      <c r="J11" t="s">
        <v>1062</v>
      </c>
      <c r="K11" t="s">
        <v>1188</v>
      </c>
      <c r="L11" t="s">
        <v>1189</v>
      </c>
      <c r="M11" s="2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3">
        <v>45972</v>
      </c>
      <c r="C12" s="5">
        <v>0.52853009259259254</v>
      </c>
      <c r="D12" s="1" t="s">
        <v>1283</v>
      </c>
      <c r="E12" t="s">
        <v>55</v>
      </c>
      <c r="F12" t="s">
        <v>1289</v>
      </c>
      <c r="I12" t="s">
        <v>1190</v>
      </c>
      <c r="J12" t="s">
        <v>1062</v>
      </c>
      <c r="K12" t="s">
        <v>1191</v>
      </c>
      <c r="L12" t="s">
        <v>1192</v>
      </c>
      <c r="M12" s="2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3">
        <v>45972</v>
      </c>
      <c r="C13" s="5">
        <v>0.50693287037037038</v>
      </c>
      <c r="D13" s="1" t="s">
        <v>403</v>
      </c>
      <c r="E13" t="s">
        <v>55</v>
      </c>
      <c r="F13" t="s">
        <v>1284</v>
      </c>
      <c r="H13" t="s">
        <v>1285</v>
      </c>
      <c r="I13" t="s">
        <v>1175</v>
      </c>
      <c r="J13" t="s">
        <v>1062</v>
      </c>
      <c r="K13" t="s">
        <v>1176</v>
      </c>
      <c r="L13" t="s">
        <v>1177</v>
      </c>
      <c r="M13" s="2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3">
        <v>45972</v>
      </c>
      <c r="C14" s="5">
        <v>0.50932870370370376</v>
      </c>
      <c r="D14" s="1" t="s">
        <v>1283</v>
      </c>
      <c r="E14" t="s">
        <v>55</v>
      </c>
      <c r="F14" t="s">
        <v>1284</v>
      </c>
      <c r="H14" t="s">
        <v>1285</v>
      </c>
      <c r="I14" t="s">
        <v>1178</v>
      </c>
      <c r="J14" t="s">
        <v>1062</v>
      </c>
      <c r="K14" t="s">
        <v>1179</v>
      </c>
      <c r="L14" t="s">
        <v>1180</v>
      </c>
      <c r="M14" s="2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3">
        <v>45972</v>
      </c>
      <c r="C15" s="5">
        <v>0.51362268518518517</v>
      </c>
      <c r="D15" s="1" t="s">
        <v>1283</v>
      </c>
      <c r="E15" t="s">
        <v>55</v>
      </c>
      <c r="F15" t="s">
        <v>1284</v>
      </c>
      <c r="H15" t="s">
        <v>1285</v>
      </c>
      <c r="I15" t="s">
        <v>1181</v>
      </c>
      <c r="J15" t="s">
        <v>1062</v>
      </c>
      <c r="K15" t="s">
        <v>1182</v>
      </c>
      <c r="L15" t="s">
        <v>1183</v>
      </c>
      <c r="M15" s="2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3">
        <v>45972</v>
      </c>
      <c r="C16" s="5">
        <v>0.40597222222222223</v>
      </c>
      <c r="D16" s="1" t="s">
        <v>403</v>
      </c>
      <c r="E16" t="s">
        <v>67</v>
      </c>
      <c r="F16" t="s">
        <v>405</v>
      </c>
      <c r="I16" t="s">
        <v>313</v>
      </c>
      <c r="J16" t="s">
        <v>271</v>
      </c>
      <c r="K16" t="s">
        <v>314</v>
      </c>
      <c r="L16" t="s">
        <v>315</v>
      </c>
      <c r="M16" s="2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3">
        <v>45972</v>
      </c>
      <c r="C17" s="5">
        <v>0.40881944444444446</v>
      </c>
      <c r="D17" s="1" t="s">
        <v>403</v>
      </c>
      <c r="E17" t="s">
        <v>67</v>
      </c>
      <c r="F17" t="s">
        <v>405</v>
      </c>
      <c r="I17" t="s">
        <v>316</v>
      </c>
      <c r="J17" t="s">
        <v>271</v>
      </c>
      <c r="K17" t="s">
        <v>317</v>
      </c>
      <c r="L17" t="s">
        <v>318</v>
      </c>
      <c r="M17" s="2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3">
        <v>45972</v>
      </c>
      <c r="C18" s="5">
        <v>0.4105787037037037</v>
      </c>
      <c r="D18" s="1" t="s">
        <v>403</v>
      </c>
      <c r="E18" t="s">
        <v>67</v>
      </c>
      <c r="F18" t="s">
        <v>405</v>
      </c>
      <c r="I18" t="s">
        <v>319</v>
      </c>
      <c r="J18" t="s">
        <v>271</v>
      </c>
      <c r="K18" t="s">
        <v>320</v>
      </c>
      <c r="L18" t="s">
        <v>321</v>
      </c>
      <c r="M18" s="2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3">
        <v>45972</v>
      </c>
      <c r="C19" s="5">
        <v>0.39787037037037037</v>
      </c>
      <c r="D19" s="1" t="s">
        <v>403</v>
      </c>
      <c r="E19" t="s">
        <v>67</v>
      </c>
      <c r="F19" t="s">
        <v>405</v>
      </c>
      <c r="I19" t="s">
        <v>304</v>
      </c>
      <c r="J19" t="s">
        <v>271</v>
      </c>
      <c r="K19" t="s">
        <v>305</v>
      </c>
      <c r="L19" t="s">
        <v>306</v>
      </c>
      <c r="M19" s="2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3">
        <v>45972</v>
      </c>
      <c r="C20" s="5">
        <v>0.40370370370370373</v>
      </c>
      <c r="D20" s="1" t="s">
        <v>403</v>
      </c>
      <c r="E20" t="s">
        <v>67</v>
      </c>
      <c r="F20" t="s">
        <v>405</v>
      </c>
      <c r="I20" t="s">
        <v>307</v>
      </c>
      <c r="J20" t="s">
        <v>271</v>
      </c>
      <c r="K20" t="s">
        <v>308</v>
      </c>
      <c r="L20" t="s">
        <v>309</v>
      </c>
      <c r="M20" s="2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3">
        <v>45972</v>
      </c>
      <c r="C21" s="5">
        <v>0.40377314814814813</v>
      </c>
      <c r="D21" s="1" t="s">
        <v>403</v>
      </c>
      <c r="E21" t="s">
        <v>67</v>
      </c>
      <c r="F21" t="s">
        <v>405</v>
      </c>
      <c r="I21" t="s">
        <v>310</v>
      </c>
      <c r="J21" t="s">
        <v>271</v>
      </c>
      <c r="K21" t="s">
        <v>311</v>
      </c>
      <c r="L21" t="s">
        <v>312</v>
      </c>
      <c r="M21" s="2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3">
        <v>45972</v>
      </c>
      <c r="C22" s="5">
        <v>0.41627314814814814</v>
      </c>
      <c r="D22" s="1" t="s">
        <v>403</v>
      </c>
      <c r="E22" t="s">
        <v>67</v>
      </c>
      <c r="F22" t="s">
        <v>405</v>
      </c>
      <c r="I22" t="s">
        <v>328</v>
      </c>
      <c r="J22" t="s">
        <v>271</v>
      </c>
      <c r="K22" t="s">
        <v>329</v>
      </c>
      <c r="L22" t="s">
        <v>330</v>
      </c>
      <c r="M22" s="2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3">
        <v>45972</v>
      </c>
      <c r="C23" s="5">
        <v>0.4226273148148148</v>
      </c>
      <c r="D23" s="1" t="s">
        <v>403</v>
      </c>
      <c r="E23" t="s">
        <v>67</v>
      </c>
      <c r="F23" t="s">
        <v>405</v>
      </c>
      <c r="I23" t="s">
        <v>331</v>
      </c>
      <c r="J23" t="s">
        <v>271</v>
      </c>
      <c r="K23" t="s">
        <v>332</v>
      </c>
      <c r="L23" t="s">
        <v>333</v>
      </c>
      <c r="M23" s="2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3">
        <v>45972</v>
      </c>
      <c r="C24" s="5">
        <v>0.42736111111111114</v>
      </c>
      <c r="D24" s="1" t="s">
        <v>403</v>
      </c>
      <c r="E24" t="s">
        <v>67</v>
      </c>
      <c r="F24" t="s">
        <v>405</v>
      </c>
      <c r="I24" t="s">
        <v>334</v>
      </c>
      <c r="J24" t="s">
        <v>271</v>
      </c>
      <c r="K24" t="s">
        <v>335</v>
      </c>
      <c r="L24" t="s">
        <v>336</v>
      </c>
      <c r="M24" s="2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3">
        <v>45972</v>
      </c>
      <c r="C25" s="5">
        <v>0.41136574074074073</v>
      </c>
      <c r="D25" s="1" t="s">
        <v>403</v>
      </c>
      <c r="E25" t="s">
        <v>67</v>
      </c>
      <c r="F25" t="s">
        <v>405</v>
      </c>
      <c r="I25" t="s">
        <v>322</v>
      </c>
      <c r="J25" t="s">
        <v>271</v>
      </c>
      <c r="K25" t="s">
        <v>323</v>
      </c>
      <c r="L25" t="s">
        <v>324</v>
      </c>
      <c r="M25" s="2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3">
        <v>45972</v>
      </c>
      <c r="C26" s="5">
        <v>0.41312500000000002</v>
      </c>
      <c r="D26" s="1" t="s">
        <v>403</v>
      </c>
      <c r="E26" t="s">
        <v>67</v>
      </c>
      <c r="F26" t="s">
        <v>405</v>
      </c>
      <c r="I26" t="s">
        <v>325</v>
      </c>
      <c r="J26" t="s">
        <v>271</v>
      </c>
      <c r="K26" t="s">
        <v>326</v>
      </c>
      <c r="L26" t="s">
        <v>327</v>
      </c>
      <c r="M26" s="2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3">
        <v>45974</v>
      </c>
      <c r="C27" s="5">
        <v>0.38524305555555555</v>
      </c>
      <c r="D27" s="1" t="s">
        <v>403</v>
      </c>
      <c r="E27" t="s">
        <v>70</v>
      </c>
      <c r="F27" t="s">
        <v>58</v>
      </c>
      <c r="H27" t="s">
        <v>1287</v>
      </c>
      <c r="I27" t="s">
        <v>1215</v>
      </c>
      <c r="J27" t="s">
        <v>1062</v>
      </c>
      <c r="K27" t="s">
        <v>1216</v>
      </c>
      <c r="L27" t="s">
        <v>1217</v>
      </c>
      <c r="M27" s="2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3">
        <v>45974</v>
      </c>
      <c r="C28" s="5">
        <v>0.38702546296296297</v>
      </c>
      <c r="D28" s="1" t="s">
        <v>403</v>
      </c>
      <c r="E28" t="s">
        <v>70</v>
      </c>
      <c r="F28" t="s">
        <v>58</v>
      </c>
      <c r="H28" t="s">
        <v>1287</v>
      </c>
      <c r="I28" t="s">
        <v>1218</v>
      </c>
      <c r="J28" t="s">
        <v>1062</v>
      </c>
      <c r="K28" t="s">
        <v>1219</v>
      </c>
      <c r="L28" t="s">
        <v>1220</v>
      </c>
      <c r="M28" s="2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t="s">
        <v>1025</v>
      </c>
      <c r="J2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0.43355324074074075</v>
      </c>
      <c r="D30" s="1" t="s">
        <v>1283</v>
      </c>
      <c r="E30" t="s">
        <v>2336</v>
      </c>
      <c r="F30" t="s">
        <v>58</v>
      </c>
      <c r="H30" t="s">
        <v>2373</v>
      </c>
      <c r="I30" t="s">
        <v>2158</v>
      </c>
      <c r="J30" t="s">
        <v>1062</v>
      </c>
      <c r="K30" t="s">
        <v>2159</v>
      </c>
      <c r="L30" t="s">
        <v>2031</v>
      </c>
      <c r="M30" s="2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3">
        <v>45979</v>
      </c>
      <c r="C31" s="5">
        <v>0.43384259259259261</v>
      </c>
      <c r="D31" s="1" t="s">
        <v>1283</v>
      </c>
      <c r="E31" t="s">
        <v>2336</v>
      </c>
      <c r="F31" t="s">
        <v>58</v>
      </c>
      <c r="H31" t="s">
        <v>2373</v>
      </c>
      <c r="I31" t="s">
        <v>2160</v>
      </c>
      <c r="J31" t="s">
        <v>1062</v>
      </c>
      <c r="K31" t="s">
        <v>2161</v>
      </c>
      <c r="L31" t="s">
        <v>2162</v>
      </c>
      <c r="M31" s="2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3">
        <v>45979</v>
      </c>
      <c r="C32" s="5">
        <v>0.43287037037037035</v>
      </c>
      <c r="D32" s="1" t="s">
        <v>403</v>
      </c>
      <c r="E32" t="s">
        <v>2336</v>
      </c>
      <c r="F32" t="s">
        <v>58</v>
      </c>
      <c r="H32" t="s">
        <v>2373</v>
      </c>
      <c r="I32" t="s">
        <v>2156</v>
      </c>
      <c r="J32" t="s">
        <v>1062</v>
      </c>
      <c r="K32" t="s">
        <v>2157</v>
      </c>
      <c r="L32" t="s">
        <v>2020</v>
      </c>
      <c r="M32" s="2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3">
        <v>45979</v>
      </c>
      <c r="C33" s="5">
        <v>0.38895833333333335</v>
      </c>
      <c r="D33" s="1" t="s">
        <v>1283</v>
      </c>
      <c r="E33" t="s">
        <v>70</v>
      </c>
      <c r="F33" t="s">
        <v>2368</v>
      </c>
      <c r="H33" t="s">
        <v>2372</v>
      </c>
      <c r="I33" t="s">
        <v>2143</v>
      </c>
      <c r="J33" t="s">
        <v>1062</v>
      </c>
      <c r="K33" t="s">
        <v>2144</v>
      </c>
      <c r="L33" t="s">
        <v>2145</v>
      </c>
      <c r="M33" s="2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3">
        <v>45979</v>
      </c>
      <c r="C34" s="5">
        <v>0.43306712962962962</v>
      </c>
      <c r="D34" s="1" t="s">
        <v>1283</v>
      </c>
      <c r="E34" t="s">
        <v>2336</v>
      </c>
      <c r="F34" t="s">
        <v>58</v>
      </c>
      <c r="H34" t="s">
        <v>2373</v>
      </c>
      <c r="I34" t="s">
        <v>2021</v>
      </c>
      <c r="J34" t="s">
        <v>1295</v>
      </c>
      <c r="K34" t="s">
        <v>2022</v>
      </c>
      <c r="L34" t="s">
        <v>2023</v>
      </c>
      <c r="M34" s="2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3">
        <v>45979</v>
      </c>
      <c r="C35" s="5">
        <v>0.43386574074074075</v>
      </c>
      <c r="D35" s="1" t="s">
        <v>1283</v>
      </c>
      <c r="E35" t="s">
        <v>2336</v>
      </c>
      <c r="F35" t="s">
        <v>58</v>
      </c>
      <c r="H35" t="s">
        <v>2373</v>
      </c>
      <c r="I35" t="s">
        <v>2035</v>
      </c>
      <c r="J35" t="s">
        <v>1295</v>
      </c>
      <c r="K35" t="s">
        <v>2036</v>
      </c>
      <c r="L35" t="s">
        <v>2037</v>
      </c>
      <c r="M35" s="2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3">
        <v>45979</v>
      </c>
      <c r="C36" s="5">
        <v>0.43373842592592593</v>
      </c>
      <c r="D36" s="1" t="s">
        <v>1283</v>
      </c>
      <c r="E36" t="s">
        <v>2336</v>
      </c>
      <c r="F36" t="s">
        <v>58</v>
      </c>
      <c r="H36" t="s">
        <v>2373</v>
      </c>
      <c r="I36" t="s">
        <v>2032</v>
      </c>
      <c r="J36" t="s">
        <v>1295</v>
      </c>
      <c r="K36" t="s">
        <v>2033</v>
      </c>
      <c r="L36" t="s">
        <v>2034</v>
      </c>
      <c r="M36" s="2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3">
        <v>45979</v>
      </c>
      <c r="C37" s="5">
        <v>0.4332523148148148</v>
      </c>
      <c r="D37" s="1" t="s">
        <v>1283</v>
      </c>
      <c r="E37" t="s">
        <v>2336</v>
      </c>
      <c r="F37" t="s">
        <v>58</v>
      </c>
      <c r="H37" t="s">
        <v>2373</v>
      </c>
      <c r="I37" t="s">
        <v>2024</v>
      </c>
      <c r="J37" t="s">
        <v>1295</v>
      </c>
      <c r="K37" t="s">
        <v>2025</v>
      </c>
      <c r="L37" t="s">
        <v>2026</v>
      </c>
      <c r="M37" s="2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t="s">
        <v>2027</v>
      </c>
      <c r="J38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0.38112268518518516</v>
      </c>
      <c r="D39" s="1" t="s">
        <v>1283</v>
      </c>
      <c r="E39" t="s">
        <v>70</v>
      </c>
      <c r="F39" t="s">
        <v>58</v>
      </c>
      <c r="H39" t="s">
        <v>2372</v>
      </c>
      <c r="I39" t="s">
        <v>2128</v>
      </c>
      <c r="J39" t="s">
        <v>1062</v>
      </c>
      <c r="K39" t="s">
        <v>2129</v>
      </c>
      <c r="L39" t="s">
        <v>2130</v>
      </c>
      <c r="M39" s="2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3">
        <v>45979</v>
      </c>
      <c r="C40" s="5">
        <v>0.58296296296296302</v>
      </c>
      <c r="D40" s="1" t="s">
        <v>226</v>
      </c>
      <c r="E40" t="s">
        <v>2343</v>
      </c>
      <c r="F40" t="s">
        <v>58</v>
      </c>
      <c r="H40" t="s">
        <v>2344</v>
      </c>
      <c r="I40" t="s">
        <v>1663</v>
      </c>
      <c r="J40" t="s">
        <v>169</v>
      </c>
      <c r="K40" t="s">
        <v>1664</v>
      </c>
      <c r="L40" t="s">
        <v>1665</v>
      </c>
      <c r="M40" s="2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3">
        <v>45979</v>
      </c>
      <c r="C41" s="5">
        <v>0.38093749999999998</v>
      </c>
      <c r="D41" s="1" t="s">
        <v>403</v>
      </c>
      <c r="E41" t="s">
        <v>70</v>
      </c>
      <c r="F41" t="s">
        <v>58</v>
      </c>
      <c r="H41" t="s">
        <v>2372</v>
      </c>
      <c r="I41" t="s">
        <v>2122</v>
      </c>
      <c r="J41" t="s">
        <v>1062</v>
      </c>
      <c r="K41" t="s">
        <v>2123</v>
      </c>
      <c r="L41" t="s">
        <v>2124</v>
      </c>
      <c r="M41" s="2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3">
        <v>45979</v>
      </c>
      <c r="C42" s="5">
        <v>0.38103009259259257</v>
      </c>
      <c r="D42" s="1" t="s">
        <v>1283</v>
      </c>
      <c r="E42" t="s">
        <v>70</v>
      </c>
      <c r="F42" t="s">
        <v>58</v>
      </c>
      <c r="H42" t="s">
        <v>2372</v>
      </c>
      <c r="I42" t="s">
        <v>2125</v>
      </c>
      <c r="J42" t="s">
        <v>1062</v>
      </c>
      <c r="K42" t="s">
        <v>2126</v>
      </c>
      <c r="L42" t="s">
        <v>2127</v>
      </c>
      <c r="M42" s="2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3">
        <v>45979</v>
      </c>
      <c r="C43" s="5">
        <v>0.38765046296296296</v>
      </c>
      <c r="D43" s="1" t="s">
        <v>1283</v>
      </c>
      <c r="E43" t="s">
        <v>70</v>
      </c>
      <c r="F43" t="s">
        <v>2366</v>
      </c>
      <c r="H43" t="s">
        <v>2372</v>
      </c>
      <c r="I43" t="s">
        <v>2137</v>
      </c>
      <c r="J43" t="s">
        <v>1062</v>
      </c>
      <c r="K43" t="s">
        <v>2138</v>
      </c>
      <c r="L43" t="s">
        <v>2139</v>
      </c>
      <c r="M43" s="2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3">
        <v>45979</v>
      </c>
      <c r="C44" s="5">
        <v>0.38149305555555557</v>
      </c>
      <c r="D44" s="1" t="s">
        <v>1283</v>
      </c>
      <c r="E44" t="s">
        <v>70</v>
      </c>
      <c r="F44" t="s">
        <v>58</v>
      </c>
      <c r="H44" t="s">
        <v>2372</v>
      </c>
      <c r="I44" t="s">
        <v>2131</v>
      </c>
      <c r="J44" t="s">
        <v>1062</v>
      </c>
      <c r="K44" t="s">
        <v>2132</v>
      </c>
      <c r="L44" t="s">
        <v>2133</v>
      </c>
      <c r="M44" s="2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3">
        <v>45979</v>
      </c>
      <c r="C45" s="5">
        <v>0.38665509259259262</v>
      </c>
      <c r="D45" s="1" t="s">
        <v>1283</v>
      </c>
      <c r="E45" t="s">
        <v>70</v>
      </c>
      <c r="F45" t="s">
        <v>58</v>
      </c>
      <c r="H45" t="s">
        <v>2372</v>
      </c>
      <c r="I45" t="s">
        <v>2134</v>
      </c>
      <c r="J45" t="s">
        <v>1062</v>
      </c>
      <c r="K45" t="s">
        <v>2135</v>
      </c>
      <c r="L45" t="s">
        <v>2136</v>
      </c>
      <c r="M45" s="2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3">
        <v>45979</v>
      </c>
      <c r="C46" s="5">
        <v>0.3881134259259259</v>
      </c>
      <c r="D46" s="1" t="s">
        <v>1283</v>
      </c>
      <c r="E46" t="s">
        <v>70</v>
      </c>
      <c r="F46" t="s">
        <v>2367</v>
      </c>
      <c r="H46" t="s">
        <v>2372</v>
      </c>
      <c r="I46" t="s">
        <v>2140</v>
      </c>
      <c r="J46" t="s">
        <v>1062</v>
      </c>
      <c r="K46" t="s">
        <v>2141</v>
      </c>
      <c r="L46" t="s">
        <v>2142</v>
      </c>
      <c r="M46" s="2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3">
        <v>45980</v>
      </c>
      <c r="C47" s="5">
        <v>0.47888888888888886</v>
      </c>
      <c r="D47" s="1" t="s">
        <v>1283</v>
      </c>
      <c r="E47" t="s">
        <v>70</v>
      </c>
      <c r="F47" t="s">
        <v>2377</v>
      </c>
      <c r="H47" t="s">
        <v>2373</v>
      </c>
      <c r="I47" t="s">
        <v>2229</v>
      </c>
      <c r="J47" t="s">
        <v>1062</v>
      </c>
      <c r="K47" t="s">
        <v>2230</v>
      </c>
      <c r="L47" t="s">
        <v>2231</v>
      </c>
      <c r="M47" s="2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3">
        <v>45980</v>
      </c>
      <c r="C48" s="5">
        <v>0.47864583333333333</v>
      </c>
      <c r="D48" s="1" t="s">
        <v>1283</v>
      </c>
      <c r="E48" t="s">
        <v>70</v>
      </c>
      <c r="F48" t="s">
        <v>58</v>
      </c>
      <c r="H48" t="s">
        <v>2373</v>
      </c>
      <c r="I48" t="s">
        <v>2226</v>
      </c>
      <c r="J48" t="s">
        <v>1062</v>
      </c>
      <c r="K48" t="s">
        <v>2227</v>
      </c>
      <c r="L48" t="s">
        <v>2228</v>
      </c>
      <c r="M48" s="2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3">
        <v>45980</v>
      </c>
      <c r="C49" s="5">
        <v>0.47585648148148146</v>
      </c>
      <c r="D49" s="1" t="s">
        <v>1283</v>
      </c>
      <c r="E49" t="s">
        <v>70</v>
      </c>
      <c r="F49" t="s">
        <v>58</v>
      </c>
      <c r="H49" t="s">
        <v>2378</v>
      </c>
      <c r="I49" t="s">
        <v>2220</v>
      </c>
      <c r="J49" t="s">
        <v>1062</v>
      </c>
      <c r="K49" t="s">
        <v>2221</v>
      </c>
      <c r="L49" t="s">
        <v>2222</v>
      </c>
      <c r="M49" s="2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3">
        <v>45980</v>
      </c>
      <c r="C50" s="5">
        <v>0.47793981481481479</v>
      </c>
      <c r="D50" s="1" t="s">
        <v>1283</v>
      </c>
      <c r="E50" t="s">
        <v>70</v>
      </c>
      <c r="F50" t="s">
        <v>58</v>
      </c>
      <c r="H50" t="s">
        <v>2378</v>
      </c>
      <c r="I50" t="s">
        <v>2223</v>
      </c>
      <c r="J50" t="s">
        <v>1062</v>
      </c>
      <c r="K50" t="s">
        <v>2224</v>
      </c>
      <c r="L50" t="s">
        <v>2225</v>
      </c>
      <c r="M50" s="2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3">
        <v>45980</v>
      </c>
      <c r="C51" s="5">
        <v>0.47957175925925927</v>
      </c>
      <c r="D51" s="1" t="s">
        <v>1283</v>
      </c>
      <c r="E51" t="s">
        <v>70</v>
      </c>
      <c r="F51" t="s">
        <v>2377</v>
      </c>
      <c r="H51" t="s">
        <v>2373</v>
      </c>
      <c r="I51" t="s">
        <v>2241</v>
      </c>
      <c r="J51" t="s">
        <v>1062</v>
      </c>
      <c r="K51" t="s">
        <v>2242</v>
      </c>
      <c r="L51" t="s">
        <v>2243</v>
      </c>
      <c r="M51" s="2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3">
        <v>45980</v>
      </c>
      <c r="C52" s="5">
        <v>0.47385416666666669</v>
      </c>
      <c r="D52" s="1" t="s">
        <v>1283</v>
      </c>
      <c r="E52" t="s">
        <v>70</v>
      </c>
      <c r="F52" t="s">
        <v>58</v>
      </c>
      <c r="H52" t="s">
        <v>2378</v>
      </c>
      <c r="I52" t="s">
        <v>2211</v>
      </c>
      <c r="J52" t="s">
        <v>1062</v>
      </c>
      <c r="K52" t="s">
        <v>2212</v>
      </c>
      <c r="L52" t="s">
        <v>2213</v>
      </c>
      <c r="M52" s="2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3">
        <v>45980</v>
      </c>
      <c r="C53" s="5">
        <v>0.47950231481481481</v>
      </c>
      <c r="D53" s="1" t="s">
        <v>1283</v>
      </c>
      <c r="E53" t="s">
        <v>70</v>
      </c>
      <c r="F53" t="s">
        <v>2377</v>
      </c>
      <c r="H53" t="s">
        <v>2373</v>
      </c>
      <c r="I53" t="s">
        <v>2238</v>
      </c>
      <c r="J53" t="s">
        <v>1062</v>
      </c>
      <c r="K53" t="s">
        <v>2239</v>
      </c>
      <c r="L53" t="s">
        <v>2240</v>
      </c>
      <c r="M53" s="2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3">
        <v>45980</v>
      </c>
      <c r="C54" s="5">
        <v>0.4790625</v>
      </c>
      <c r="D54" s="1" t="s">
        <v>1283</v>
      </c>
      <c r="E54" t="s">
        <v>70</v>
      </c>
      <c r="F54" t="s">
        <v>2377</v>
      </c>
      <c r="H54" t="s">
        <v>2373</v>
      </c>
      <c r="I54" t="s">
        <v>2232</v>
      </c>
      <c r="J54" t="s">
        <v>1062</v>
      </c>
      <c r="K54" t="s">
        <v>2233</v>
      </c>
      <c r="L54" t="s">
        <v>2234</v>
      </c>
      <c r="M54" s="2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3">
        <v>45980</v>
      </c>
      <c r="C55" s="5">
        <v>0.47940972222222222</v>
      </c>
      <c r="D55" s="1" t="s">
        <v>1283</v>
      </c>
      <c r="E55" t="s">
        <v>70</v>
      </c>
      <c r="F55" t="s">
        <v>2377</v>
      </c>
      <c r="H55" t="s">
        <v>2373</v>
      </c>
      <c r="I55" t="s">
        <v>2235</v>
      </c>
      <c r="J55" t="s">
        <v>1062</v>
      </c>
      <c r="K55" t="s">
        <v>2236</v>
      </c>
      <c r="L55" t="s">
        <v>2237</v>
      </c>
      <c r="M55" s="2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3">
        <v>45980</v>
      </c>
      <c r="C56" s="5">
        <v>0.46491898148148147</v>
      </c>
      <c r="D56" s="1" t="s">
        <v>1283</v>
      </c>
      <c r="E56" t="s">
        <v>70</v>
      </c>
      <c r="F56" t="s">
        <v>58</v>
      </c>
      <c r="H56" t="s">
        <v>2372</v>
      </c>
      <c r="I56" t="s">
        <v>2190</v>
      </c>
      <c r="J56" t="s">
        <v>1062</v>
      </c>
      <c r="K56" t="s">
        <v>2191</v>
      </c>
      <c r="L56" t="s">
        <v>2192</v>
      </c>
      <c r="M56" s="2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t="s">
        <v>2193</v>
      </c>
      <c r="J57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0.46673611111111113</v>
      </c>
      <c r="D58" s="1" t="s">
        <v>1283</v>
      </c>
      <c r="E58" t="s">
        <v>70</v>
      </c>
      <c r="F58" t="s">
        <v>58</v>
      </c>
      <c r="H58" t="s">
        <v>2372</v>
      </c>
      <c r="I58" t="s">
        <v>2196</v>
      </c>
      <c r="J58" t="s">
        <v>1062</v>
      </c>
      <c r="K58" t="s">
        <v>2197</v>
      </c>
      <c r="L58" t="s">
        <v>2198</v>
      </c>
      <c r="M58" s="2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3">
        <v>45980</v>
      </c>
      <c r="C59" s="5">
        <v>0.46177083333333335</v>
      </c>
      <c r="D59" s="1" t="s">
        <v>403</v>
      </c>
      <c r="E59" t="s">
        <v>70</v>
      </c>
      <c r="F59" t="s">
        <v>58</v>
      </c>
      <c r="H59" t="s">
        <v>2372</v>
      </c>
      <c r="I59" t="s">
        <v>2181</v>
      </c>
      <c r="J59" t="s">
        <v>1062</v>
      </c>
      <c r="K59" t="s">
        <v>2182</v>
      </c>
      <c r="L59" t="s">
        <v>2183</v>
      </c>
      <c r="M59" s="2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3">
        <v>45980</v>
      </c>
      <c r="C60" s="5">
        <v>0.46206018518518521</v>
      </c>
      <c r="D60" s="1" t="s">
        <v>1283</v>
      </c>
      <c r="E60" t="s">
        <v>70</v>
      </c>
      <c r="F60" t="s">
        <v>58</v>
      </c>
      <c r="H60" t="s">
        <v>2372</v>
      </c>
      <c r="I60" t="s">
        <v>2184</v>
      </c>
      <c r="J60" t="s">
        <v>1062</v>
      </c>
      <c r="K60" t="s">
        <v>2185</v>
      </c>
      <c r="L60" t="s">
        <v>2186</v>
      </c>
      <c r="M60" s="2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3">
        <v>45980</v>
      </c>
      <c r="C61" s="5">
        <v>0.46342592592592591</v>
      </c>
      <c r="D61" s="1" t="s">
        <v>1283</v>
      </c>
      <c r="E61" t="s">
        <v>70</v>
      </c>
      <c r="F61" t="s">
        <v>58</v>
      </c>
      <c r="H61" t="s">
        <v>2372</v>
      </c>
      <c r="I61" t="s">
        <v>2187</v>
      </c>
      <c r="J61" t="s">
        <v>1062</v>
      </c>
      <c r="K61" t="s">
        <v>2188</v>
      </c>
      <c r="L61" t="s">
        <v>2189</v>
      </c>
      <c r="M61" s="2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3">
        <v>45980</v>
      </c>
      <c r="C62" s="5">
        <v>0.47151620370370373</v>
      </c>
      <c r="D62" s="1" t="s">
        <v>1283</v>
      </c>
      <c r="E62" t="s">
        <v>70</v>
      </c>
      <c r="F62" t="s">
        <v>58</v>
      </c>
      <c r="H62" t="s">
        <v>2372</v>
      </c>
      <c r="I62" t="s">
        <v>2208</v>
      </c>
      <c r="J62" t="s">
        <v>1062</v>
      </c>
      <c r="K62" t="s">
        <v>2209</v>
      </c>
      <c r="L62" t="s">
        <v>2210</v>
      </c>
      <c r="M62" s="2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3">
        <v>45980</v>
      </c>
      <c r="C63" s="5">
        <v>0.47458333333333336</v>
      </c>
      <c r="D63" s="1" t="s">
        <v>1283</v>
      </c>
      <c r="E63" t="s">
        <v>70</v>
      </c>
      <c r="F63" t="s">
        <v>2377</v>
      </c>
      <c r="H63" t="s">
        <v>2372</v>
      </c>
      <c r="I63" t="s">
        <v>2214</v>
      </c>
      <c r="J63" t="s">
        <v>1062</v>
      </c>
      <c r="K63" t="s">
        <v>2215</v>
      </c>
      <c r="L63" t="s">
        <v>2216</v>
      </c>
      <c r="M63" s="2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3">
        <v>45980</v>
      </c>
      <c r="C64" s="5">
        <v>0.47570601851851851</v>
      </c>
      <c r="D64" s="1" t="s">
        <v>1283</v>
      </c>
      <c r="E64" t="s">
        <v>70</v>
      </c>
      <c r="F64" t="s">
        <v>58</v>
      </c>
      <c r="H64" t="s">
        <v>2378</v>
      </c>
      <c r="I64" t="s">
        <v>2217</v>
      </c>
      <c r="J64" t="s">
        <v>1062</v>
      </c>
      <c r="K64" t="s">
        <v>2218</v>
      </c>
      <c r="L64" t="s">
        <v>2219</v>
      </c>
      <c r="M64" s="2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3">
        <v>45980</v>
      </c>
      <c r="C65" s="5">
        <v>0.46688657407407408</v>
      </c>
      <c r="D65" s="1" t="s">
        <v>1283</v>
      </c>
      <c r="E65" t="s">
        <v>70</v>
      </c>
      <c r="F65" t="s">
        <v>58</v>
      </c>
      <c r="H65" t="s">
        <v>2372</v>
      </c>
      <c r="I65" t="s">
        <v>2199</v>
      </c>
      <c r="J65" t="s">
        <v>1062</v>
      </c>
      <c r="K65" t="s">
        <v>2200</v>
      </c>
      <c r="L65" t="s">
        <v>2201</v>
      </c>
      <c r="M65" s="2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3">
        <v>45980</v>
      </c>
      <c r="C66" s="5">
        <v>0.46755787037037039</v>
      </c>
      <c r="D66" s="1" t="s">
        <v>1283</v>
      </c>
      <c r="E66" t="s">
        <v>70</v>
      </c>
      <c r="F66" t="s">
        <v>58</v>
      </c>
      <c r="H66" t="s">
        <v>2372</v>
      </c>
      <c r="I66" t="s">
        <v>2202</v>
      </c>
      <c r="J66" t="s">
        <v>1062</v>
      </c>
      <c r="K66" t="s">
        <v>2203</v>
      </c>
      <c r="L66" t="s">
        <v>2204</v>
      </c>
      <c r="M66" s="2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3">
        <v>45980</v>
      </c>
      <c r="C67" s="5">
        <v>0.46975694444444444</v>
      </c>
      <c r="D67" s="1" t="s">
        <v>1283</v>
      </c>
      <c r="E67" t="s">
        <v>70</v>
      </c>
      <c r="F67" t="s">
        <v>58</v>
      </c>
      <c r="H67" t="s">
        <v>2372</v>
      </c>
      <c r="I67" t="s">
        <v>2205</v>
      </c>
      <c r="J67" t="s">
        <v>1062</v>
      </c>
      <c r="K67" t="s">
        <v>2206</v>
      </c>
      <c r="L67" t="s">
        <v>2207</v>
      </c>
      <c r="M67" s="2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t="s">
        <v>1672</v>
      </c>
      <c r="J68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0.62989583333333332</v>
      </c>
      <c r="D69" s="1" t="s">
        <v>226</v>
      </c>
      <c r="E69" t="s">
        <v>70</v>
      </c>
      <c r="F69" t="s">
        <v>58</v>
      </c>
      <c r="H69" t="s">
        <v>2352</v>
      </c>
      <c r="I69" t="s">
        <v>3144</v>
      </c>
      <c r="J69" t="s">
        <v>2397</v>
      </c>
      <c r="K69" t="s">
        <v>3145</v>
      </c>
      <c r="L69" t="s">
        <v>3146</v>
      </c>
      <c r="M69" s="2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3">
        <v>45986</v>
      </c>
      <c r="C70" s="5">
        <v>0.62843749999999998</v>
      </c>
      <c r="D70" s="1" t="s">
        <v>226</v>
      </c>
      <c r="E70" t="s">
        <v>70</v>
      </c>
      <c r="F70" t="s">
        <v>58</v>
      </c>
      <c r="H70" t="s">
        <v>2352</v>
      </c>
      <c r="I70" t="s">
        <v>3135</v>
      </c>
      <c r="J70" t="s">
        <v>2397</v>
      </c>
      <c r="K70" t="s">
        <v>3136</v>
      </c>
      <c r="L70" t="s">
        <v>3137</v>
      </c>
      <c r="M70" s="2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3">
        <v>45986</v>
      </c>
      <c r="C71" s="5">
        <v>0.62826388888888884</v>
      </c>
      <c r="D71" s="1" t="s">
        <v>226</v>
      </c>
      <c r="E71" t="s">
        <v>70</v>
      </c>
      <c r="F71" t="s">
        <v>58</v>
      </c>
      <c r="H71" t="s">
        <v>1287</v>
      </c>
      <c r="I71" t="s">
        <v>3132</v>
      </c>
      <c r="J71" t="s">
        <v>2397</v>
      </c>
      <c r="K71" t="s">
        <v>3133</v>
      </c>
      <c r="L71" t="s">
        <v>3134</v>
      </c>
      <c r="M71" s="2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3">
        <v>45986</v>
      </c>
      <c r="C72" s="5">
        <v>0.62981481481481483</v>
      </c>
      <c r="D72" s="1" t="s">
        <v>226</v>
      </c>
      <c r="E72" t="s">
        <v>70</v>
      </c>
      <c r="F72" t="s">
        <v>58</v>
      </c>
      <c r="H72" t="s">
        <v>2352</v>
      </c>
      <c r="I72" t="s">
        <v>3141</v>
      </c>
      <c r="J72" t="s">
        <v>2397</v>
      </c>
      <c r="K72" t="s">
        <v>3142</v>
      </c>
      <c r="L72" t="s">
        <v>3143</v>
      </c>
      <c r="M72" s="2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t="s">
        <v>3138</v>
      </c>
      <c r="J73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0.6300810185185185</v>
      </c>
      <c r="D74" s="1" t="s">
        <v>226</v>
      </c>
      <c r="E74" t="s">
        <v>70</v>
      </c>
      <c r="F74" t="s">
        <v>58</v>
      </c>
      <c r="H74" t="s">
        <v>2352</v>
      </c>
      <c r="I74" t="s">
        <v>3147</v>
      </c>
      <c r="J74" t="s">
        <v>2397</v>
      </c>
      <c r="K74" t="s">
        <v>3148</v>
      </c>
      <c r="L74" t="s">
        <v>3149</v>
      </c>
      <c r="M74" s="2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3">
        <v>45986</v>
      </c>
      <c r="C75" s="5">
        <v>0.63023148148148145</v>
      </c>
      <c r="D75" s="1" t="s">
        <v>226</v>
      </c>
      <c r="E75" t="s">
        <v>70</v>
      </c>
      <c r="F75" t="s">
        <v>58</v>
      </c>
      <c r="H75" t="s">
        <v>2352</v>
      </c>
      <c r="I75" t="s">
        <v>3150</v>
      </c>
      <c r="J75" t="s">
        <v>2397</v>
      </c>
      <c r="K75" t="s">
        <v>3151</v>
      </c>
      <c r="L75" t="s">
        <v>3152</v>
      </c>
      <c r="M75" s="2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3">
        <v>45986</v>
      </c>
      <c r="C76" s="5">
        <v>0.6305439814814815</v>
      </c>
      <c r="D76" s="1" t="s">
        <v>226</v>
      </c>
      <c r="E76" t="s">
        <v>70</v>
      </c>
      <c r="F76" t="s">
        <v>58</v>
      </c>
      <c r="H76" t="s">
        <v>2352</v>
      </c>
      <c r="I76" t="s">
        <v>3153</v>
      </c>
      <c r="J76" t="s">
        <v>2397</v>
      </c>
      <c r="K76" t="s">
        <v>3154</v>
      </c>
      <c r="L76" t="s">
        <v>3155</v>
      </c>
      <c r="M76" s="2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3">
        <v>45986</v>
      </c>
      <c r="C77" s="5">
        <v>0.6318287037037037</v>
      </c>
      <c r="D77" s="1" t="s">
        <v>226</v>
      </c>
      <c r="E77" t="s">
        <v>70</v>
      </c>
      <c r="F77" t="s">
        <v>3398</v>
      </c>
      <c r="H77" t="s">
        <v>1285</v>
      </c>
      <c r="I77" t="s">
        <v>3158</v>
      </c>
      <c r="J77" t="s">
        <v>2397</v>
      </c>
      <c r="K77" t="s">
        <v>3159</v>
      </c>
      <c r="L77" t="s">
        <v>3160</v>
      </c>
      <c r="M77" s="2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3">
        <v>45987</v>
      </c>
      <c r="C78" s="5">
        <v>0.44269675925925928</v>
      </c>
      <c r="D78" s="1" t="s">
        <v>226</v>
      </c>
      <c r="E78" t="s">
        <v>3357</v>
      </c>
      <c r="F78" t="s">
        <v>58</v>
      </c>
      <c r="H78" t="s">
        <v>2352</v>
      </c>
      <c r="I78" t="s">
        <v>3181</v>
      </c>
      <c r="J78" t="s">
        <v>2397</v>
      </c>
      <c r="K78" t="s">
        <v>3182</v>
      </c>
      <c r="L78" t="s">
        <v>3183</v>
      </c>
      <c r="M78" s="2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3">
        <v>45987</v>
      </c>
      <c r="C79" s="5">
        <v>0.44207175925925923</v>
      </c>
      <c r="D79" s="1" t="s">
        <v>226</v>
      </c>
      <c r="E79" t="s">
        <v>3357</v>
      </c>
      <c r="F79" t="s">
        <v>58</v>
      </c>
      <c r="H79" t="s">
        <v>1287</v>
      </c>
      <c r="I79" t="s">
        <v>3166</v>
      </c>
      <c r="J79" t="s">
        <v>2397</v>
      </c>
      <c r="K79" t="s">
        <v>3167</v>
      </c>
      <c r="L79" t="s">
        <v>3168</v>
      </c>
      <c r="M79" s="2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3">
        <v>45987</v>
      </c>
      <c r="C80" s="5">
        <v>0.44216435185185188</v>
      </c>
      <c r="D80" s="1" t="s">
        <v>226</v>
      </c>
      <c r="E80" t="s">
        <v>3357</v>
      </c>
      <c r="F80" t="s">
        <v>58</v>
      </c>
      <c r="H80" t="s">
        <v>2352</v>
      </c>
      <c r="I80" t="s">
        <v>3169</v>
      </c>
      <c r="J80" t="s">
        <v>2397</v>
      </c>
      <c r="K80" t="s">
        <v>3170</v>
      </c>
      <c r="L80" t="s">
        <v>3171</v>
      </c>
      <c r="M80" s="2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3">
        <v>45987</v>
      </c>
      <c r="C81" s="5">
        <v>0.44284722222222223</v>
      </c>
      <c r="D81" s="1" t="s">
        <v>226</v>
      </c>
      <c r="E81" t="s">
        <v>3357</v>
      </c>
      <c r="F81" t="s">
        <v>58</v>
      </c>
      <c r="H81" t="s">
        <v>2352</v>
      </c>
      <c r="I81" t="s">
        <v>3184</v>
      </c>
      <c r="J81" t="s">
        <v>2397</v>
      </c>
      <c r="K81" t="s">
        <v>3185</v>
      </c>
      <c r="L81" t="s">
        <v>3186</v>
      </c>
      <c r="M81" s="2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3">
        <v>45987</v>
      </c>
      <c r="C82" s="5">
        <v>0.45056712962962964</v>
      </c>
      <c r="D82" s="1" t="s">
        <v>226</v>
      </c>
      <c r="E82" t="s">
        <v>3357</v>
      </c>
      <c r="F82" t="s">
        <v>58</v>
      </c>
      <c r="H82" t="s">
        <v>2352</v>
      </c>
      <c r="I82" t="s">
        <v>3211</v>
      </c>
      <c r="J82" t="s">
        <v>2397</v>
      </c>
      <c r="K82" t="s">
        <v>3212</v>
      </c>
      <c r="L82" t="s">
        <v>3213</v>
      </c>
      <c r="M82" s="2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3">
        <v>45987</v>
      </c>
      <c r="C83" s="5">
        <v>0.44848379629629631</v>
      </c>
      <c r="D83" s="1" t="s">
        <v>226</v>
      </c>
      <c r="E83" t="s">
        <v>3357</v>
      </c>
      <c r="F83" t="s">
        <v>58</v>
      </c>
      <c r="H83" t="s">
        <v>2352</v>
      </c>
      <c r="I83" t="s">
        <v>3269</v>
      </c>
      <c r="J83" t="s">
        <v>2398</v>
      </c>
      <c r="K83" t="s">
        <v>3270</v>
      </c>
      <c r="L83" t="s">
        <v>3271</v>
      </c>
      <c r="M83" s="2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3">
        <v>45987</v>
      </c>
      <c r="C84" s="5">
        <v>0.44864583333333335</v>
      </c>
      <c r="D84" s="1" t="s">
        <v>226</v>
      </c>
      <c r="E84" t="s">
        <v>3357</v>
      </c>
      <c r="F84" t="s">
        <v>58</v>
      </c>
      <c r="H84" t="s">
        <v>2352</v>
      </c>
      <c r="I84" t="s">
        <v>3272</v>
      </c>
      <c r="J84" t="s">
        <v>2398</v>
      </c>
      <c r="K84" t="s">
        <v>3273</v>
      </c>
      <c r="L84" t="s">
        <v>3274</v>
      </c>
      <c r="M84" s="2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3">
        <v>45987</v>
      </c>
      <c r="C85" s="5">
        <v>0.44947916666666665</v>
      </c>
      <c r="D85" s="1" t="s">
        <v>226</v>
      </c>
      <c r="E85" t="s">
        <v>3357</v>
      </c>
      <c r="F85" t="s">
        <v>58</v>
      </c>
      <c r="H85" t="s">
        <v>2352</v>
      </c>
      <c r="I85" t="s">
        <v>3275</v>
      </c>
      <c r="J85" t="s">
        <v>2398</v>
      </c>
      <c r="K85" t="s">
        <v>3276</v>
      </c>
      <c r="L85" t="s">
        <v>3277</v>
      </c>
      <c r="M85" s="2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3">
        <v>45987</v>
      </c>
      <c r="C86" s="5">
        <v>0.44723379629629628</v>
      </c>
      <c r="D86" s="1" t="s">
        <v>226</v>
      </c>
      <c r="E86" t="s">
        <v>3357</v>
      </c>
      <c r="F86" t="s">
        <v>58</v>
      </c>
      <c r="I86" t="s">
        <v>3266</v>
      </c>
      <c r="J86" t="s">
        <v>2398</v>
      </c>
      <c r="K86" t="s">
        <v>3267</v>
      </c>
      <c r="L86" t="s">
        <v>3268</v>
      </c>
      <c r="M86" s="2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3">
        <v>45987</v>
      </c>
      <c r="C87" s="5">
        <v>0.44473379629629628</v>
      </c>
      <c r="D87" s="1" t="s">
        <v>226</v>
      </c>
      <c r="E87" t="s">
        <v>3357</v>
      </c>
      <c r="F87" t="s">
        <v>58</v>
      </c>
      <c r="H87" t="s">
        <v>2352</v>
      </c>
      <c r="I87" t="s">
        <v>3192</v>
      </c>
      <c r="J87" t="s">
        <v>2397</v>
      </c>
      <c r="K87" t="s">
        <v>3193</v>
      </c>
      <c r="L87" t="s">
        <v>3194</v>
      </c>
      <c r="M87" s="2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3">
        <v>45987</v>
      </c>
      <c r="C88" s="5">
        <v>0.44495370370370368</v>
      </c>
      <c r="D88" s="1" t="s">
        <v>226</v>
      </c>
      <c r="E88" t="s">
        <v>3357</v>
      </c>
      <c r="F88" t="s">
        <v>58</v>
      </c>
      <c r="H88" t="s">
        <v>2352</v>
      </c>
      <c r="I88" t="s">
        <v>3195</v>
      </c>
      <c r="J88" t="s">
        <v>2397</v>
      </c>
      <c r="K88" t="s">
        <v>3196</v>
      </c>
      <c r="L88" t="s">
        <v>3197</v>
      </c>
      <c r="M88" s="2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3">
        <v>45987</v>
      </c>
      <c r="C89" s="5">
        <v>0.4478125</v>
      </c>
      <c r="D89" s="1" t="s">
        <v>226</v>
      </c>
      <c r="E89" t="s">
        <v>3357</v>
      </c>
      <c r="F89" t="s">
        <v>58</v>
      </c>
      <c r="H89" t="s">
        <v>2352</v>
      </c>
      <c r="I89" t="s">
        <v>3208</v>
      </c>
      <c r="J89" t="s">
        <v>2397</v>
      </c>
      <c r="K89" t="s">
        <v>3209</v>
      </c>
      <c r="L89" t="s">
        <v>3210</v>
      </c>
      <c r="M89" s="2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3">
        <v>45987</v>
      </c>
      <c r="C90" s="5">
        <v>0.44372685185185184</v>
      </c>
      <c r="D90" s="1" t="s">
        <v>226</v>
      </c>
      <c r="E90" t="s">
        <v>3357</v>
      </c>
      <c r="F90" t="s">
        <v>58</v>
      </c>
      <c r="I90" t="s">
        <v>3189</v>
      </c>
      <c r="J90" t="s">
        <v>2397</v>
      </c>
      <c r="K90" t="s">
        <v>3190</v>
      </c>
      <c r="L90" t="s">
        <v>3191</v>
      </c>
      <c r="M90" s="2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3">
        <v>45987</v>
      </c>
      <c r="C91" s="5">
        <v>0.44767361111111109</v>
      </c>
      <c r="D91" s="1" t="s">
        <v>226</v>
      </c>
      <c r="E91" t="s">
        <v>3357</v>
      </c>
      <c r="F91" t="s">
        <v>58</v>
      </c>
      <c r="H91" t="s">
        <v>2352</v>
      </c>
      <c r="I91" t="s">
        <v>3205</v>
      </c>
      <c r="J91" t="s">
        <v>2397</v>
      </c>
      <c r="K91" t="s">
        <v>3206</v>
      </c>
      <c r="L91" t="s">
        <v>3207</v>
      </c>
      <c r="M91" s="2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3">
        <v>45987</v>
      </c>
      <c r="C92" s="5">
        <v>0.44255787037037037</v>
      </c>
      <c r="D92" s="1" t="s">
        <v>226</v>
      </c>
      <c r="E92" t="s">
        <v>3357</v>
      </c>
      <c r="F92" t="s">
        <v>58</v>
      </c>
      <c r="H92" t="s">
        <v>2352</v>
      </c>
      <c r="I92" t="s">
        <v>3178</v>
      </c>
      <c r="J92" t="s">
        <v>2397</v>
      </c>
      <c r="K92" t="s">
        <v>3179</v>
      </c>
      <c r="L92" t="s">
        <v>3180</v>
      </c>
      <c r="M92" s="2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3">
        <v>45987</v>
      </c>
      <c r="C93" s="5">
        <v>0.44241898148148145</v>
      </c>
      <c r="D93" s="1" t="s">
        <v>226</v>
      </c>
      <c r="E93" t="s">
        <v>3357</v>
      </c>
      <c r="F93" t="s">
        <v>58</v>
      </c>
      <c r="H93" t="s">
        <v>2352</v>
      </c>
      <c r="I93" t="s">
        <v>3175</v>
      </c>
      <c r="J93" t="s">
        <v>2397</v>
      </c>
      <c r="K93" t="s">
        <v>3176</v>
      </c>
      <c r="L93" t="s">
        <v>3177</v>
      </c>
      <c r="M93" s="2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3">
        <v>45987</v>
      </c>
      <c r="C94" s="5">
        <v>0.44226851851851851</v>
      </c>
      <c r="D94" s="1" t="s">
        <v>226</v>
      </c>
      <c r="E94" t="s">
        <v>3357</v>
      </c>
      <c r="F94" t="s">
        <v>58</v>
      </c>
      <c r="H94" t="s">
        <v>2352</v>
      </c>
      <c r="I94" t="s">
        <v>3172</v>
      </c>
      <c r="J94" t="s">
        <v>2397</v>
      </c>
      <c r="K94" t="s">
        <v>3173</v>
      </c>
      <c r="L94" t="s">
        <v>3174</v>
      </c>
      <c r="M94" s="2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3">
        <v>45987</v>
      </c>
      <c r="C95" s="5">
        <v>0.4475925925925926</v>
      </c>
      <c r="D95" s="1" t="s">
        <v>226</v>
      </c>
      <c r="E95" t="s">
        <v>3357</v>
      </c>
      <c r="F95" t="s">
        <v>58</v>
      </c>
      <c r="I95" t="s">
        <v>3202</v>
      </c>
      <c r="J95" t="s">
        <v>2397</v>
      </c>
      <c r="K95" t="s">
        <v>3203</v>
      </c>
      <c r="L95" t="s">
        <v>3204</v>
      </c>
      <c r="M95" s="2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3">
        <v>45990</v>
      </c>
      <c r="C96" s="5">
        <v>0.63124999999999998</v>
      </c>
      <c r="D96" s="1" t="s">
        <v>226</v>
      </c>
      <c r="E96" t="s">
        <v>3359</v>
      </c>
      <c r="F96" t="s">
        <v>3376</v>
      </c>
      <c r="H96" t="s">
        <v>2352</v>
      </c>
      <c r="I96" t="s">
        <v>2904</v>
      </c>
      <c r="J96" t="s">
        <v>2396</v>
      </c>
      <c r="K96" t="s">
        <v>2905</v>
      </c>
      <c r="L96" t="s">
        <v>2906</v>
      </c>
      <c r="M96" s="2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3">
        <v>45990</v>
      </c>
      <c r="C97" s="5">
        <v>0.62604166666666672</v>
      </c>
      <c r="D97" s="1" t="s">
        <v>226</v>
      </c>
      <c r="E97" t="s">
        <v>3359</v>
      </c>
      <c r="F97" t="s">
        <v>3376</v>
      </c>
      <c r="H97" t="s">
        <v>2352</v>
      </c>
      <c r="I97" t="s">
        <v>2901</v>
      </c>
      <c r="J97" t="s">
        <v>2396</v>
      </c>
      <c r="K97" t="s">
        <v>2902</v>
      </c>
      <c r="L97" t="s">
        <v>2903</v>
      </c>
      <c r="M97" s="2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3">
        <v>45990</v>
      </c>
      <c r="C98" s="5">
        <v>0.67753472222222222</v>
      </c>
      <c r="D98" s="1" t="s">
        <v>226</v>
      </c>
      <c r="E98" t="s">
        <v>3360</v>
      </c>
      <c r="F98" t="s">
        <v>3376</v>
      </c>
      <c r="H98" t="s">
        <v>2352</v>
      </c>
      <c r="I98" t="s">
        <v>2963</v>
      </c>
      <c r="J98" t="s">
        <v>2396</v>
      </c>
      <c r="K98" t="s">
        <v>2964</v>
      </c>
      <c r="L98" t="s">
        <v>2965</v>
      </c>
      <c r="M98" s="2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3">
        <v>45990</v>
      </c>
      <c r="C99" s="5">
        <v>0.65699074074074071</v>
      </c>
      <c r="D99" s="1" t="s">
        <v>226</v>
      </c>
      <c r="E99" t="s">
        <v>3360</v>
      </c>
      <c r="F99" t="s">
        <v>3376</v>
      </c>
      <c r="H99" t="s">
        <v>2352</v>
      </c>
      <c r="I99" t="s">
        <v>2933</v>
      </c>
      <c r="J99" t="s">
        <v>2396</v>
      </c>
      <c r="K99" t="s">
        <v>2934</v>
      </c>
      <c r="L99" t="s">
        <v>2935</v>
      </c>
      <c r="M99" s="2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3">
        <v>45990</v>
      </c>
      <c r="C100" s="5">
        <v>0.62410879629629634</v>
      </c>
      <c r="D100" s="1" t="s">
        <v>226</v>
      </c>
      <c r="E100" t="s">
        <v>3359</v>
      </c>
      <c r="F100" t="s">
        <v>3376</v>
      </c>
      <c r="H100" t="s">
        <v>2352</v>
      </c>
      <c r="I100" t="s">
        <v>2898</v>
      </c>
      <c r="J100" t="s">
        <v>2396</v>
      </c>
      <c r="K100" t="s">
        <v>2899</v>
      </c>
      <c r="L100" t="s">
        <v>2900</v>
      </c>
      <c r="M100" s="2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3">
        <v>45990</v>
      </c>
      <c r="C101" s="5">
        <v>0.61790509259259263</v>
      </c>
      <c r="D101" s="1" t="s">
        <v>226</v>
      </c>
      <c r="E101" t="s">
        <v>3359</v>
      </c>
      <c r="F101" t="s">
        <v>3376</v>
      </c>
      <c r="H101" t="s">
        <v>2352</v>
      </c>
      <c r="I101" t="s">
        <v>2889</v>
      </c>
      <c r="J101" t="s">
        <v>2396</v>
      </c>
      <c r="K101" t="s">
        <v>2890</v>
      </c>
      <c r="L101" t="s">
        <v>2891</v>
      </c>
      <c r="M101" s="2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3">
        <v>45990</v>
      </c>
      <c r="C102" s="5">
        <v>0.64386574074074077</v>
      </c>
      <c r="D102" s="1" t="s">
        <v>226</v>
      </c>
      <c r="E102" t="s">
        <v>3359</v>
      </c>
      <c r="F102" t="s">
        <v>87</v>
      </c>
      <c r="I102" t="s">
        <v>2919</v>
      </c>
      <c r="J102" t="s">
        <v>2396</v>
      </c>
      <c r="K102" t="s">
        <v>2920</v>
      </c>
      <c r="L102" t="s">
        <v>2921</v>
      </c>
      <c r="M102" s="2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3">
        <v>45990</v>
      </c>
      <c r="C103" s="5">
        <v>0.65312499999999996</v>
      </c>
      <c r="D103" s="1" t="s">
        <v>226</v>
      </c>
      <c r="E103" t="s">
        <v>3360</v>
      </c>
      <c r="F103" t="s">
        <v>3376</v>
      </c>
      <c r="I103" t="s">
        <v>2927</v>
      </c>
      <c r="J103" t="s">
        <v>2396</v>
      </c>
      <c r="K103" t="s">
        <v>2928</v>
      </c>
      <c r="L103" t="s">
        <v>2929</v>
      </c>
      <c r="M103" s="2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3">
        <v>45990</v>
      </c>
      <c r="C104" s="5">
        <v>0.65543981481481484</v>
      </c>
      <c r="D104" s="1" t="s">
        <v>226</v>
      </c>
      <c r="E104" t="s">
        <v>3360</v>
      </c>
      <c r="F104" t="s">
        <v>3376</v>
      </c>
      <c r="H104" t="s">
        <v>2352</v>
      </c>
      <c r="I104" t="s">
        <v>2930</v>
      </c>
      <c r="J104" t="s">
        <v>2396</v>
      </c>
      <c r="K104" t="s">
        <v>2931</v>
      </c>
      <c r="L104" t="s">
        <v>2932</v>
      </c>
      <c r="M104" s="2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3">
        <v>45990</v>
      </c>
      <c r="C105" s="5">
        <v>0.61982638888888886</v>
      </c>
      <c r="D105" s="1" t="s">
        <v>226</v>
      </c>
      <c r="E105" t="s">
        <v>3359</v>
      </c>
      <c r="F105" t="s">
        <v>3376</v>
      </c>
      <c r="H105" t="s">
        <v>2352</v>
      </c>
      <c r="I105" t="s">
        <v>2892</v>
      </c>
      <c r="J105" t="s">
        <v>2396</v>
      </c>
      <c r="K105" t="s">
        <v>2893</v>
      </c>
      <c r="L105" t="s">
        <v>2894</v>
      </c>
      <c r="M105" s="2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3">
        <v>45990</v>
      </c>
      <c r="C106" s="5">
        <v>0.6216666666666667</v>
      </c>
      <c r="D106" s="1" t="s">
        <v>226</v>
      </c>
      <c r="E106" t="s">
        <v>3359</v>
      </c>
      <c r="F106" t="s">
        <v>3376</v>
      </c>
      <c r="H106" t="s">
        <v>2352</v>
      </c>
      <c r="I106" t="s">
        <v>2895</v>
      </c>
      <c r="J106" t="s">
        <v>2396</v>
      </c>
      <c r="K106" t="s">
        <v>2896</v>
      </c>
      <c r="L106" t="s">
        <v>2897</v>
      </c>
      <c r="M106" s="2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3">
        <v>45990</v>
      </c>
      <c r="C107" s="5">
        <v>0.6338773148148148</v>
      </c>
      <c r="D107" s="1" t="s">
        <v>226</v>
      </c>
      <c r="E107" t="s">
        <v>3359</v>
      </c>
      <c r="F107" t="s">
        <v>3376</v>
      </c>
      <c r="H107" t="s">
        <v>2352</v>
      </c>
      <c r="I107" t="s">
        <v>2907</v>
      </c>
      <c r="J107" t="s">
        <v>2396</v>
      </c>
      <c r="K107" t="s">
        <v>2908</v>
      </c>
      <c r="L107" t="s">
        <v>2909</v>
      </c>
      <c r="M107" s="2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3">
        <v>45990</v>
      </c>
      <c r="C108" s="5">
        <v>0.67155092592592591</v>
      </c>
      <c r="D108" s="1" t="s">
        <v>226</v>
      </c>
      <c r="E108" t="s">
        <v>3360</v>
      </c>
      <c r="F108" t="s">
        <v>3376</v>
      </c>
      <c r="H108" t="s">
        <v>2352</v>
      </c>
      <c r="I108" t="s">
        <v>2951</v>
      </c>
      <c r="J108" t="s">
        <v>2396</v>
      </c>
      <c r="K108" t="s">
        <v>2952</v>
      </c>
      <c r="L108" t="s">
        <v>2953</v>
      </c>
      <c r="M108" s="2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3">
        <v>45990</v>
      </c>
      <c r="C109" s="5">
        <v>0.65927083333333336</v>
      </c>
      <c r="D109" s="1" t="s">
        <v>226</v>
      </c>
      <c r="E109" t="s">
        <v>3360</v>
      </c>
      <c r="F109" t="s">
        <v>3376</v>
      </c>
      <c r="H109" t="s">
        <v>2352</v>
      </c>
      <c r="I109" t="s">
        <v>2936</v>
      </c>
      <c r="J109" t="s">
        <v>2396</v>
      </c>
      <c r="K109" t="s">
        <v>2937</v>
      </c>
      <c r="L109" t="s">
        <v>2938</v>
      </c>
      <c r="M109" s="2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3">
        <v>45990</v>
      </c>
      <c r="C110" s="5">
        <v>0.66106481481481483</v>
      </c>
      <c r="D110" s="1" t="s">
        <v>226</v>
      </c>
      <c r="E110" t="s">
        <v>3360</v>
      </c>
      <c r="F110" t="s">
        <v>3376</v>
      </c>
      <c r="H110" t="s">
        <v>2352</v>
      </c>
      <c r="I110" t="s">
        <v>2939</v>
      </c>
      <c r="J110" t="s">
        <v>2396</v>
      </c>
      <c r="K110" t="s">
        <v>2940</v>
      </c>
      <c r="L110" t="s">
        <v>2941</v>
      </c>
      <c r="M110" s="2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3">
        <v>45990</v>
      </c>
      <c r="C111" s="5">
        <v>0.69054398148148144</v>
      </c>
      <c r="D111" s="1" t="s">
        <v>226</v>
      </c>
      <c r="E111" t="s">
        <v>3376</v>
      </c>
      <c r="H111" t="s">
        <v>2352</v>
      </c>
      <c r="I111" t="s">
        <v>2736</v>
      </c>
      <c r="J111" t="s">
        <v>2395</v>
      </c>
      <c r="K111" t="s">
        <v>2737</v>
      </c>
      <c r="L111" t="s">
        <v>2738</v>
      </c>
      <c r="M111" s="2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3">
        <v>45990</v>
      </c>
      <c r="C112" s="5">
        <v>0.66733796296296299</v>
      </c>
      <c r="D112" s="1" t="s">
        <v>226</v>
      </c>
      <c r="E112" t="s">
        <v>3360</v>
      </c>
      <c r="F112" t="s">
        <v>3376</v>
      </c>
      <c r="H112" t="s">
        <v>2352</v>
      </c>
      <c r="I112" t="s">
        <v>2945</v>
      </c>
      <c r="J112" t="s">
        <v>2396</v>
      </c>
      <c r="K112" t="s">
        <v>2946</v>
      </c>
      <c r="L112" t="s">
        <v>2947</v>
      </c>
      <c r="M112" s="2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3">
        <v>45990</v>
      </c>
      <c r="C113" s="5">
        <v>0.66971064814814818</v>
      </c>
      <c r="D113" s="1" t="s">
        <v>226</v>
      </c>
      <c r="E113" t="s">
        <v>3360</v>
      </c>
      <c r="F113" t="s">
        <v>3376</v>
      </c>
      <c r="H113" t="s">
        <v>2352</v>
      </c>
      <c r="I113" t="s">
        <v>2948</v>
      </c>
      <c r="J113" t="s">
        <v>2396</v>
      </c>
      <c r="K113" t="s">
        <v>2949</v>
      </c>
      <c r="L113" t="s">
        <v>2950</v>
      </c>
      <c r="M113" s="2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3">
        <v>45990</v>
      </c>
      <c r="C114" s="5">
        <v>0.66378472222222218</v>
      </c>
      <c r="D114" s="1" t="s">
        <v>226</v>
      </c>
      <c r="E114" t="s">
        <v>3360</v>
      </c>
      <c r="F114" t="s">
        <v>3376</v>
      </c>
      <c r="H114" t="s">
        <v>2352</v>
      </c>
      <c r="I114" t="s">
        <v>2942</v>
      </c>
      <c r="J114" t="s">
        <v>2396</v>
      </c>
      <c r="K114" t="s">
        <v>2943</v>
      </c>
      <c r="L114" t="s">
        <v>2944</v>
      </c>
      <c r="M114" s="2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3">
        <v>45990</v>
      </c>
      <c r="C115" s="5">
        <v>0.68376157407407412</v>
      </c>
      <c r="D115" s="1" t="s">
        <v>226</v>
      </c>
      <c r="E115" t="s">
        <v>3360</v>
      </c>
      <c r="F115" t="s">
        <v>3376</v>
      </c>
      <c r="H115" t="s">
        <v>2352</v>
      </c>
      <c r="I115" t="s">
        <v>2972</v>
      </c>
      <c r="J115" t="s">
        <v>2396</v>
      </c>
      <c r="K115" t="s">
        <v>2973</v>
      </c>
      <c r="L115" t="s">
        <v>2974</v>
      </c>
      <c r="M115" s="2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3">
        <v>45990</v>
      </c>
      <c r="C116" s="5">
        <v>0.67570601851851853</v>
      </c>
      <c r="D116" s="1" t="s">
        <v>226</v>
      </c>
      <c r="E116" t="s">
        <v>3360</v>
      </c>
      <c r="F116" t="s">
        <v>3376</v>
      </c>
      <c r="H116" t="s">
        <v>2352</v>
      </c>
      <c r="I116" t="s">
        <v>2957</v>
      </c>
      <c r="J116" t="s">
        <v>2396</v>
      </c>
      <c r="K116" t="s">
        <v>2958</v>
      </c>
      <c r="L116" t="s">
        <v>2959</v>
      </c>
      <c r="M116" s="2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3">
        <v>45990</v>
      </c>
      <c r="C117" s="5">
        <v>0.67623842592592598</v>
      </c>
      <c r="D117" s="1" t="s">
        <v>226</v>
      </c>
      <c r="E117" t="s">
        <v>3360</v>
      </c>
      <c r="F117" t="s">
        <v>3376</v>
      </c>
      <c r="H117" t="s">
        <v>2352</v>
      </c>
      <c r="I117" t="s">
        <v>2960</v>
      </c>
      <c r="J117" t="s">
        <v>2396</v>
      </c>
      <c r="K117" t="s">
        <v>2961</v>
      </c>
      <c r="L117" t="s">
        <v>2962</v>
      </c>
      <c r="M117" s="2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3">
        <v>45990</v>
      </c>
      <c r="C118" s="5">
        <v>0.67405092592592597</v>
      </c>
      <c r="D118" s="1" t="s">
        <v>226</v>
      </c>
      <c r="E118" t="s">
        <v>3360</v>
      </c>
      <c r="F118" t="s">
        <v>3376</v>
      </c>
      <c r="H118" t="s">
        <v>2352</v>
      </c>
      <c r="I118" t="s">
        <v>2954</v>
      </c>
      <c r="J118" t="s">
        <v>2396</v>
      </c>
      <c r="K118" t="s">
        <v>2955</v>
      </c>
      <c r="L118" t="s">
        <v>2956</v>
      </c>
      <c r="M118" s="2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3">
        <v>45990</v>
      </c>
      <c r="C119" s="5">
        <v>0.68038194444444444</v>
      </c>
      <c r="D119" s="1" t="s">
        <v>226</v>
      </c>
      <c r="E119" t="s">
        <v>3360</v>
      </c>
      <c r="F119" t="s">
        <v>3376</v>
      </c>
      <c r="H119" t="s">
        <v>2352</v>
      </c>
      <c r="I119" t="s">
        <v>2966</v>
      </c>
      <c r="J119" t="s">
        <v>2396</v>
      </c>
      <c r="K119" t="s">
        <v>2967</v>
      </c>
      <c r="L119" t="s">
        <v>2968</v>
      </c>
      <c r="M119" s="2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3">
        <v>45990</v>
      </c>
      <c r="C120" s="5">
        <v>0.68329861111111112</v>
      </c>
      <c r="D120" s="1" t="s">
        <v>226</v>
      </c>
      <c r="E120" t="s">
        <v>3360</v>
      </c>
      <c r="F120" t="s">
        <v>3376</v>
      </c>
      <c r="H120" t="s">
        <v>2352</v>
      </c>
      <c r="I120" t="s">
        <v>2969</v>
      </c>
      <c r="J120" t="s">
        <v>2396</v>
      </c>
      <c r="K120" t="s">
        <v>2970</v>
      </c>
      <c r="L120" t="s">
        <v>2971</v>
      </c>
      <c r="M120" s="2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3">
        <v>45990</v>
      </c>
      <c r="C121" s="5">
        <v>0.68625000000000003</v>
      </c>
      <c r="D121" s="1" t="s">
        <v>226</v>
      </c>
      <c r="E121" t="s">
        <v>3360</v>
      </c>
      <c r="F121" t="s">
        <v>3376</v>
      </c>
      <c r="H121" t="s">
        <v>2352</v>
      </c>
      <c r="I121" t="s">
        <v>2975</v>
      </c>
      <c r="J121" t="s">
        <v>2396</v>
      </c>
      <c r="K121" t="s">
        <v>2976</v>
      </c>
      <c r="L121" t="s">
        <v>2977</v>
      </c>
      <c r="M121" s="2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t="s">
        <v>2978</v>
      </c>
      <c r="J122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0.6917592592592593</v>
      </c>
      <c r="D123" s="1" t="s">
        <v>226</v>
      </c>
      <c r="E123" t="s">
        <v>3360</v>
      </c>
      <c r="F123" t="s">
        <v>3376</v>
      </c>
      <c r="H123" t="s">
        <v>2352</v>
      </c>
      <c r="I123" t="s">
        <v>2981</v>
      </c>
      <c r="J123" t="s">
        <v>2396</v>
      </c>
      <c r="K123" t="s">
        <v>2982</v>
      </c>
      <c r="L123" t="s">
        <v>2983</v>
      </c>
      <c r="M123" s="2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3">
        <v>45990</v>
      </c>
      <c r="C124" s="5">
        <v>0.58450231481481485</v>
      </c>
      <c r="D124" s="1" t="s">
        <v>226</v>
      </c>
      <c r="E124" t="s">
        <v>3382</v>
      </c>
      <c r="F124" t="s">
        <v>3376</v>
      </c>
      <c r="H124" t="s">
        <v>2352</v>
      </c>
      <c r="I124" t="s">
        <v>2880</v>
      </c>
      <c r="J124" t="s">
        <v>2396</v>
      </c>
      <c r="K124" t="s">
        <v>2881</v>
      </c>
      <c r="L124" t="s">
        <v>2882</v>
      </c>
      <c r="M124" s="2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3">
        <v>45990</v>
      </c>
      <c r="C125" s="5">
        <v>0.65773148148148153</v>
      </c>
      <c r="D125" s="1" t="s">
        <v>226</v>
      </c>
      <c r="E125" t="s">
        <v>3376</v>
      </c>
      <c r="H125" t="s">
        <v>2352</v>
      </c>
      <c r="I125" t="s">
        <v>2724</v>
      </c>
      <c r="J125" t="s">
        <v>2395</v>
      </c>
      <c r="K125" t="s">
        <v>2725</v>
      </c>
      <c r="L125" t="s">
        <v>2726</v>
      </c>
      <c r="M125" s="2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3">
        <v>45990</v>
      </c>
      <c r="C126" s="5">
        <v>0.69224537037037037</v>
      </c>
      <c r="D126" s="1" t="s">
        <v>226</v>
      </c>
      <c r="E126" t="s">
        <v>3360</v>
      </c>
      <c r="F126" t="s">
        <v>3376</v>
      </c>
      <c r="H126" t="s">
        <v>2352</v>
      </c>
      <c r="I126" t="s">
        <v>2984</v>
      </c>
      <c r="J126" t="s">
        <v>2396</v>
      </c>
      <c r="K126" t="s">
        <v>2985</v>
      </c>
      <c r="L126" t="s">
        <v>2986</v>
      </c>
      <c r="M126" s="2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3">
        <v>45990</v>
      </c>
      <c r="C127" s="5">
        <v>0.61375000000000002</v>
      </c>
      <c r="D127" s="1" t="s">
        <v>226</v>
      </c>
      <c r="E127" t="s">
        <v>3359</v>
      </c>
      <c r="F127" t="s">
        <v>3376</v>
      </c>
      <c r="I127" t="s">
        <v>2886</v>
      </c>
      <c r="J127" t="s">
        <v>2396</v>
      </c>
      <c r="K127" t="s">
        <v>2887</v>
      </c>
      <c r="L127" t="s">
        <v>2888</v>
      </c>
      <c r="M127" s="2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3">
        <v>45990</v>
      </c>
      <c r="C128" s="5">
        <v>0.57677083333333334</v>
      </c>
      <c r="D128" s="1" t="s">
        <v>226</v>
      </c>
      <c r="E128" t="s">
        <v>3382</v>
      </c>
      <c r="F128" t="s">
        <v>3376</v>
      </c>
      <c r="H128" t="s">
        <v>2352</v>
      </c>
      <c r="I128" t="s">
        <v>2868</v>
      </c>
      <c r="J128" t="s">
        <v>2396</v>
      </c>
      <c r="K128" t="s">
        <v>2869</v>
      </c>
      <c r="L128" t="s">
        <v>2870</v>
      </c>
      <c r="M128" s="2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3">
        <v>45990</v>
      </c>
      <c r="C129" s="5">
        <v>0.58212962962962966</v>
      </c>
      <c r="D129" s="1" t="s">
        <v>226</v>
      </c>
      <c r="E129" t="s">
        <v>3382</v>
      </c>
      <c r="F129" t="s">
        <v>3376</v>
      </c>
      <c r="H129" t="s">
        <v>2352</v>
      </c>
      <c r="I129" t="s">
        <v>2874</v>
      </c>
      <c r="J129" t="s">
        <v>2396</v>
      </c>
      <c r="K129" t="s">
        <v>2875</v>
      </c>
      <c r="L129" t="s">
        <v>2876</v>
      </c>
      <c r="M129" s="2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3">
        <v>45990</v>
      </c>
      <c r="C130" s="5">
        <v>0.57995370370370369</v>
      </c>
      <c r="D130" s="1" t="s">
        <v>226</v>
      </c>
      <c r="E130" t="s">
        <v>3382</v>
      </c>
      <c r="F130" t="s">
        <v>3376</v>
      </c>
      <c r="H130" t="s">
        <v>2352</v>
      </c>
      <c r="I130" t="s">
        <v>2871</v>
      </c>
      <c r="J130" t="s">
        <v>2396</v>
      </c>
      <c r="K130" t="s">
        <v>2872</v>
      </c>
      <c r="L130" t="s">
        <v>2873</v>
      </c>
      <c r="M130" s="2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3">
        <v>45990</v>
      </c>
      <c r="C131" s="5">
        <v>0.57168981481481485</v>
      </c>
      <c r="D131" s="1" t="s">
        <v>226</v>
      </c>
      <c r="E131" t="s">
        <v>3382</v>
      </c>
      <c r="F131" t="s">
        <v>3376</v>
      </c>
      <c r="H131" t="s">
        <v>2352</v>
      </c>
      <c r="I131" t="s">
        <v>2859</v>
      </c>
      <c r="J131" t="s">
        <v>2396</v>
      </c>
      <c r="K131" t="s">
        <v>2860</v>
      </c>
      <c r="L131" t="s">
        <v>2861</v>
      </c>
      <c r="M131" s="2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3">
        <v>45990</v>
      </c>
      <c r="C132" s="5">
        <v>0.58278935185185188</v>
      </c>
      <c r="D132" s="1" t="s">
        <v>226</v>
      </c>
      <c r="E132" t="s">
        <v>3382</v>
      </c>
      <c r="F132" t="s">
        <v>3376</v>
      </c>
      <c r="H132" t="s">
        <v>2352</v>
      </c>
      <c r="I132" t="s">
        <v>2877</v>
      </c>
      <c r="J132" t="s">
        <v>2396</v>
      </c>
      <c r="K132" t="s">
        <v>2878</v>
      </c>
      <c r="L132" t="s">
        <v>2879</v>
      </c>
      <c r="M132" s="2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3">
        <v>45990</v>
      </c>
      <c r="C133" s="5">
        <v>0.57449074074074069</v>
      </c>
      <c r="D133" s="1" t="s">
        <v>226</v>
      </c>
      <c r="E133" t="s">
        <v>3382</v>
      </c>
      <c r="F133" t="s">
        <v>3376</v>
      </c>
      <c r="H133" t="s">
        <v>2352</v>
      </c>
      <c r="I133" t="s">
        <v>2865</v>
      </c>
      <c r="J133" t="s">
        <v>2396</v>
      </c>
      <c r="K133" t="s">
        <v>2866</v>
      </c>
      <c r="L133" t="s">
        <v>2867</v>
      </c>
      <c r="M133" s="2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3">
        <v>45990</v>
      </c>
      <c r="C134" s="5">
        <v>0.57275462962962964</v>
      </c>
      <c r="D134" s="1" t="s">
        <v>226</v>
      </c>
      <c r="E134" t="s">
        <v>3382</v>
      </c>
      <c r="F134" t="s">
        <v>3376</v>
      </c>
      <c r="H134" t="s">
        <v>2352</v>
      </c>
      <c r="I134" t="s">
        <v>2862</v>
      </c>
      <c r="J134" t="s">
        <v>2396</v>
      </c>
      <c r="K134" t="s">
        <v>2863</v>
      </c>
      <c r="L134" t="s">
        <v>2864</v>
      </c>
      <c r="M134" s="2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3">
        <v>45990</v>
      </c>
      <c r="C135" s="5">
        <v>0.55314814814814817</v>
      </c>
      <c r="D135" s="1" t="s">
        <v>226</v>
      </c>
      <c r="E135" t="s">
        <v>3382</v>
      </c>
      <c r="F135" t="s">
        <v>3376</v>
      </c>
      <c r="H135" t="s">
        <v>2352</v>
      </c>
      <c r="I135" t="s">
        <v>2844</v>
      </c>
      <c r="J135" t="s">
        <v>2396</v>
      </c>
      <c r="K135" t="s">
        <v>2845</v>
      </c>
      <c r="L135" t="s">
        <v>2846</v>
      </c>
      <c r="M135" s="2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3">
        <v>45990</v>
      </c>
      <c r="C136" s="5">
        <v>0.55248842592592595</v>
      </c>
      <c r="D136" s="1" t="s">
        <v>226</v>
      </c>
      <c r="E136" t="s">
        <v>3382</v>
      </c>
      <c r="F136" t="s">
        <v>3376</v>
      </c>
      <c r="I136" t="s">
        <v>2841</v>
      </c>
      <c r="J136" t="s">
        <v>2396</v>
      </c>
      <c r="K136" t="s">
        <v>2842</v>
      </c>
      <c r="L136" t="s">
        <v>2843</v>
      </c>
      <c r="M136" s="2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3">
        <v>45990</v>
      </c>
      <c r="C137" s="5">
        <v>0.56846064814814812</v>
      </c>
      <c r="D137" s="1" t="s">
        <v>226</v>
      </c>
      <c r="E137" t="s">
        <v>3382</v>
      </c>
      <c r="F137" t="s">
        <v>3376</v>
      </c>
      <c r="H137" t="s">
        <v>2352</v>
      </c>
      <c r="I137" t="s">
        <v>2856</v>
      </c>
      <c r="J137" t="s">
        <v>2396</v>
      </c>
      <c r="K137" t="s">
        <v>2857</v>
      </c>
      <c r="L137" t="s">
        <v>2858</v>
      </c>
      <c r="M137" s="2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3">
        <v>45990</v>
      </c>
      <c r="C138" s="5">
        <v>0.55888888888888888</v>
      </c>
      <c r="D138" s="1" t="s">
        <v>226</v>
      </c>
      <c r="E138" t="s">
        <v>3382</v>
      </c>
      <c r="F138" t="s">
        <v>3376</v>
      </c>
      <c r="H138" t="s">
        <v>2352</v>
      </c>
      <c r="I138" t="s">
        <v>2847</v>
      </c>
      <c r="J138" t="s">
        <v>2396</v>
      </c>
      <c r="K138" t="s">
        <v>2848</v>
      </c>
      <c r="L138" t="s">
        <v>2849</v>
      </c>
      <c r="M138" s="2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3">
        <v>45990</v>
      </c>
      <c r="C139" s="5">
        <v>0.63736111111111116</v>
      </c>
      <c r="D139" s="1" t="s">
        <v>226</v>
      </c>
      <c r="E139" t="s">
        <v>3359</v>
      </c>
      <c r="F139" t="s">
        <v>3376</v>
      </c>
      <c r="H139" t="s">
        <v>2352</v>
      </c>
      <c r="I139" t="s">
        <v>2910</v>
      </c>
      <c r="J139" t="s">
        <v>2396</v>
      </c>
      <c r="K139" t="s">
        <v>2911</v>
      </c>
      <c r="L139" t="s">
        <v>2912</v>
      </c>
      <c r="M139" s="2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3">
        <v>45990</v>
      </c>
      <c r="C140" s="5">
        <v>0.63914351851851847</v>
      </c>
      <c r="D140" s="1" t="s">
        <v>226</v>
      </c>
      <c r="E140" t="s">
        <v>3359</v>
      </c>
      <c r="F140" t="s">
        <v>3376</v>
      </c>
      <c r="H140" t="s">
        <v>2352</v>
      </c>
      <c r="I140" t="s">
        <v>2913</v>
      </c>
      <c r="J140" t="s">
        <v>2396</v>
      </c>
      <c r="K140" t="s">
        <v>2914</v>
      </c>
      <c r="L140" t="s">
        <v>2915</v>
      </c>
      <c r="M140" s="2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3">
        <v>45990</v>
      </c>
      <c r="C141" s="5">
        <v>0.64195601851851847</v>
      </c>
      <c r="D141" s="1" t="s">
        <v>226</v>
      </c>
      <c r="E141" t="s">
        <v>3359</v>
      </c>
      <c r="F141" t="s">
        <v>3376</v>
      </c>
      <c r="H141" t="s">
        <v>2352</v>
      </c>
      <c r="I141" t="s">
        <v>2916</v>
      </c>
      <c r="J141" t="s">
        <v>2396</v>
      </c>
      <c r="K141" t="s">
        <v>2917</v>
      </c>
      <c r="L141" t="s">
        <v>2918</v>
      </c>
      <c r="M141" s="2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3">
        <v>45990</v>
      </c>
      <c r="C142" s="5">
        <v>0.67369212962962965</v>
      </c>
      <c r="D142" s="1" t="s">
        <v>226</v>
      </c>
      <c r="E142" t="s">
        <v>3376</v>
      </c>
      <c r="H142" t="s">
        <v>2352</v>
      </c>
      <c r="I142" t="s">
        <v>2730</v>
      </c>
      <c r="J142" t="s">
        <v>2395</v>
      </c>
      <c r="K142" t="s">
        <v>2731</v>
      </c>
      <c r="L142" t="s">
        <v>2732</v>
      </c>
      <c r="M142" s="2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3">
        <v>45990</v>
      </c>
      <c r="C143" s="5">
        <v>0.68300925925925926</v>
      </c>
      <c r="D143" s="1" t="s">
        <v>226</v>
      </c>
      <c r="E143" t="s">
        <v>3376</v>
      </c>
      <c r="H143" t="s">
        <v>2352</v>
      </c>
      <c r="I143" t="s">
        <v>2733</v>
      </c>
      <c r="J143" t="s">
        <v>2395</v>
      </c>
      <c r="K143" t="s">
        <v>2734</v>
      </c>
      <c r="L143" t="s">
        <v>2735</v>
      </c>
      <c r="M143" s="2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3">
        <v>45990</v>
      </c>
      <c r="C144" s="5">
        <v>0.67062500000000003</v>
      </c>
      <c r="D144" s="1" t="s">
        <v>226</v>
      </c>
      <c r="E144" t="s">
        <v>3376</v>
      </c>
      <c r="H144" t="s">
        <v>2352</v>
      </c>
      <c r="I144" t="s">
        <v>2727</v>
      </c>
      <c r="J144" t="s">
        <v>2395</v>
      </c>
      <c r="K144" t="s">
        <v>2728</v>
      </c>
      <c r="L144" t="s">
        <v>2729</v>
      </c>
      <c r="M144" s="2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3">
        <v>45990</v>
      </c>
      <c r="C145" s="5">
        <v>0.64961805555555552</v>
      </c>
      <c r="D145" s="1" t="s">
        <v>226</v>
      </c>
      <c r="E145" t="s">
        <v>2343</v>
      </c>
      <c r="F145" t="s">
        <v>53</v>
      </c>
      <c r="G145">
        <v>4</v>
      </c>
      <c r="I145" t="s">
        <v>2650</v>
      </c>
      <c r="J145" t="s">
        <v>2402</v>
      </c>
      <c r="K145" t="s">
        <v>2651</v>
      </c>
      <c r="L145" t="s">
        <v>2652</v>
      </c>
      <c r="M145" s="2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3">
        <v>45990</v>
      </c>
      <c r="C146" s="5">
        <v>0.56593749999999998</v>
      </c>
      <c r="D146" s="1" t="s">
        <v>226</v>
      </c>
      <c r="E146" t="s">
        <v>3382</v>
      </c>
      <c r="F146" t="s">
        <v>3376</v>
      </c>
      <c r="H146" t="s">
        <v>2352</v>
      </c>
      <c r="I146" t="s">
        <v>2853</v>
      </c>
      <c r="J146" t="s">
        <v>2396</v>
      </c>
      <c r="K146" t="s">
        <v>2854</v>
      </c>
      <c r="L146" t="s">
        <v>2855</v>
      </c>
      <c r="M146" s="2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3">
        <v>45990</v>
      </c>
      <c r="C147" s="5">
        <v>0.5607523148148148</v>
      </c>
      <c r="D147" s="1" t="s">
        <v>226</v>
      </c>
      <c r="E147" t="s">
        <v>3382</v>
      </c>
      <c r="F147" t="s">
        <v>3376</v>
      </c>
      <c r="H147" t="s">
        <v>2352</v>
      </c>
      <c r="I147" t="s">
        <v>2850</v>
      </c>
      <c r="J147" t="s">
        <v>2396</v>
      </c>
      <c r="K147" t="s">
        <v>2851</v>
      </c>
      <c r="L147" t="s">
        <v>2852</v>
      </c>
      <c r="M147" s="2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3">
        <v>45990</v>
      </c>
      <c r="C148" s="5">
        <v>0.41766203703703703</v>
      </c>
      <c r="D148" s="1" t="s">
        <v>226</v>
      </c>
      <c r="E148" t="s">
        <v>3376</v>
      </c>
      <c r="I148" t="s">
        <v>2721</v>
      </c>
      <c r="J148" t="s">
        <v>2395</v>
      </c>
      <c r="K148" t="s">
        <v>2722</v>
      </c>
      <c r="L148" t="s">
        <v>2723</v>
      </c>
      <c r="M148" s="2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t="s">
        <v>3566</v>
      </c>
      <c r="J14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0.5186574074074074</v>
      </c>
      <c r="D150" s="1" t="s">
        <v>226</v>
      </c>
      <c r="E150" t="s">
        <v>2343</v>
      </c>
      <c r="F150" t="s">
        <v>53</v>
      </c>
      <c r="G150">
        <v>3</v>
      </c>
      <c r="I150" t="s">
        <v>4080</v>
      </c>
      <c r="J150" t="s">
        <v>2402</v>
      </c>
      <c r="K150" t="s">
        <v>4081</v>
      </c>
      <c r="L150" t="s">
        <v>4082</v>
      </c>
      <c r="M150" s="2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3">
        <v>45995</v>
      </c>
      <c r="C151" s="5">
        <v>0.38034722222222223</v>
      </c>
      <c r="D151" s="1" t="s">
        <v>226</v>
      </c>
      <c r="E151" t="s">
        <v>70</v>
      </c>
      <c r="F151" t="s">
        <v>4087</v>
      </c>
      <c r="H151" t="s">
        <v>4089</v>
      </c>
      <c r="I151" t="s">
        <v>3575</v>
      </c>
      <c r="J151" t="s">
        <v>2403</v>
      </c>
      <c r="K151" t="s">
        <v>3576</v>
      </c>
      <c r="L151" t="s">
        <v>3577</v>
      </c>
      <c r="M151" s="2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t="s">
        <v>3578</v>
      </c>
      <c r="J152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0.38062499999999999</v>
      </c>
      <c r="D153" s="1" t="s">
        <v>226</v>
      </c>
      <c r="E153" t="s">
        <v>70</v>
      </c>
      <c r="F153" t="s">
        <v>4087</v>
      </c>
      <c r="H153" t="s">
        <v>2352</v>
      </c>
      <c r="I153" t="s">
        <v>3581</v>
      </c>
      <c r="J153" t="s">
        <v>2403</v>
      </c>
      <c r="K153" t="s">
        <v>3582</v>
      </c>
      <c r="L153" t="s">
        <v>3583</v>
      </c>
      <c r="M153" s="2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3">
        <v>45995</v>
      </c>
      <c r="C154" s="5">
        <v>0.38299768518518518</v>
      </c>
      <c r="D154" s="1" t="s">
        <v>226</v>
      </c>
      <c r="E154" t="s">
        <v>70</v>
      </c>
      <c r="F154" t="s">
        <v>4087</v>
      </c>
      <c r="H154" t="s">
        <v>4090</v>
      </c>
      <c r="I154" t="s">
        <v>3584</v>
      </c>
      <c r="J154" t="s">
        <v>2403</v>
      </c>
      <c r="K154" t="s">
        <v>3585</v>
      </c>
      <c r="L154" t="s">
        <v>3586</v>
      </c>
      <c r="M154" s="2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3">
        <v>45998</v>
      </c>
      <c r="C155" s="5">
        <v>0.63689814814814816</v>
      </c>
      <c r="D155" s="1" t="s">
        <v>226</v>
      </c>
      <c r="E155" t="s">
        <v>4236</v>
      </c>
      <c r="F155" t="s">
        <v>4087</v>
      </c>
      <c r="H155" t="s">
        <v>2352</v>
      </c>
      <c r="I155" t="s">
        <v>4159</v>
      </c>
      <c r="J155" t="s">
        <v>2394</v>
      </c>
      <c r="K155" t="s">
        <v>4160</v>
      </c>
      <c r="L155" t="s">
        <v>4161</v>
      </c>
      <c r="M155" s="2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3">
        <v>45998</v>
      </c>
      <c r="C156" s="5">
        <v>0.62921296296296292</v>
      </c>
      <c r="D156" s="1" t="s">
        <v>226</v>
      </c>
      <c r="E156" t="s">
        <v>4236</v>
      </c>
      <c r="F156" t="s">
        <v>4087</v>
      </c>
      <c r="H156" t="s">
        <v>2352</v>
      </c>
      <c r="I156" t="s">
        <v>4156</v>
      </c>
      <c r="J156" t="s">
        <v>2394</v>
      </c>
      <c r="K156" t="s">
        <v>4157</v>
      </c>
      <c r="L156" t="s">
        <v>4158</v>
      </c>
      <c r="M156" s="2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3">
        <v>45998</v>
      </c>
      <c r="C157" s="5">
        <v>0.60648148148148151</v>
      </c>
      <c r="D157" s="1" t="s">
        <v>226</v>
      </c>
      <c r="E157" t="s">
        <v>4236</v>
      </c>
      <c r="F157" t="s">
        <v>3398</v>
      </c>
      <c r="H157" t="s">
        <v>2352</v>
      </c>
      <c r="I157" t="s">
        <v>4180</v>
      </c>
      <c r="J157" t="s">
        <v>2397</v>
      </c>
      <c r="K157" t="s">
        <v>4181</v>
      </c>
      <c r="L157" t="s">
        <v>4182</v>
      </c>
      <c r="M157" s="2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3">
        <v>45998</v>
      </c>
      <c r="C158" s="5">
        <v>0.60039351851851852</v>
      </c>
      <c r="D158" s="1" t="s">
        <v>226</v>
      </c>
      <c r="E158" t="s">
        <v>4236</v>
      </c>
      <c r="F158" t="s">
        <v>3398</v>
      </c>
      <c r="I158" t="s">
        <v>4177</v>
      </c>
      <c r="J158" t="s">
        <v>2397</v>
      </c>
      <c r="K158" t="s">
        <v>4178</v>
      </c>
      <c r="L158" t="s">
        <v>4179</v>
      </c>
      <c r="M158" s="2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3">
        <v>45998</v>
      </c>
      <c r="C159" s="5">
        <v>0.62070601851851848</v>
      </c>
      <c r="D159" s="1" t="s">
        <v>226</v>
      </c>
      <c r="E159" t="s">
        <v>4236</v>
      </c>
      <c r="F159" t="s">
        <v>4087</v>
      </c>
      <c r="H159" t="s">
        <v>2352</v>
      </c>
      <c r="I159" t="s">
        <v>4147</v>
      </c>
      <c r="J159" t="s">
        <v>2394</v>
      </c>
      <c r="K159" t="s">
        <v>4148</v>
      </c>
      <c r="L159" t="s">
        <v>4149</v>
      </c>
      <c r="M159" s="2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3">
        <v>45998</v>
      </c>
      <c r="C160" s="5">
        <v>0.61756944444444439</v>
      </c>
      <c r="D160" s="1" t="s">
        <v>226</v>
      </c>
      <c r="E160" t="s">
        <v>4236</v>
      </c>
      <c r="F160" t="s">
        <v>4087</v>
      </c>
      <c r="I160" t="s">
        <v>4144</v>
      </c>
      <c r="J160" t="s">
        <v>2394</v>
      </c>
      <c r="K160" t="s">
        <v>4145</v>
      </c>
      <c r="L160" t="s">
        <v>4146</v>
      </c>
      <c r="M160" s="2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3">
        <v>45998</v>
      </c>
      <c r="C161" s="5">
        <v>0.62668981481481478</v>
      </c>
      <c r="D161" s="1" t="s">
        <v>226</v>
      </c>
      <c r="E161" t="s">
        <v>4236</v>
      </c>
      <c r="F161" t="s">
        <v>4087</v>
      </c>
      <c r="H161" t="s">
        <v>2352</v>
      </c>
      <c r="I161" t="s">
        <v>4153</v>
      </c>
      <c r="J161" t="s">
        <v>2394</v>
      </c>
      <c r="K161" t="s">
        <v>4154</v>
      </c>
      <c r="L161" t="s">
        <v>4155</v>
      </c>
      <c r="M161" s="2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3">
        <v>45998</v>
      </c>
      <c r="C162" s="5">
        <v>0.62306712962962962</v>
      </c>
      <c r="D162" s="1" t="s">
        <v>226</v>
      </c>
      <c r="E162" t="s">
        <v>4236</v>
      </c>
      <c r="F162" t="s">
        <v>4087</v>
      </c>
      <c r="H162" t="s">
        <v>2352</v>
      </c>
      <c r="I162" t="s">
        <v>4150</v>
      </c>
      <c r="J162" t="s">
        <v>2394</v>
      </c>
      <c r="K162" t="s">
        <v>4151</v>
      </c>
      <c r="L162" t="s">
        <v>4152</v>
      </c>
      <c r="M162" s="2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3">
        <v>46004</v>
      </c>
      <c r="C163" s="5">
        <v>0.39291666666666669</v>
      </c>
      <c r="D163" s="1" t="s">
        <v>226</v>
      </c>
      <c r="E163" t="s">
        <v>4917</v>
      </c>
      <c r="F163" t="s">
        <v>4938</v>
      </c>
      <c r="H163" t="s">
        <v>2352</v>
      </c>
      <c r="I163" t="s">
        <v>4871</v>
      </c>
      <c r="J163" t="s">
        <v>4505</v>
      </c>
      <c r="K163" t="s">
        <v>4872</v>
      </c>
      <c r="L163" t="s">
        <v>4873</v>
      </c>
      <c r="M163" s="2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3">
        <v>46004</v>
      </c>
      <c r="C164" s="5">
        <v>0.39643518518518517</v>
      </c>
      <c r="D164" s="1" t="s">
        <v>226</v>
      </c>
      <c r="E164" t="s">
        <v>4917</v>
      </c>
      <c r="F164" t="s">
        <v>4938</v>
      </c>
      <c r="H164" t="s">
        <v>2352</v>
      </c>
      <c r="I164" t="s">
        <v>4874</v>
      </c>
      <c r="J164" t="s">
        <v>4505</v>
      </c>
      <c r="K164" t="s">
        <v>4875</v>
      </c>
      <c r="L164" t="s">
        <v>4876</v>
      </c>
      <c r="M164" s="2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3">
        <v>46004</v>
      </c>
      <c r="C165" s="5">
        <v>0.39685185185185184</v>
      </c>
      <c r="D165" s="1" t="s">
        <v>226</v>
      </c>
      <c r="E165" t="s">
        <v>4917</v>
      </c>
      <c r="F165" t="s">
        <v>4938</v>
      </c>
      <c r="H165" t="s">
        <v>2352</v>
      </c>
      <c r="I165" t="s">
        <v>4877</v>
      </c>
      <c r="J165" t="s">
        <v>4505</v>
      </c>
      <c r="K165" t="s">
        <v>4878</v>
      </c>
      <c r="L165" t="s">
        <v>4879</v>
      </c>
      <c r="M165" s="2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3">
        <v>46004</v>
      </c>
      <c r="C166" s="5">
        <v>0.3972222222222222</v>
      </c>
      <c r="D166" s="1" t="s">
        <v>226</v>
      </c>
      <c r="E166" t="s">
        <v>4917</v>
      </c>
      <c r="F166" t="s">
        <v>4938</v>
      </c>
      <c r="H166" t="s">
        <v>2352</v>
      </c>
      <c r="I166" t="s">
        <v>4880</v>
      </c>
      <c r="J166" t="s">
        <v>4505</v>
      </c>
      <c r="K166" t="s">
        <v>4881</v>
      </c>
      <c r="L166" t="s">
        <v>4882</v>
      </c>
      <c r="M166" s="2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3">
        <v>46004</v>
      </c>
      <c r="C167" s="5">
        <v>0.39961805555555557</v>
      </c>
      <c r="D167" s="1" t="s">
        <v>226</v>
      </c>
      <c r="E167" t="s">
        <v>4917</v>
      </c>
      <c r="F167" t="s">
        <v>4938</v>
      </c>
      <c r="H167" t="s">
        <v>2352</v>
      </c>
      <c r="I167" t="s">
        <v>4883</v>
      </c>
      <c r="J167" t="s">
        <v>4505</v>
      </c>
      <c r="K167" t="s">
        <v>4884</v>
      </c>
      <c r="L167" t="s">
        <v>4885</v>
      </c>
      <c r="M167" s="2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3">
        <v>46004</v>
      </c>
      <c r="C168" s="5">
        <v>0.39997685185185183</v>
      </c>
      <c r="D168" s="1" t="s">
        <v>226</v>
      </c>
      <c r="E168" t="s">
        <v>4917</v>
      </c>
      <c r="F168" t="s">
        <v>4938</v>
      </c>
      <c r="H168" t="s">
        <v>2352</v>
      </c>
      <c r="I168" t="s">
        <v>4886</v>
      </c>
      <c r="J168" t="s">
        <v>4505</v>
      </c>
      <c r="K168" t="s">
        <v>4887</v>
      </c>
      <c r="L168" t="s">
        <v>4888</v>
      </c>
      <c r="M168" s="2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3">
        <v>46004</v>
      </c>
      <c r="C169" s="5">
        <v>0.40167824074074077</v>
      </c>
      <c r="D169" s="1" t="s">
        <v>226</v>
      </c>
      <c r="E169" t="s">
        <v>4917</v>
      </c>
      <c r="F169" t="s">
        <v>4938</v>
      </c>
      <c r="H169" t="s">
        <v>2352</v>
      </c>
      <c r="I169" t="s">
        <v>4889</v>
      </c>
      <c r="J169" t="s">
        <v>4505</v>
      </c>
      <c r="K169" t="s">
        <v>4890</v>
      </c>
      <c r="L169" t="s">
        <v>4891</v>
      </c>
      <c r="M169" s="2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3">
        <v>46004</v>
      </c>
      <c r="C170" s="5">
        <v>0.40229166666666666</v>
      </c>
      <c r="D170" s="1" t="s">
        <v>226</v>
      </c>
      <c r="E170" t="s">
        <v>4917</v>
      </c>
      <c r="F170" t="s">
        <v>4938</v>
      </c>
      <c r="H170" t="s">
        <v>2352</v>
      </c>
      <c r="I170" t="s">
        <v>4892</v>
      </c>
      <c r="J170" t="s">
        <v>4505</v>
      </c>
      <c r="K170" t="s">
        <v>4893</v>
      </c>
      <c r="L170" t="s">
        <v>4894</v>
      </c>
      <c r="M170" s="2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3">
        <v>46006</v>
      </c>
      <c r="C171" s="5">
        <v>0.47672453703703704</v>
      </c>
      <c r="D171" s="1" t="s">
        <v>226</v>
      </c>
      <c r="E171" t="s">
        <v>5045</v>
      </c>
      <c r="F171" t="s">
        <v>58</v>
      </c>
      <c r="H171" t="s">
        <v>2352</v>
      </c>
      <c r="I171" t="s">
        <v>5149</v>
      </c>
      <c r="J171" t="s">
        <v>5093</v>
      </c>
      <c r="K171" t="s">
        <v>5150</v>
      </c>
      <c r="L171" t="s">
        <v>5151</v>
      </c>
      <c r="M171" s="2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3">
        <v>46006</v>
      </c>
      <c r="C172" s="5">
        <v>0.47729166666666667</v>
      </c>
      <c r="D172" s="1" t="s">
        <v>226</v>
      </c>
      <c r="E172" t="s">
        <v>5045</v>
      </c>
      <c r="F172" t="s">
        <v>58</v>
      </c>
      <c r="H172" t="s">
        <v>2352</v>
      </c>
      <c r="I172" t="s">
        <v>5152</v>
      </c>
      <c r="J172" t="s">
        <v>5093</v>
      </c>
      <c r="K172" t="s">
        <v>5153</v>
      </c>
      <c r="L172" t="s">
        <v>5154</v>
      </c>
      <c r="M172" s="2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3">
        <v>46006</v>
      </c>
      <c r="C173" s="5">
        <v>0.47780092592592593</v>
      </c>
      <c r="D173" s="1" t="s">
        <v>226</v>
      </c>
      <c r="E173" t="s">
        <v>5045</v>
      </c>
      <c r="F173" t="s">
        <v>58</v>
      </c>
      <c r="H173" t="s">
        <v>1287</v>
      </c>
      <c r="I173" t="s">
        <v>5155</v>
      </c>
      <c r="J173" t="s">
        <v>5093</v>
      </c>
      <c r="K173" t="s">
        <v>5156</v>
      </c>
      <c r="L173" t="s">
        <v>5157</v>
      </c>
      <c r="M173" s="2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3">
        <v>46006</v>
      </c>
      <c r="C174" s="5">
        <v>0.47162037037037036</v>
      </c>
      <c r="D174" s="1" t="s">
        <v>226</v>
      </c>
      <c r="E174" t="s">
        <v>5045</v>
      </c>
      <c r="F174" t="s">
        <v>58</v>
      </c>
      <c r="H174" t="s">
        <v>2352</v>
      </c>
      <c r="I174" t="s">
        <v>5140</v>
      </c>
      <c r="J174" t="s">
        <v>5093</v>
      </c>
      <c r="K174" t="s">
        <v>5141</v>
      </c>
      <c r="L174" t="s">
        <v>5142</v>
      </c>
      <c r="M174" s="2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3">
        <v>46006</v>
      </c>
      <c r="C175" s="5">
        <v>0.47537037037037039</v>
      </c>
      <c r="D175" s="1" t="s">
        <v>226</v>
      </c>
      <c r="E175" t="s">
        <v>5045</v>
      </c>
      <c r="F175" t="s">
        <v>58</v>
      </c>
      <c r="H175" t="s">
        <v>5211</v>
      </c>
      <c r="I175" t="s">
        <v>5143</v>
      </c>
      <c r="J175" t="s">
        <v>5093</v>
      </c>
      <c r="K175" t="s">
        <v>5144</v>
      </c>
      <c r="L175" t="s">
        <v>5145</v>
      </c>
      <c r="M175" s="2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3">
        <v>46006</v>
      </c>
      <c r="C176" s="5">
        <v>0.47547453703703701</v>
      </c>
      <c r="D176" s="1" t="s">
        <v>226</v>
      </c>
      <c r="E176" t="s">
        <v>5045</v>
      </c>
      <c r="F176" t="s">
        <v>58</v>
      </c>
      <c r="H176" t="s">
        <v>2352</v>
      </c>
      <c r="I176" t="s">
        <v>5146</v>
      </c>
      <c r="J176" t="s">
        <v>5093</v>
      </c>
      <c r="K176" t="s">
        <v>5147</v>
      </c>
      <c r="L176" t="s">
        <v>5148</v>
      </c>
      <c r="M176" s="2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3">
        <v>46006</v>
      </c>
      <c r="C177" s="5">
        <v>0.47806712962962961</v>
      </c>
      <c r="D177" s="1" t="s">
        <v>226</v>
      </c>
      <c r="E177" t="s">
        <v>5045</v>
      </c>
      <c r="F177" t="s">
        <v>58</v>
      </c>
      <c r="H177" t="s">
        <v>2352</v>
      </c>
      <c r="I177" t="s">
        <v>5158</v>
      </c>
      <c r="J177" t="s">
        <v>5093</v>
      </c>
      <c r="K177" t="s">
        <v>5159</v>
      </c>
      <c r="L177" t="s">
        <v>5160</v>
      </c>
      <c r="M177" s="2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3">
        <v>46006</v>
      </c>
      <c r="C178" s="5">
        <v>0.4783101851851852</v>
      </c>
      <c r="D178" s="1" t="s">
        <v>226</v>
      </c>
      <c r="E178" t="s">
        <v>5045</v>
      </c>
      <c r="F178" t="s">
        <v>58</v>
      </c>
      <c r="H178" t="s">
        <v>2352</v>
      </c>
      <c r="I178" t="s">
        <v>5161</v>
      </c>
      <c r="J178" t="s">
        <v>5093</v>
      </c>
      <c r="K178" t="s">
        <v>5162</v>
      </c>
      <c r="L178" t="s">
        <v>5163</v>
      </c>
      <c r="M178" s="2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3">
        <v>46006</v>
      </c>
      <c r="C179" s="5">
        <v>0.47834490740740743</v>
      </c>
      <c r="D179" s="1" t="s">
        <v>226</v>
      </c>
      <c r="E179" t="s">
        <v>5045</v>
      </c>
      <c r="F179" t="s">
        <v>58</v>
      </c>
      <c r="H179" t="s">
        <v>2352</v>
      </c>
      <c r="I179" t="s">
        <v>5164</v>
      </c>
      <c r="J179" t="s">
        <v>5093</v>
      </c>
      <c r="K179" t="s">
        <v>5165</v>
      </c>
      <c r="L179" t="s">
        <v>5166</v>
      </c>
      <c r="M179" s="2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3">
        <v>46006</v>
      </c>
      <c r="C180" s="5">
        <v>0.61089120370370376</v>
      </c>
      <c r="D180" s="1" t="s">
        <v>226</v>
      </c>
      <c r="E180" t="s">
        <v>5212</v>
      </c>
      <c r="F180" t="s">
        <v>892</v>
      </c>
      <c r="G180">
        <v>2</v>
      </c>
      <c r="I180" t="s">
        <v>5173</v>
      </c>
      <c r="J180" t="s">
        <v>5093</v>
      </c>
      <c r="K180" t="s">
        <v>5174</v>
      </c>
      <c r="L180" t="s">
        <v>5175</v>
      </c>
      <c r="M180" s="2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3">
        <v>46006</v>
      </c>
      <c r="C181" s="5">
        <v>0.47047453703703701</v>
      </c>
      <c r="D181" s="1" t="s">
        <v>226</v>
      </c>
      <c r="E181" t="s">
        <v>5045</v>
      </c>
      <c r="F181" t="s">
        <v>58</v>
      </c>
      <c r="H181" t="s">
        <v>2352</v>
      </c>
      <c r="I181" t="s">
        <v>5137</v>
      </c>
      <c r="J181" t="s">
        <v>5093</v>
      </c>
      <c r="K181" t="s">
        <v>5138</v>
      </c>
      <c r="L181" t="s">
        <v>5139</v>
      </c>
      <c r="M181" s="2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3">
        <v>46006</v>
      </c>
      <c r="C182" s="5">
        <v>0.46650462962962963</v>
      </c>
      <c r="D182" s="1" t="s">
        <v>226</v>
      </c>
      <c r="E182" t="s">
        <v>5045</v>
      </c>
      <c r="F182" t="s">
        <v>58</v>
      </c>
      <c r="H182" t="s">
        <v>2352</v>
      </c>
      <c r="I182" t="s">
        <v>5107</v>
      </c>
      <c r="J182" t="s">
        <v>5093</v>
      </c>
      <c r="K182" t="s">
        <v>5108</v>
      </c>
      <c r="L182" t="s">
        <v>5109</v>
      </c>
      <c r="M182" s="2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3">
        <v>46006</v>
      </c>
      <c r="C183" s="5">
        <v>0.46740740740740738</v>
      </c>
      <c r="D183" s="1" t="s">
        <v>226</v>
      </c>
      <c r="E183" t="s">
        <v>5045</v>
      </c>
      <c r="F183" t="s">
        <v>58</v>
      </c>
      <c r="H183" t="s">
        <v>2352</v>
      </c>
      <c r="I183" t="s">
        <v>5110</v>
      </c>
      <c r="J183" t="s">
        <v>5093</v>
      </c>
      <c r="K183" t="s">
        <v>5111</v>
      </c>
      <c r="L183" t="s">
        <v>5112</v>
      </c>
      <c r="M183" s="2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3">
        <v>46006</v>
      </c>
      <c r="C184" s="5">
        <v>0.46766203703703701</v>
      </c>
      <c r="D184" s="1" t="s">
        <v>226</v>
      </c>
      <c r="E184" t="s">
        <v>5045</v>
      </c>
      <c r="F184" t="s">
        <v>58</v>
      </c>
      <c r="H184" t="s">
        <v>2352</v>
      </c>
      <c r="I184" t="s">
        <v>5113</v>
      </c>
      <c r="J184" t="s">
        <v>5093</v>
      </c>
      <c r="K184" t="s">
        <v>5114</v>
      </c>
      <c r="L184" t="s">
        <v>5115</v>
      </c>
      <c r="M184" s="2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3">
        <v>46006</v>
      </c>
      <c r="C185" s="5">
        <v>0.51274305555555555</v>
      </c>
      <c r="D185" s="1" t="s">
        <v>226</v>
      </c>
      <c r="E185" t="s">
        <v>70</v>
      </c>
      <c r="F185" t="s">
        <v>5056</v>
      </c>
      <c r="I185" t="s">
        <v>5027</v>
      </c>
      <c r="J185" t="s">
        <v>5026</v>
      </c>
      <c r="K185" t="s">
        <v>5028</v>
      </c>
      <c r="L185" t="s">
        <v>5029</v>
      </c>
      <c r="M185" s="2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3">
        <v>46006</v>
      </c>
      <c r="C186" s="5">
        <v>0.46620370370370373</v>
      </c>
      <c r="D186" s="1" t="s">
        <v>226</v>
      </c>
      <c r="E186" t="s">
        <v>5045</v>
      </c>
      <c r="F186" t="s">
        <v>58</v>
      </c>
      <c r="H186" t="s">
        <v>1287</v>
      </c>
      <c r="I186" t="s">
        <v>5101</v>
      </c>
      <c r="J186" t="s">
        <v>5093</v>
      </c>
      <c r="K186" t="s">
        <v>5102</v>
      </c>
      <c r="L186" t="s">
        <v>5103</v>
      </c>
      <c r="M186" s="2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3">
        <v>46006</v>
      </c>
      <c r="C187" s="5">
        <v>0.46644675925925927</v>
      </c>
      <c r="D187" s="1" t="s">
        <v>226</v>
      </c>
      <c r="E187" t="s">
        <v>5045</v>
      </c>
      <c r="F187" t="s">
        <v>58</v>
      </c>
      <c r="H187" t="s">
        <v>2352</v>
      </c>
      <c r="I187" t="s">
        <v>5104</v>
      </c>
      <c r="J187" t="s">
        <v>5093</v>
      </c>
      <c r="K187" t="s">
        <v>5105</v>
      </c>
      <c r="L187" t="s">
        <v>5106</v>
      </c>
      <c r="M187" s="2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3">
        <v>46006</v>
      </c>
      <c r="C188" s="5">
        <v>0.46770833333333334</v>
      </c>
      <c r="D188" s="1" t="s">
        <v>226</v>
      </c>
      <c r="E188" t="s">
        <v>5045</v>
      </c>
      <c r="F188" t="s">
        <v>58</v>
      </c>
      <c r="H188" t="s">
        <v>2352</v>
      </c>
      <c r="I188" t="s">
        <v>5116</v>
      </c>
      <c r="J188" t="s">
        <v>5093</v>
      </c>
      <c r="K188" t="s">
        <v>5117</v>
      </c>
      <c r="L188" t="s">
        <v>5118</v>
      </c>
      <c r="M188" s="2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3">
        <v>46006</v>
      </c>
      <c r="C189" s="5">
        <v>0.46927083333333336</v>
      </c>
      <c r="D189" s="1" t="s">
        <v>226</v>
      </c>
      <c r="E189" t="s">
        <v>5045</v>
      </c>
      <c r="F189" t="s">
        <v>58</v>
      </c>
      <c r="H189" t="s">
        <v>2352</v>
      </c>
      <c r="I189" t="s">
        <v>5128</v>
      </c>
      <c r="J189" t="s">
        <v>5093</v>
      </c>
      <c r="K189" t="s">
        <v>5129</v>
      </c>
      <c r="L189" t="s">
        <v>5130</v>
      </c>
      <c r="M189" s="2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3">
        <v>46006</v>
      </c>
      <c r="C190" s="5">
        <v>0.47002314814814816</v>
      </c>
      <c r="D190" s="1" t="s">
        <v>226</v>
      </c>
      <c r="E190" t="s">
        <v>5045</v>
      </c>
      <c r="F190" t="s">
        <v>58</v>
      </c>
      <c r="H190" t="s">
        <v>2352</v>
      </c>
      <c r="I190" t="s">
        <v>5131</v>
      </c>
      <c r="J190" t="s">
        <v>5093</v>
      </c>
      <c r="K190" t="s">
        <v>5132</v>
      </c>
      <c r="L190" t="s">
        <v>5133</v>
      </c>
      <c r="M190" s="2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3">
        <v>46006</v>
      </c>
      <c r="C191" s="5">
        <v>0.47033564814814816</v>
      </c>
      <c r="D191" s="1" t="s">
        <v>226</v>
      </c>
      <c r="E191" t="s">
        <v>5045</v>
      </c>
      <c r="F191" t="s">
        <v>58</v>
      </c>
      <c r="H191" t="s">
        <v>2352</v>
      </c>
      <c r="I191" t="s">
        <v>5134</v>
      </c>
      <c r="J191" t="s">
        <v>5093</v>
      </c>
      <c r="K191" t="s">
        <v>5135</v>
      </c>
      <c r="L191" t="s">
        <v>5136</v>
      </c>
      <c r="M191" s="2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3">
        <v>46006</v>
      </c>
      <c r="C192" s="5">
        <v>0.46807870370370369</v>
      </c>
      <c r="D192" s="1" t="s">
        <v>226</v>
      </c>
      <c r="E192" t="s">
        <v>5045</v>
      </c>
      <c r="F192" t="s">
        <v>58</v>
      </c>
      <c r="H192" t="s">
        <v>2352</v>
      </c>
      <c r="I192" t="s">
        <v>5119</v>
      </c>
      <c r="J192" t="s">
        <v>5093</v>
      </c>
      <c r="K192" t="s">
        <v>5120</v>
      </c>
      <c r="L192" t="s">
        <v>5121</v>
      </c>
      <c r="M192" s="2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3">
        <v>46006</v>
      </c>
      <c r="C193" s="5">
        <v>0.46834490740740742</v>
      </c>
      <c r="D193" s="1" t="s">
        <v>226</v>
      </c>
      <c r="E193" t="s">
        <v>5045</v>
      </c>
      <c r="F193" t="s">
        <v>58</v>
      </c>
      <c r="H193" t="s">
        <v>2352</v>
      </c>
      <c r="I193" t="s">
        <v>5122</v>
      </c>
      <c r="J193" t="s">
        <v>5093</v>
      </c>
      <c r="K193" t="s">
        <v>5123</v>
      </c>
      <c r="L193" t="s">
        <v>5124</v>
      </c>
      <c r="M193" s="2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3">
        <v>46006</v>
      </c>
      <c r="C194" s="5">
        <v>0.4692013888888889</v>
      </c>
      <c r="D194" s="1" t="s">
        <v>226</v>
      </c>
      <c r="E194" t="s">
        <v>5045</v>
      </c>
      <c r="F194" t="s">
        <v>58</v>
      </c>
      <c r="H194" t="s">
        <v>2352</v>
      </c>
      <c r="I194" t="s">
        <v>5125</v>
      </c>
      <c r="J194" t="s">
        <v>5093</v>
      </c>
      <c r="K194" t="s">
        <v>5126</v>
      </c>
      <c r="L194" t="s">
        <v>5127</v>
      </c>
      <c r="M194" s="2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t="s">
        <v>5229</v>
      </c>
      <c r="J195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0.50045138888888885</v>
      </c>
      <c r="D196" s="1" t="s">
        <v>226</v>
      </c>
      <c r="E196" t="s">
        <v>70</v>
      </c>
      <c r="F196" t="s">
        <v>58</v>
      </c>
      <c r="H196" t="s">
        <v>1285</v>
      </c>
      <c r="I196" t="s">
        <v>5967</v>
      </c>
      <c r="J196" t="s">
        <v>5093</v>
      </c>
      <c r="K196" t="s">
        <v>5968</v>
      </c>
      <c r="L196" t="s">
        <v>5969</v>
      </c>
      <c r="M196" s="2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3">
        <v>46016</v>
      </c>
      <c r="C197" s="5">
        <v>0.50079861111111112</v>
      </c>
      <c r="D197" s="1" t="s">
        <v>226</v>
      </c>
      <c r="E197" t="s">
        <v>70</v>
      </c>
      <c r="F197" t="s">
        <v>58</v>
      </c>
      <c r="H197" t="s">
        <v>2352</v>
      </c>
      <c r="I197" t="s">
        <v>5970</v>
      </c>
      <c r="J197" t="s">
        <v>5093</v>
      </c>
      <c r="K197" t="s">
        <v>5971</v>
      </c>
      <c r="L197" t="s">
        <v>5972</v>
      </c>
      <c r="M197" s="2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t="s">
        <v>5973</v>
      </c>
      <c r="J198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0.50189814814814815</v>
      </c>
      <c r="D199" s="1" t="s">
        <v>226</v>
      </c>
      <c r="E199" t="s">
        <v>70</v>
      </c>
      <c r="F199" t="s">
        <v>58</v>
      </c>
      <c r="H199" t="s">
        <v>2352</v>
      </c>
      <c r="I199" t="s">
        <v>5976</v>
      </c>
      <c r="J199" t="s">
        <v>5093</v>
      </c>
      <c r="K199" t="s">
        <v>5977</v>
      </c>
      <c r="L199" t="s">
        <v>5978</v>
      </c>
      <c r="M199" s="2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3">
        <v>46016</v>
      </c>
      <c r="C200" s="5">
        <v>0.50423611111111111</v>
      </c>
      <c r="D200" s="1" t="s">
        <v>226</v>
      </c>
      <c r="E200" t="s">
        <v>70</v>
      </c>
      <c r="F200" t="s">
        <v>58</v>
      </c>
      <c r="H200" t="s">
        <v>2352</v>
      </c>
      <c r="I200" t="s">
        <v>5979</v>
      </c>
      <c r="J200" t="s">
        <v>5093</v>
      </c>
      <c r="K200" t="s">
        <v>5980</v>
      </c>
      <c r="L200" t="s">
        <v>5981</v>
      </c>
      <c r="M200" s="2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3">
        <v>46017</v>
      </c>
      <c r="C201" s="5">
        <v>0.40710648148148149</v>
      </c>
      <c r="D201" s="1" t="s">
        <v>226</v>
      </c>
      <c r="E201" t="s">
        <v>2343</v>
      </c>
      <c r="F201" t="s">
        <v>5697</v>
      </c>
      <c r="I201" t="s">
        <v>6248</v>
      </c>
      <c r="J201" t="s">
        <v>2402</v>
      </c>
      <c r="K201" t="s">
        <v>6249</v>
      </c>
      <c r="L201" t="s">
        <v>6250</v>
      </c>
      <c r="M201" s="2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t="s">
        <v>6251</v>
      </c>
      <c r="J202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0.40768518518518521</v>
      </c>
      <c r="D203" s="1" t="s">
        <v>226</v>
      </c>
      <c r="E203" t="s">
        <v>2343</v>
      </c>
      <c r="F203" t="s">
        <v>5697</v>
      </c>
      <c r="H203" t="s">
        <v>2352</v>
      </c>
      <c r="I203" t="s">
        <v>6254</v>
      </c>
      <c r="J203" t="s">
        <v>2402</v>
      </c>
      <c r="K203" t="s">
        <v>6255</v>
      </c>
      <c r="L203" t="s">
        <v>6256</v>
      </c>
      <c r="M203" s="2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t="s">
        <v>6570</v>
      </c>
      <c r="J204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0.41230324074074076</v>
      </c>
      <c r="D205" s="1" t="s">
        <v>226</v>
      </c>
      <c r="E205" t="s">
        <v>7341</v>
      </c>
      <c r="F205" t="s">
        <v>7342</v>
      </c>
      <c r="H205" t="s">
        <v>2352</v>
      </c>
      <c r="I205" t="s">
        <v>7186</v>
      </c>
      <c r="J205" t="s">
        <v>7181</v>
      </c>
      <c r="K205" t="s">
        <v>7187</v>
      </c>
      <c r="L205" t="s">
        <v>7188</v>
      </c>
      <c r="M205" s="2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3">
        <v>46035</v>
      </c>
      <c r="C206" s="5">
        <v>0.41223379629629631</v>
      </c>
      <c r="D206" s="1" t="s">
        <v>226</v>
      </c>
      <c r="E206" t="s">
        <v>7341</v>
      </c>
      <c r="F206" t="s">
        <v>7342</v>
      </c>
      <c r="I206" t="s">
        <v>7183</v>
      </c>
      <c r="J206" t="s">
        <v>7181</v>
      </c>
      <c r="K206" t="s">
        <v>7184</v>
      </c>
      <c r="L206" t="s">
        <v>7185</v>
      </c>
      <c r="M206" s="2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t="s">
        <v>7598</v>
      </c>
      <c r="J207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0.59203703703703703</v>
      </c>
      <c r="D208" s="1" t="s">
        <v>226</v>
      </c>
      <c r="E208" t="s">
        <v>6679</v>
      </c>
      <c r="F208" t="s">
        <v>58</v>
      </c>
      <c r="H208" t="s">
        <v>8372</v>
      </c>
      <c r="I208" t="s">
        <v>8332</v>
      </c>
      <c r="J208" t="s">
        <v>2397</v>
      </c>
      <c r="K208" t="s">
        <v>8333</v>
      </c>
      <c r="L208" t="s">
        <v>8334</v>
      </c>
      <c r="M208" s="2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t="s">
        <v>8317</v>
      </c>
      <c r="J20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0.45423611111111112</v>
      </c>
      <c r="D210" s="1" t="s">
        <v>226</v>
      </c>
      <c r="E210" t="s">
        <v>6679</v>
      </c>
      <c r="F210" t="s">
        <v>58</v>
      </c>
      <c r="H210" t="s">
        <v>2352</v>
      </c>
      <c r="I210" t="s">
        <v>8320</v>
      </c>
      <c r="J210" t="s">
        <v>2404</v>
      </c>
      <c r="K210" t="s">
        <v>8321</v>
      </c>
      <c r="L210" t="s">
        <v>8322</v>
      </c>
      <c r="M210" s="2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3">
        <v>46051</v>
      </c>
      <c r="C211" s="5">
        <v>0.47310185185185183</v>
      </c>
      <c r="D211" s="1" t="s">
        <v>226</v>
      </c>
      <c r="E211" t="s">
        <v>8714</v>
      </c>
      <c r="F211" t="s">
        <v>2345</v>
      </c>
      <c r="G211">
        <v>1</v>
      </c>
      <c r="I211" t="s">
        <v>8539</v>
      </c>
      <c r="J211" t="s">
        <v>2401</v>
      </c>
      <c r="K211" t="s">
        <v>8540</v>
      </c>
      <c r="L211" t="s">
        <v>8541</v>
      </c>
      <c r="M211" s="2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3">
        <v>46051</v>
      </c>
      <c r="C212" s="5">
        <v>0.47327546296296297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t="s">
        <v>8542</v>
      </c>
      <c r="J212" t="s">
        <v>2401</v>
      </c>
      <c r="K212" t="s">
        <v>8543</v>
      </c>
      <c r="L212" t="s">
        <v>8544</v>
      </c>
      <c r="M212" s="2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3">
        <v>46051</v>
      </c>
      <c r="C213" s="5">
        <v>0.47359953703703705</v>
      </c>
      <c r="D213" s="1" t="s">
        <v>226</v>
      </c>
      <c r="E213" t="s">
        <v>8714</v>
      </c>
      <c r="F213" t="s">
        <v>2345</v>
      </c>
      <c r="G213">
        <v>1</v>
      </c>
      <c r="H213" t="s">
        <v>2352</v>
      </c>
      <c r="I213" t="s">
        <v>8545</v>
      </c>
      <c r="J213" t="s">
        <v>2401</v>
      </c>
      <c r="K213" t="s">
        <v>8546</v>
      </c>
      <c r="L213" t="s">
        <v>8547</v>
      </c>
      <c r="M213" s="2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3">
        <v>46051</v>
      </c>
      <c r="C214" s="5">
        <v>0.4737615740740741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t="s">
        <v>8548</v>
      </c>
      <c r="J214" t="s">
        <v>2401</v>
      </c>
      <c r="K214" t="s">
        <v>8549</v>
      </c>
      <c r="L214" t="s">
        <v>8550</v>
      </c>
      <c r="M214" s="2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3">
        <v>46052</v>
      </c>
      <c r="C215" s="5">
        <v>0.38785879629629627</v>
      </c>
      <c r="D215" s="1" t="s">
        <v>226</v>
      </c>
      <c r="E215" t="s">
        <v>70</v>
      </c>
      <c r="F215" t="s">
        <v>4087</v>
      </c>
      <c r="I215" t="s">
        <v>8735</v>
      </c>
      <c r="J215" t="s">
        <v>2403</v>
      </c>
      <c r="K215" t="s">
        <v>8736</v>
      </c>
      <c r="L215" t="s">
        <v>8737</v>
      </c>
      <c r="M215" s="2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3">
        <v>46052</v>
      </c>
      <c r="C216" s="5">
        <v>0.38319444444444445</v>
      </c>
      <c r="D216" s="1" t="s">
        <v>226</v>
      </c>
      <c r="E216" t="s">
        <v>70</v>
      </c>
      <c r="F216" t="s">
        <v>8811</v>
      </c>
      <c r="I216" t="s">
        <v>8771</v>
      </c>
      <c r="J216" t="s">
        <v>2397</v>
      </c>
      <c r="K216" t="s">
        <v>8772</v>
      </c>
      <c r="L216" t="s">
        <v>8773</v>
      </c>
      <c r="M216" s="2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t="s">
        <v>8774</v>
      </c>
      <c r="J217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0.38341435185185185</v>
      </c>
      <c r="D218" s="1" t="s">
        <v>226</v>
      </c>
      <c r="E218" t="s">
        <v>70</v>
      </c>
      <c r="F218" t="s">
        <v>8811</v>
      </c>
      <c r="H218" t="s">
        <v>2352</v>
      </c>
      <c r="I218" t="s">
        <v>8777</v>
      </c>
      <c r="J218" t="s">
        <v>2397</v>
      </c>
      <c r="K218" t="s">
        <v>8778</v>
      </c>
      <c r="L218" t="s">
        <v>8779</v>
      </c>
      <c r="M218" s="2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3">
        <v>46052</v>
      </c>
      <c r="C219" s="5">
        <v>0.38377314814814817</v>
      </c>
      <c r="D219" s="1" t="s">
        <v>226</v>
      </c>
      <c r="E219" t="s">
        <v>70</v>
      </c>
      <c r="F219" t="s">
        <v>8811</v>
      </c>
      <c r="H219" t="s">
        <v>2352</v>
      </c>
      <c r="I219" t="s">
        <v>8780</v>
      </c>
      <c r="J219" t="s">
        <v>2397</v>
      </c>
      <c r="K219" t="s">
        <v>8781</v>
      </c>
      <c r="L219" t="s">
        <v>8782</v>
      </c>
      <c r="M219" s="2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3">
        <v>46053</v>
      </c>
      <c r="C220" s="5">
        <v>0.49326388888888889</v>
      </c>
      <c r="D220" s="1" t="s">
        <v>226</v>
      </c>
      <c r="E220" t="s">
        <v>8912</v>
      </c>
      <c r="F220" t="s">
        <v>5695</v>
      </c>
      <c r="G220">
        <v>1</v>
      </c>
      <c r="I220" t="s">
        <v>8867</v>
      </c>
      <c r="J220" t="s">
        <v>2397</v>
      </c>
      <c r="K220" t="s">
        <v>8868</v>
      </c>
      <c r="L220" t="s">
        <v>8869</v>
      </c>
      <c r="M220" s="2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3">
        <v>46053</v>
      </c>
      <c r="C221" s="5">
        <v>0.49449074074074073</v>
      </c>
      <c r="D221" s="1" t="s">
        <v>226</v>
      </c>
      <c r="E221" t="s">
        <v>8912</v>
      </c>
      <c r="F221" t="s">
        <v>5695</v>
      </c>
      <c r="G221">
        <v>1</v>
      </c>
      <c r="I221" t="s">
        <v>8870</v>
      </c>
      <c r="J221" t="s">
        <v>2397</v>
      </c>
      <c r="K221" t="s">
        <v>8871</v>
      </c>
      <c r="L221" t="s">
        <v>8872</v>
      </c>
      <c r="M221" s="2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3">
        <v>46053</v>
      </c>
      <c r="C222" s="5">
        <v>0.49556712962962962</v>
      </c>
      <c r="D222" s="1" t="s">
        <v>226</v>
      </c>
      <c r="E222" t="s">
        <v>8912</v>
      </c>
      <c r="F222" t="s">
        <v>5695</v>
      </c>
      <c r="G222">
        <v>1</v>
      </c>
      <c r="I222" t="s">
        <v>8873</v>
      </c>
      <c r="J222" t="s">
        <v>2397</v>
      </c>
      <c r="K222" t="s">
        <v>8874</v>
      </c>
      <c r="L222" t="s">
        <v>8875</v>
      </c>
      <c r="M222" s="2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3">
        <v>46053</v>
      </c>
      <c r="C223" s="5">
        <v>0.49659722222222225</v>
      </c>
      <c r="D223" s="1" t="s">
        <v>226</v>
      </c>
      <c r="E223" t="s">
        <v>8912</v>
      </c>
      <c r="F223" t="s">
        <v>5695</v>
      </c>
      <c r="G223">
        <v>1</v>
      </c>
      <c r="I223" t="s">
        <v>8876</v>
      </c>
      <c r="J223" t="s">
        <v>2397</v>
      </c>
      <c r="K223" t="s">
        <v>8877</v>
      </c>
      <c r="L223" t="s">
        <v>8878</v>
      </c>
      <c r="M223" s="2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3">
        <v>46053</v>
      </c>
      <c r="C224" s="5">
        <v>0.49760416666666668</v>
      </c>
      <c r="D224" s="1" t="s">
        <v>226</v>
      </c>
      <c r="E224" t="s">
        <v>8912</v>
      </c>
      <c r="F224" t="s">
        <v>5695</v>
      </c>
      <c r="G224">
        <v>1</v>
      </c>
      <c r="I224" t="s">
        <v>8879</v>
      </c>
      <c r="J224" t="s">
        <v>2397</v>
      </c>
      <c r="K224" t="s">
        <v>8880</v>
      </c>
      <c r="L224" t="s">
        <v>8881</v>
      </c>
      <c r="M224" s="2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t="s">
        <v>8882</v>
      </c>
      <c r="J225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0.49983796296296296</v>
      </c>
      <c r="D226" s="1" t="s">
        <v>226</v>
      </c>
      <c r="E226" t="s">
        <v>8912</v>
      </c>
      <c r="F226" t="s">
        <v>5695</v>
      </c>
      <c r="G226">
        <v>1</v>
      </c>
      <c r="I226" t="s">
        <v>8885</v>
      </c>
      <c r="J226" t="s">
        <v>2397</v>
      </c>
      <c r="K226" t="s">
        <v>8886</v>
      </c>
      <c r="L226" t="s">
        <v>8887</v>
      </c>
      <c r="M226" s="2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3">
        <v>46053</v>
      </c>
      <c r="C227" s="5">
        <v>0.50087962962962962</v>
      </c>
      <c r="D227" s="1" t="s">
        <v>226</v>
      </c>
      <c r="E227" t="s">
        <v>8912</v>
      </c>
      <c r="F227" t="s">
        <v>5695</v>
      </c>
      <c r="G227">
        <v>1</v>
      </c>
      <c r="I227" t="s">
        <v>8888</v>
      </c>
      <c r="J227" t="s">
        <v>2397</v>
      </c>
      <c r="K227" t="s">
        <v>8889</v>
      </c>
      <c r="L227" t="s">
        <v>8890</v>
      </c>
      <c r="M227" s="2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3">
        <v>46053</v>
      </c>
      <c r="C228" s="5">
        <v>0.50236111111111115</v>
      </c>
      <c r="D228" s="1" t="s">
        <v>226</v>
      </c>
      <c r="E228" t="s">
        <v>8912</v>
      </c>
      <c r="F228" t="s">
        <v>5695</v>
      </c>
      <c r="G228">
        <v>1</v>
      </c>
      <c r="I228" t="s">
        <v>8891</v>
      </c>
      <c r="J228" t="s">
        <v>2397</v>
      </c>
      <c r="K228" t="s">
        <v>8892</v>
      </c>
      <c r="L228" t="s">
        <v>8893</v>
      </c>
      <c r="M228" s="2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3">
        <v>46053</v>
      </c>
      <c r="C229" s="5">
        <v>0.50332175925925926</v>
      </c>
      <c r="D229" s="1" t="s">
        <v>226</v>
      </c>
      <c r="E229" t="s">
        <v>8912</v>
      </c>
      <c r="F229" t="s">
        <v>5695</v>
      </c>
      <c r="G229">
        <v>1</v>
      </c>
      <c r="I229" t="s">
        <v>8894</v>
      </c>
      <c r="J229" t="s">
        <v>2397</v>
      </c>
      <c r="K229" t="s">
        <v>8895</v>
      </c>
      <c r="L229" t="s">
        <v>8896</v>
      </c>
      <c r="M229" s="2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3">
        <v>46053</v>
      </c>
      <c r="C230" s="5">
        <v>0.50494212962962959</v>
      </c>
      <c r="D230" s="1" t="s">
        <v>226</v>
      </c>
      <c r="E230" t="s">
        <v>8912</v>
      </c>
      <c r="F230" t="s">
        <v>5695</v>
      </c>
      <c r="G230">
        <v>1</v>
      </c>
      <c r="I230" t="s">
        <v>8897</v>
      </c>
      <c r="J230" t="s">
        <v>2397</v>
      </c>
      <c r="K230" t="s">
        <v>8898</v>
      </c>
      <c r="L230" t="s">
        <v>8899</v>
      </c>
      <c r="M230" s="2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3">
        <v>46056</v>
      </c>
      <c r="C231" s="5">
        <v>0.79167824074074078</v>
      </c>
      <c r="D231" s="1" t="s">
        <v>226</v>
      </c>
      <c r="E231" t="s">
        <v>4940</v>
      </c>
      <c r="F231" t="s">
        <v>9130</v>
      </c>
      <c r="I231" t="s">
        <v>8967</v>
      </c>
      <c r="J231" t="s">
        <v>2403</v>
      </c>
      <c r="K231" t="s">
        <v>8968</v>
      </c>
      <c r="L231" t="s">
        <v>8969</v>
      </c>
      <c r="M231" s="2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3">
        <v>46056</v>
      </c>
      <c r="C232" s="5">
        <v>0.79401620370370374</v>
      </c>
      <c r="D232" s="1" t="s">
        <v>226</v>
      </c>
      <c r="E232" t="s">
        <v>4940</v>
      </c>
      <c r="F232" t="s">
        <v>9130</v>
      </c>
      <c r="I232" t="s">
        <v>8970</v>
      </c>
      <c r="J232" t="s">
        <v>2403</v>
      </c>
      <c r="K232" t="s">
        <v>8971</v>
      </c>
      <c r="L232" t="s">
        <v>8972</v>
      </c>
      <c r="M232" s="2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t="s">
        <v>9256</v>
      </c>
      <c r="J233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0.60603009259259255</v>
      </c>
      <c r="D234" s="1" t="s">
        <v>226</v>
      </c>
      <c r="E234" t="s">
        <v>10132</v>
      </c>
      <c r="F234" t="s">
        <v>469</v>
      </c>
      <c r="H234" t="s">
        <v>10135</v>
      </c>
      <c r="I234" t="s">
        <v>10057</v>
      </c>
      <c r="J234" t="s">
        <v>2400</v>
      </c>
      <c r="K234" t="s">
        <v>10058</v>
      </c>
      <c r="L234" t="s">
        <v>10059</v>
      </c>
      <c r="M234" s="2" t="str">
        <f>HYPERLINK(Таблица3[[#This Row],[RelativePath]])</f>
        <v>13 Склад хол\K07156189_23_20260219T143241Z.jpg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t="s">
        <v>10060</v>
      </c>
      <c r="J235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0.60662037037037042</v>
      </c>
      <c r="D236" s="1" t="s">
        <v>226</v>
      </c>
      <c r="E236" t="s">
        <v>10132</v>
      </c>
      <c r="F236" t="s">
        <v>469</v>
      </c>
      <c r="H236" t="s">
        <v>10136</v>
      </c>
      <c r="I236" t="s">
        <v>10063</v>
      </c>
      <c r="J236" t="s">
        <v>2400</v>
      </c>
      <c r="K236" t="s">
        <v>10064</v>
      </c>
      <c r="L236" t="s">
        <v>10065</v>
      </c>
      <c r="M236" s="2" t="str">
        <f>HYPERLINK(Таблица3[[#This Row],[RelativePath]])</f>
        <v>13 Склад хол\K07156189_23_20260219T143332Z.jpg</v>
      </c>
    </row>
    <row r="237" spans="1:13" x14ac:dyDescent="0.25">
      <c r="A237" t="s">
        <v>13</v>
      </c>
      <c r="B237" s="3">
        <v>46076</v>
      </c>
      <c r="C237" s="5">
        <v>0.40337962962962964</v>
      </c>
      <c r="D237" s="1" t="s">
        <v>226</v>
      </c>
      <c r="E237" t="s">
        <v>10566</v>
      </c>
      <c r="F237" t="s">
        <v>586</v>
      </c>
      <c r="H237" t="s">
        <v>2352</v>
      </c>
      <c r="I237" t="s">
        <v>10499</v>
      </c>
      <c r="J237" t="s">
        <v>2395</v>
      </c>
      <c r="K237" t="s">
        <v>10500</v>
      </c>
      <c r="L237" t="s">
        <v>10501</v>
      </c>
      <c r="M237" s="2" t="str">
        <f>HYPERLINK(Таблица3[[#This Row],[RelativePath]])</f>
        <v>6 Площадка 1 общага\826398429_1_20260223T094052Z.jpg</v>
      </c>
    </row>
    <row r="238" spans="1:13" x14ac:dyDescent="0.25">
      <c r="A238" t="s">
        <v>13</v>
      </c>
      <c r="B238" s="3">
        <v>46076</v>
      </c>
      <c r="C238" s="5">
        <v>0.40519675925925924</v>
      </c>
      <c r="D238" s="1" t="s">
        <v>226</v>
      </c>
      <c r="E238" t="s">
        <v>10566</v>
      </c>
      <c r="F238" t="s">
        <v>586</v>
      </c>
      <c r="H238" t="s">
        <v>2352</v>
      </c>
      <c r="I238" t="s">
        <v>10502</v>
      </c>
      <c r="J238" t="s">
        <v>2395</v>
      </c>
      <c r="K238" t="s">
        <v>10503</v>
      </c>
      <c r="L238" t="s">
        <v>10504</v>
      </c>
      <c r="M238" s="2" t="str">
        <f>HYPERLINK(Таблица3[[#This Row],[RelativePath]])</f>
        <v>6 Площадка 1 общага\826398429_1_20260223T094329Z.jpg</v>
      </c>
    </row>
    <row r="239" spans="1:13" x14ac:dyDescent="0.25">
      <c r="A239" t="s">
        <v>13</v>
      </c>
      <c r="B239" s="3">
        <v>46076</v>
      </c>
      <c r="C239" s="5">
        <v>0.39706018518518521</v>
      </c>
      <c r="D239" s="1" t="s">
        <v>226</v>
      </c>
      <c r="E239" t="s">
        <v>10565</v>
      </c>
      <c r="F239" t="s">
        <v>586</v>
      </c>
      <c r="H239" t="s">
        <v>2352</v>
      </c>
      <c r="I239" t="s">
        <v>10493</v>
      </c>
      <c r="J239" t="s">
        <v>2395</v>
      </c>
      <c r="K239" t="s">
        <v>10494</v>
      </c>
      <c r="L239" t="s">
        <v>10495</v>
      </c>
      <c r="M239" s="2" t="str">
        <f>HYPERLINK(Таблица3[[#This Row],[RelativePath]])</f>
        <v>6 Площадка 1 общага\826398429_1_20260223T093146Z.jpg</v>
      </c>
    </row>
    <row r="240" spans="1:13" x14ac:dyDescent="0.25">
      <c r="A240" t="s">
        <v>13</v>
      </c>
      <c r="B240" s="3">
        <v>46076</v>
      </c>
      <c r="C240" s="5">
        <v>0.40009259259259261</v>
      </c>
      <c r="D240" s="1" t="s">
        <v>226</v>
      </c>
      <c r="E240" t="s">
        <v>10565</v>
      </c>
      <c r="F240" t="s">
        <v>586</v>
      </c>
      <c r="H240" t="s">
        <v>2352</v>
      </c>
      <c r="I240" t="s">
        <v>10496</v>
      </c>
      <c r="J240" t="s">
        <v>2395</v>
      </c>
      <c r="K240" t="s">
        <v>10497</v>
      </c>
      <c r="L240" t="s">
        <v>10498</v>
      </c>
      <c r="M240" s="2" t="str">
        <f>HYPERLINK(Таблица3[[#This Row],[RelativePath]])</f>
        <v>6 Площадка 1 общага\826398429_1_20260223T093608Z.jpg</v>
      </c>
    </row>
    <row r="241" spans="1:13" x14ac:dyDescent="0.25">
      <c r="A241" t="s">
        <v>13</v>
      </c>
      <c r="B241" s="3">
        <v>46076</v>
      </c>
      <c r="C241" s="5">
        <v>0.40694444444444444</v>
      </c>
      <c r="D241" s="1" t="s">
        <v>226</v>
      </c>
      <c r="E241" t="s">
        <v>10566</v>
      </c>
      <c r="F241" t="s">
        <v>586</v>
      </c>
      <c r="H241" t="s">
        <v>2352</v>
      </c>
      <c r="I241" t="s">
        <v>10505</v>
      </c>
      <c r="J241" t="s">
        <v>2395</v>
      </c>
      <c r="K241" t="s">
        <v>10506</v>
      </c>
      <c r="L241" t="s">
        <v>10507</v>
      </c>
      <c r="M241" s="2" t="str">
        <f>HYPERLINK(Таблица3[[#This Row],[RelativePath]])</f>
        <v>6 Площадка 1 общага\826398429_1_20260223T094600Z.jpg</v>
      </c>
    </row>
    <row r="242" spans="1:13" x14ac:dyDescent="0.25">
      <c r="A242" t="s">
        <v>13</v>
      </c>
      <c r="B242" s="3">
        <v>46076</v>
      </c>
      <c r="C242" s="5">
        <v>0.41336805555555556</v>
      </c>
      <c r="D242" s="1" t="s">
        <v>226</v>
      </c>
      <c r="E242" t="s">
        <v>10566</v>
      </c>
      <c r="F242" t="s">
        <v>586</v>
      </c>
      <c r="H242" t="s">
        <v>2352</v>
      </c>
      <c r="I242" t="s">
        <v>10514</v>
      </c>
      <c r="J242" t="s">
        <v>2395</v>
      </c>
      <c r="K242" t="s">
        <v>10515</v>
      </c>
      <c r="L242" t="s">
        <v>10516</v>
      </c>
      <c r="M242" s="2" t="str">
        <f>HYPERLINK(Таблица3[[#This Row],[RelativePath]])</f>
        <v>6 Площадка 1 общага\826398429_1_20260223T095515Z.jpg</v>
      </c>
    </row>
    <row r="243" spans="1:13" x14ac:dyDescent="0.25">
      <c r="A243" t="s">
        <v>13</v>
      </c>
      <c r="B243" s="3">
        <v>46076</v>
      </c>
      <c r="C243" s="5">
        <v>0.41523148148148148</v>
      </c>
      <c r="D243" s="1" t="s">
        <v>226</v>
      </c>
      <c r="E243" t="s">
        <v>10566</v>
      </c>
      <c r="F243" t="s">
        <v>586</v>
      </c>
      <c r="H243" t="s">
        <v>2352</v>
      </c>
      <c r="I243" t="s">
        <v>10517</v>
      </c>
      <c r="J243" t="s">
        <v>2395</v>
      </c>
      <c r="K243" t="s">
        <v>10518</v>
      </c>
      <c r="L243" t="s">
        <v>10519</v>
      </c>
      <c r="M243" s="2" t="str">
        <f>HYPERLINK(Таблица3[[#This Row],[RelativePath]])</f>
        <v>6 Площадка 1 общага\826398429_1_20260223T095756Z.jpg</v>
      </c>
    </row>
    <row r="244" spans="1:13" x14ac:dyDescent="0.25">
      <c r="A244" t="s">
        <v>13</v>
      </c>
      <c r="B244" s="3">
        <v>46076</v>
      </c>
      <c r="C244" s="5">
        <v>0.40980324074074076</v>
      </c>
      <c r="D244" s="1" t="s">
        <v>226</v>
      </c>
      <c r="E244" t="s">
        <v>10566</v>
      </c>
      <c r="F244" t="s">
        <v>586</v>
      </c>
      <c r="H244" t="s">
        <v>2352</v>
      </c>
      <c r="I244" t="s">
        <v>10508</v>
      </c>
      <c r="J244" t="s">
        <v>2395</v>
      </c>
      <c r="K244" t="s">
        <v>10509</v>
      </c>
      <c r="L244" t="s">
        <v>10510</v>
      </c>
      <c r="M244" s="2" t="str">
        <f>HYPERLINK(Таблица3[[#This Row],[RelativePath]])</f>
        <v>6 Площадка 1 общага\826398429_1_20260223T095007Z.jpg</v>
      </c>
    </row>
    <row r="245" spans="1:13" x14ac:dyDescent="0.25">
      <c r="A245" t="s">
        <v>13</v>
      </c>
      <c r="B245" s="3">
        <v>46076</v>
      </c>
      <c r="C245" s="5">
        <v>0.41170138888888891</v>
      </c>
      <c r="D245" s="1" t="s">
        <v>226</v>
      </c>
      <c r="E245" t="s">
        <v>10566</v>
      </c>
      <c r="F245" t="s">
        <v>586</v>
      </c>
      <c r="H245" t="s">
        <v>2352</v>
      </c>
      <c r="I245" t="s">
        <v>10511</v>
      </c>
      <c r="J245" t="s">
        <v>2395</v>
      </c>
      <c r="K245" t="s">
        <v>10512</v>
      </c>
      <c r="L245" t="s">
        <v>10513</v>
      </c>
      <c r="M245" s="2" t="str">
        <f>HYPERLINK(Таблица3[[#This Row],[RelativePath]])</f>
        <v>6 Площадка 1 общага\826398429_1_20260223T095251Z.jpg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t="s">
        <v>10490</v>
      </c>
      <c r="J246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0.34070601851851851</v>
      </c>
      <c r="D247" s="1" t="s">
        <v>226</v>
      </c>
      <c r="I247" t="s">
        <v>10436</v>
      </c>
      <c r="J247" t="s">
        <v>10435</v>
      </c>
      <c r="K247" t="s">
        <v>10437</v>
      </c>
      <c r="L247" t="s">
        <v>10438</v>
      </c>
      <c r="M247" s="2" t="str">
        <f>HYPERLINK(Таблица3[[#This Row],[RelativePath]])</f>
        <v>5 Крыльцо общага\K07156189_22_20260223T081037Z.jpg</v>
      </c>
    </row>
    <row r="248" spans="1:13" x14ac:dyDescent="0.25">
      <c r="A248" t="s">
        <v>13</v>
      </c>
      <c r="B248" s="3">
        <v>46076</v>
      </c>
      <c r="C248" s="5">
        <v>0.35872685185185182</v>
      </c>
      <c r="D248" s="1" t="s">
        <v>226</v>
      </c>
      <c r="E248" t="s">
        <v>10565</v>
      </c>
      <c r="F248" t="s">
        <v>586</v>
      </c>
      <c r="I248" t="s">
        <v>10466</v>
      </c>
      <c r="J248" t="s">
        <v>2395</v>
      </c>
      <c r="K248" t="s">
        <v>10467</v>
      </c>
      <c r="L248" t="s">
        <v>10468</v>
      </c>
      <c r="M248" s="2" t="str">
        <f>HYPERLINK(Таблица3[[#This Row],[RelativePath]])</f>
        <v>6 Площадка 1 общага\826398429_1_20260223T083634Z.jpg</v>
      </c>
    </row>
    <row r="249" spans="1:13" x14ac:dyDescent="0.25">
      <c r="A249" t="s">
        <v>13</v>
      </c>
      <c r="B249" s="3">
        <v>46076</v>
      </c>
      <c r="C249" s="5">
        <v>0.34234953703703702</v>
      </c>
      <c r="D249" s="1" t="s">
        <v>226</v>
      </c>
      <c r="E249" t="s">
        <v>10565</v>
      </c>
      <c r="F249" t="s">
        <v>586</v>
      </c>
      <c r="H249" t="s">
        <v>2352</v>
      </c>
      <c r="I249" t="s">
        <v>10442</v>
      </c>
      <c r="J249" t="s">
        <v>2394</v>
      </c>
      <c r="K249" t="s">
        <v>10443</v>
      </c>
      <c r="L249" t="s">
        <v>10444</v>
      </c>
      <c r="M249" s="2" t="str">
        <f>HYPERLINK(Таблица3[[#This Row],[RelativePath]])</f>
        <v>5 Крыльцо общага\K07156189_22_20260223T081259Z.jpg</v>
      </c>
    </row>
    <row r="250" spans="1:13" x14ac:dyDescent="0.25">
      <c r="A250" t="s">
        <v>13</v>
      </c>
      <c r="B250" s="3">
        <v>46076</v>
      </c>
      <c r="C250" s="5">
        <v>0.34180555555555553</v>
      </c>
      <c r="D250" s="1" t="s">
        <v>226</v>
      </c>
      <c r="E250" t="s">
        <v>10565</v>
      </c>
      <c r="F250" t="s">
        <v>586</v>
      </c>
      <c r="H250" t="s">
        <v>2352</v>
      </c>
      <c r="I250" t="s">
        <v>10439</v>
      </c>
      <c r="J250" t="s">
        <v>2394</v>
      </c>
      <c r="K250" t="s">
        <v>10440</v>
      </c>
      <c r="L250" t="s">
        <v>10441</v>
      </c>
      <c r="M250" s="2" t="str">
        <f>HYPERLINK(Таблица3[[#This Row],[RelativePath]])</f>
        <v>5 Крыльцо общага\K07156189_22_20260223T081212Z.jpg</v>
      </c>
    </row>
    <row r="251" spans="1:13" x14ac:dyDescent="0.25">
      <c r="A251" t="s">
        <v>13</v>
      </c>
      <c r="B251" s="3">
        <v>46076</v>
      </c>
      <c r="C251" s="5">
        <v>0.36371527777777779</v>
      </c>
      <c r="D251" s="1" t="s">
        <v>226</v>
      </c>
      <c r="E251" t="s">
        <v>10565</v>
      </c>
      <c r="F251" t="s">
        <v>586</v>
      </c>
      <c r="H251" t="s">
        <v>2352</v>
      </c>
      <c r="I251" t="s">
        <v>10469</v>
      </c>
      <c r="J251" t="s">
        <v>2395</v>
      </c>
      <c r="K251" t="s">
        <v>10470</v>
      </c>
      <c r="L251" t="s">
        <v>10471</v>
      </c>
      <c r="M251" s="2" t="str">
        <f>HYPERLINK(Таблица3[[#This Row],[RelativePath]])</f>
        <v>6 Площадка 1 общага\826398429_1_20260223T084345Z.jpg</v>
      </c>
    </row>
    <row r="252" spans="1:13" x14ac:dyDescent="0.25">
      <c r="A252" t="s">
        <v>13</v>
      </c>
      <c r="B252" s="3">
        <v>46076</v>
      </c>
      <c r="C252" s="5">
        <v>0.39024305555555555</v>
      </c>
      <c r="D252" s="1" t="s">
        <v>226</v>
      </c>
      <c r="E252" t="s">
        <v>10565</v>
      </c>
      <c r="F252" t="s">
        <v>586</v>
      </c>
      <c r="H252" t="s">
        <v>2352</v>
      </c>
      <c r="I252" t="s">
        <v>10484</v>
      </c>
      <c r="J252" t="s">
        <v>2395</v>
      </c>
      <c r="K252" t="s">
        <v>10485</v>
      </c>
      <c r="L252" t="s">
        <v>10486</v>
      </c>
      <c r="M252" s="2" t="str">
        <f>HYPERLINK(Таблица3[[#This Row],[RelativePath]])</f>
        <v>6 Площадка 1 общага\826398429_1_20260223T092157Z.jpg</v>
      </c>
    </row>
    <row r="253" spans="1:13" x14ac:dyDescent="0.25">
      <c r="A253" t="s">
        <v>13</v>
      </c>
      <c r="B253" s="3">
        <v>46076</v>
      </c>
      <c r="C253" s="5">
        <v>0.39246527777777779</v>
      </c>
      <c r="D253" s="1" t="s">
        <v>226</v>
      </c>
      <c r="E253" t="s">
        <v>10565</v>
      </c>
      <c r="F253" t="s">
        <v>586</v>
      </c>
      <c r="H253" t="s">
        <v>2352</v>
      </c>
      <c r="I253" t="s">
        <v>10487</v>
      </c>
      <c r="J253" t="s">
        <v>2395</v>
      </c>
      <c r="K253" t="s">
        <v>10488</v>
      </c>
      <c r="L253" t="s">
        <v>10489</v>
      </c>
      <c r="M253" s="2" t="str">
        <f>HYPERLINK(Таблица3[[#This Row],[RelativePath]])</f>
        <v>6 Площадка 1 общага\826398429_1_20260223T092509Z.jpg</v>
      </c>
    </row>
    <row r="254" spans="1:13" x14ac:dyDescent="0.25">
      <c r="A254" t="s">
        <v>13</v>
      </c>
      <c r="B254" s="3">
        <v>46076</v>
      </c>
      <c r="C254" s="5">
        <v>0.37709490740740742</v>
      </c>
      <c r="D254" s="1" t="s">
        <v>226</v>
      </c>
      <c r="E254" t="s">
        <v>10566</v>
      </c>
      <c r="F254" t="s">
        <v>586</v>
      </c>
      <c r="I254" t="s">
        <v>10475</v>
      </c>
      <c r="J254" t="s">
        <v>2395</v>
      </c>
      <c r="K254" t="s">
        <v>10476</v>
      </c>
      <c r="L254" t="s">
        <v>10477</v>
      </c>
      <c r="M254" s="2" t="str">
        <f>HYPERLINK(Таблица3[[#This Row],[RelativePath]])</f>
        <v>6 Площадка 1 общага\826398429_1_20260223T090301Z.jpg</v>
      </c>
    </row>
    <row r="255" spans="1:13" x14ac:dyDescent="0.25">
      <c r="A255" t="s">
        <v>13</v>
      </c>
      <c r="B255" s="3">
        <v>46076</v>
      </c>
      <c r="C255" s="5">
        <v>0.37910879629629629</v>
      </c>
      <c r="D255" s="1" t="s">
        <v>226</v>
      </c>
      <c r="E255" t="s">
        <v>10566</v>
      </c>
      <c r="F255" t="s">
        <v>586</v>
      </c>
      <c r="H255" t="s">
        <v>2352</v>
      </c>
      <c r="I255" t="s">
        <v>10478</v>
      </c>
      <c r="J255" t="s">
        <v>2395</v>
      </c>
      <c r="K255" t="s">
        <v>10479</v>
      </c>
      <c r="L255" t="s">
        <v>10480</v>
      </c>
      <c r="M255" s="2" t="str">
        <f>HYPERLINK(Таблица3[[#This Row],[RelativePath]])</f>
        <v>6 Площадка 1 общага\826398429_1_20260223T090555Z.jpg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t="s">
        <v>10759</v>
      </c>
      <c r="J256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0.48265046296296299</v>
      </c>
      <c r="D257" s="1" t="s">
        <v>226</v>
      </c>
      <c r="E257" t="s">
        <v>11070</v>
      </c>
      <c r="F257" t="s">
        <v>58</v>
      </c>
      <c r="G257">
        <v>2</v>
      </c>
      <c r="I257" t="s">
        <v>10807</v>
      </c>
      <c r="J257" t="s">
        <v>2397</v>
      </c>
      <c r="K257" t="s">
        <v>10808</v>
      </c>
      <c r="L257" t="s">
        <v>10809</v>
      </c>
      <c r="M257" s="2" t="str">
        <f>HYPERLINK(Таблица3[[#This Row],[RelativePath]])</f>
        <v>10 Сушилка навес\GA3948333_6_20260225T113501Z.jpg</v>
      </c>
    </row>
    <row r="258" spans="1:13" x14ac:dyDescent="0.25">
      <c r="A258" t="s">
        <v>15</v>
      </c>
      <c r="B258" s="3">
        <v>46078</v>
      </c>
      <c r="C258" s="5">
        <v>0.4821064814814815</v>
      </c>
      <c r="D258" s="1" t="s">
        <v>226</v>
      </c>
      <c r="E258" t="s">
        <v>11070</v>
      </c>
      <c r="F258" t="s">
        <v>58</v>
      </c>
      <c r="G258">
        <v>1</v>
      </c>
      <c r="I258" t="s">
        <v>10804</v>
      </c>
      <c r="J258" t="s">
        <v>2397</v>
      </c>
      <c r="K258" t="s">
        <v>10805</v>
      </c>
      <c r="L258" t="s">
        <v>10806</v>
      </c>
      <c r="M258" s="2" t="str">
        <f>HYPERLINK(Таблица3[[#This Row],[RelativePath]])</f>
        <v>10 Сушилка навес\GA3948333_6_20260225T113414Z.jpg</v>
      </c>
    </row>
  </sheetData>
  <phoneticPr fontId="2" type="noConversion"/>
  <conditionalFormatting sqref="E259:E280 D2:E258">
    <cfRule type="containsText" dxfId="76" priority="7" operator="containsText" text="Выезд с территории">
      <formula>NOT(ISERROR(SEARCH("Выезд с территории",D2)))</formula>
    </cfRule>
  </conditionalFormatting>
  <conditionalFormatting sqref="D2:D258">
    <cfRule type="containsText" dxfId="75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8">
    <cfRule type="containsText" dxfId="74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80">
    <cfRule type="containsText" dxfId="73" priority="2" operator="containsText" text="Газель базы">
      <formula>NOT(ISERROR(SEARCH("Газель базы",E2)))</formula>
    </cfRule>
    <cfRule type="containsText" dxfId="72" priority="3" operator="containsText" text="Погрузчик базы">
      <formula>NOT(ISERROR(SEARCH("Погрузчик базы",E2)))</formula>
    </cfRule>
  </conditionalFormatting>
  <conditionalFormatting sqref="E2:E280">
    <cfRule type="containsText" dxfId="71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68"/>
  <sheetViews>
    <sheetView topLeftCell="A13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t="s">
        <v>29</v>
      </c>
      <c r="J2" t="s">
        <v>12646</v>
      </c>
      <c r="K2" t="s">
        <v>12647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t="s">
        <v>28</v>
      </c>
      <c r="J3" t="s">
        <v>12646</v>
      </c>
      <c r="K3" t="s">
        <v>12648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t="s">
        <v>27</v>
      </c>
      <c r="J4" t="s">
        <v>12646</v>
      </c>
      <c r="K4" t="s">
        <v>12649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t="s">
        <v>352</v>
      </c>
      <c r="J5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t="s">
        <v>36</v>
      </c>
      <c r="J6" t="s">
        <v>12646</v>
      </c>
      <c r="K6" t="s">
        <v>12650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t="s">
        <v>37</v>
      </c>
      <c r="J7" t="s">
        <v>12646</v>
      </c>
      <c r="K7" t="s">
        <v>12651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t="s">
        <v>38</v>
      </c>
      <c r="J8" t="s">
        <v>12646</v>
      </c>
      <c r="K8" t="s">
        <v>12652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t="s">
        <v>33</v>
      </c>
      <c r="J9" t="s">
        <v>12646</v>
      </c>
      <c r="K9" t="s">
        <v>12653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t="s">
        <v>34</v>
      </c>
      <c r="J10" t="s">
        <v>12646</v>
      </c>
      <c r="K10" t="s">
        <v>12654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t="s">
        <v>35</v>
      </c>
      <c r="J11" t="s">
        <v>12646</v>
      </c>
      <c r="K11" t="s">
        <v>12655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t="s">
        <v>42</v>
      </c>
      <c r="J12" t="s">
        <v>12646</v>
      </c>
      <c r="K12" t="s">
        <v>12656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t="s">
        <v>41</v>
      </c>
      <c r="J13" t="s">
        <v>12646</v>
      </c>
      <c r="K13" t="s">
        <v>12657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t="s">
        <v>81</v>
      </c>
      <c r="J14" t="s">
        <v>12646</v>
      </c>
      <c r="K14" t="s">
        <v>12658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t="s">
        <v>80</v>
      </c>
      <c r="J15" t="s">
        <v>12646</v>
      </c>
      <c r="K15" t="s">
        <v>12659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t="s">
        <v>83</v>
      </c>
      <c r="J16" t="s">
        <v>12646</v>
      </c>
      <c r="K16" t="s">
        <v>12660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t="s">
        <v>82</v>
      </c>
      <c r="J17" t="s">
        <v>12646</v>
      </c>
      <c r="K17" t="s">
        <v>12661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t="s">
        <v>77</v>
      </c>
      <c r="J18" t="s">
        <v>12646</v>
      </c>
      <c r="K18" t="s">
        <v>12662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t="s">
        <v>75</v>
      </c>
      <c r="J19" t="s">
        <v>12646</v>
      </c>
      <c r="K19" t="s">
        <v>12663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t="s">
        <v>79</v>
      </c>
      <c r="J20" t="s">
        <v>12646</v>
      </c>
      <c r="K20" t="s">
        <v>12664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t="s">
        <v>78</v>
      </c>
      <c r="J21" t="s">
        <v>12646</v>
      </c>
      <c r="K21" t="s">
        <v>12665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t="s">
        <v>902</v>
      </c>
      <c r="J22" t="s">
        <v>12646</v>
      </c>
      <c r="K22" t="s">
        <v>12666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t="s">
        <v>1606</v>
      </c>
      <c r="J23" t="s">
        <v>12646</v>
      </c>
      <c r="K23" t="s">
        <v>12667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t="s">
        <v>904</v>
      </c>
      <c r="J24" t="s">
        <v>12646</v>
      </c>
      <c r="K24" t="s">
        <v>12668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t="s">
        <v>898</v>
      </c>
      <c r="J25" t="s">
        <v>12646</v>
      </c>
      <c r="K25" t="s">
        <v>12669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t="s">
        <v>900</v>
      </c>
      <c r="J26" t="s">
        <v>12646</v>
      </c>
      <c r="K26" t="s">
        <v>12670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t="s">
        <v>901</v>
      </c>
      <c r="J27" t="s">
        <v>12646</v>
      </c>
      <c r="K27" t="s">
        <v>12671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t="s">
        <v>1649</v>
      </c>
      <c r="J28" t="s">
        <v>12646</v>
      </c>
      <c r="K28" t="s">
        <v>12672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t="s">
        <v>1648</v>
      </c>
      <c r="J29" t="s">
        <v>12646</v>
      </c>
      <c r="K29" t="s">
        <v>12673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t="s">
        <v>1647</v>
      </c>
      <c r="J30" t="s">
        <v>12646</v>
      </c>
      <c r="K30" t="s">
        <v>12674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t="s">
        <v>1653</v>
      </c>
      <c r="J31" t="s">
        <v>12646</v>
      </c>
      <c r="K31" t="s">
        <v>12675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t="s">
        <v>1652</v>
      </c>
      <c r="J32" t="s">
        <v>12646</v>
      </c>
      <c r="K32" t="s">
        <v>12676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t="s">
        <v>2554</v>
      </c>
      <c r="J33" t="s">
        <v>12646</v>
      </c>
      <c r="K33" t="s">
        <v>12677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t="s">
        <v>2556</v>
      </c>
      <c r="J34" t="s">
        <v>12646</v>
      </c>
      <c r="K34" t="s">
        <v>12678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t="s">
        <v>2550</v>
      </c>
      <c r="J35" t="s">
        <v>12646</v>
      </c>
      <c r="K35" t="s">
        <v>12679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t="s">
        <v>2552</v>
      </c>
      <c r="J36" t="s">
        <v>12646</v>
      </c>
      <c r="K36" t="s">
        <v>12680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t="s">
        <v>2560</v>
      </c>
      <c r="J37" t="s">
        <v>12646</v>
      </c>
      <c r="K37" t="s">
        <v>12681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t="s">
        <v>2558</v>
      </c>
      <c r="J38" t="s">
        <v>12646</v>
      </c>
      <c r="K38" t="s">
        <v>12682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t="s">
        <v>2564</v>
      </c>
      <c r="J39" t="s">
        <v>12646</v>
      </c>
      <c r="K39" t="s">
        <v>12683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t="s">
        <v>2562</v>
      </c>
      <c r="J40" t="s">
        <v>12646</v>
      </c>
      <c r="K40" t="s">
        <v>12684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t="s">
        <v>2570</v>
      </c>
      <c r="J41" t="s">
        <v>12646</v>
      </c>
      <c r="K41" t="s">
        <v>12685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t="s">
        <v>2572</v>
      </c>
      <c r="J42" t="s">
        <v>12646</v>
      </c>
      <c r="K42" t="s">
        <v>12686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t="s">
        <v>2566</v>
      </c>
      <c r="J43" t="s">
        <v>12646</v>
      </c>
      <c r="K43" t="s">
        <v>12687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t="s">
        <v>2568</v>
      </c>
      <c r="J44" t="s">
        <v>12646</v>
      </c>
      <c r="K44" t="s">
        <v>12688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t="s">
        <v>3527</v>
      </c>
      <c r="J45" t="s">
        <v>12646</v>
      </c>
      <c r="K45" t="s">
        <v>12689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t="s">
        <v>3525</v>
      </c>
      <c r="J46" t="s">
        <v>12646</v>
      </c>
      <c r="K46" t="s">
        <v>12690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t="s">
        <v>4139</v>
      </c>
      <c r="J47" t="s">
        <v>12646</v>
      </c>
      <c r="K47" t="s">
        <v>12691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t="s">
        <v>4137</v>
      </c>
      <c r="J48" t="s">
        <v>12646</v>
      </c>
      <c r="K48" t="s">
        <v>12692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t="s">
        <v>4246</v>
      </c>
      <c r="J49" t="s">
        <v>12646</v>
      </c>
      <c r="K49" t="s">
        <v>12693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t="s">
        <v>4244</v>
      </c>
      <c r="J50" t="s">
        <v>12646</v>
      </c>
      <c r="K50" t="s">
        <v>12694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t="s">
        <v>4403</v>
      </c>
      <c r="J51" t="s">
        <v>12646</v>
      </c>
      <c r="K51" t="s">
        <v>12695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t="s">
        <v>4405</v>
      </c>
      <c r="J52" t="s">
        <v>12646</v>
      </c>
      <c r="K52" t="s">
        <v>12696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t="s">
        <v>4407</v>
      </c>
      <c r="J53" t="s">
        <v>12646</v>
      </c>
      <c r="K53" t="s">
        <v>12697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t="s">
        <v>4397</v>
      </c>
      <c r="J54" t="s">
        <v>12646</v>
      </c>
      <c r="K54" t="s">
        <v>12698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t="s">
        <v>4399</v>
      </c>
      <c r="J55" t="s">
        <v>12646</v>
      </c>
      <c r="K55" t="s">
        <v>12699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t="s">
        <v>4401</v>
      </c>
      <c r="J56" t="s">
        <v>12646</v>
      </c>
      <c r="K56" t="s">
        <v>12700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t="s">
        <v>4411</v>
      </c>
      <c r="J57" t="s">
        <v>12646</v>
      </c>
      <c r="K57" t="s">
        <v>12701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t="s">
        <v>4409</v>
      </c>
      <c r="J58" t="s">
        <v>12646</v>
      </c>
      <c r="K58" t="s">
        <v>12702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t="s">
        <v>4810</v>
      </c>
      <c r="J59" t="s">
        <v>12646</v>
      </c>
      <c r="K59" t="s">
        <v>12703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t="s">
        <v>4812</v>
      </c>
      <c r="J60" t="s">
        <v>12646</v>
      </c>
      <c r="K60" t="s">
        <v>12704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t="s">
        <v>4814</v>
      </c>
      <c r="J61" t="s">
        <v>12646</v>
      </c>
      <c r="K61" t="s">
        <v>12705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t="s">
        <v>4808</v>
      </c>
      <c r="J62" t="s">
        <v>12646</v>
      </c>
      <c r="K62" t="s">
        <v>12706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t="s">
        <v>4802</v>
      </c>
      <c r="J63" t="s">
        <v>12646</v>
      </c>
      <c r="K63" t="s">
        <v>12707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t="s">
        <v>4804</v>
      </c>
      <c r="J64" t="s">
        <v>12646</v>
      </c>
      <c r="K64" t="s">
        <v>12708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t="s">
        <v>4806</v>
      </c>
      <c r="J65" t="s">
        <v>12646</v>
      </c>
      <c r="K65" t="s">
        <v>12709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t="s">
        <v>4999</v>
      </c>
      <c r="J66" t="s">
        <v>12646</v>
      </c>
      <c r="K66" t="s">
        <v>12710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t="s">
        <v>5005</v>
      </c>
      <c r="J67" t="s">
        <v>12646</v>
      </c>
      <c r="K67" t="s">
        <v>12711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t="s">
        <v>4997</v>
      </c>
      <c r="J68" t="s">
        <v>12646</v>
      </c>
      <c r="K68" t="s">
        <v>12712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t="s">
        <v>4995</v>
      </c>
      <c r="J69" t="s">
        <v>12646</v>
      </c>
      <c r="K69" t="s">
        <v>12713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t="s">
        <v>5059</v>
      </c>
      <c r="J70" t="s">
        <v>12646</v>
      </c>
      <c r="K70" t="s">
        <v>12714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t="s">
        <v>5222</v>
      </c>
      <c r="J71" t="s">
        <v>12646</v>
      </c>
      <c r="K71" t="s">
        <v>12715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t="s">
        <v>5224</v>
      </c>
      <c r="J72" t="s">
        <v>12646</v>
      </c>
      <c r="K72" t="s">
        <v>12716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t="s">
        <v>5218</v>
      </c>
      <c r="J73" t="s">
        <v>12646</v>
      </c>
      <c r="K73" t="s">
        <v>12717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t="s">
        <v>5220</v>
      </c>
      <c r="J74" t="s">
        <v>12646</v>
      </c>
      <c r="K74" t="s">
        <v>12718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t="s">
        <v>5326</v>
      </c>
      <c r="J75" t="s">
        <v>12646</v>
      </c>
      <c r="K75" t="s">
        <v>12719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t="s">
        <v>5318</v>
      </c>
      <c r="J76" t="s">
        <v>12646</v>
      </c>
      <c r="K76" t="s">
        <v>12720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t="s">
        <v>5760</v>
      </c>
      <c r="J77" t="s">
        <v>12646</v>
      </c>
      <c r="K77" t="s">
        <v>12721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t="s">
        <v>5758</v>
      </c>
      <c r="J78" t="s">
        <v>12646</v>
      </c>
      <c r="K78" t="s">
        <v>12722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t="s">
        <v>5764</v>
      </c>
      <c r="J79" t="s">
        <v>12646</v>
      </c>
      <c r="K79" t="s">
        <v>12723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t="s">
        <v>5762</v>
      </c>
      <c r="J80" t="s">
        <v>12646</v>
      </c>
      <c r="K80" t="s">
        <v>12724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t="s">
        <v>5913</v>
      </c>
      <c r="J81" t="s">
        <v>12646</v>
      </c>
      <c r="K81" t="s">
        <v>12725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t="s">
        <v>5923</v>
      </c>
      <c r="J82" t="s">
        <v>12646</v>
      </c>
      <c r="K82" t="s">
        <v>12726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t="s">
        <v>5919</v>
      </c>
      <c r="J83" t="s">
        <v>12646</v>
      </c>
      <c r="K83" t="s">
        <v>12727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t="s">
        <v>5915</v>
      </c>
      <c r="J84" t="s">
        <v>12646</v>
      </c>
      <c r="K84" t="s">
        <v>12728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t="s">
        <v>6172</v>
      </c>
      <c r="J85" t="s">
        <v>12646</v>
      </c>
      <c r="K85" t="s">
        <v>12729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t="s">
        <v>6170</v>
      </c>
      <c r="J86" t="s">
        <v>12646</v>
      </c>
      <c r="K86" t="s">
        <v>12730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t="s">
        <v>6316</v>
      </c>
      <c r="J87" t="s">
        <v>12646</v>
      </c>
      <c r="K87" t="s">
        <v>12731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t="s">
        <v>6318</v>
      </c>
      <c r="J88" t="s">
        <v>12646</v>
      </c>
      <c r="K88" t="s">
        <v>12732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t="s">
        <v>6312</v>
      </c>
      <c r="J89" t="s">
        <v>12646</v>
      </c>
      <c r="K89" t="s">
        <v>12733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t="s">
        <v>6314</v>
      </c>
      <c r="J90" t="s">
        <v>12646</v>
      </c>
      <c r="K90" t="s">
        <v>12734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t="s">
        <v>6330</v>
      </c>
      <c r="J91" t="s">
        <v>12646</v>
      </c>
      <c r="K91" t="s">
        <v>12735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t="s">
        <v>6332</v>
      </c>
      <c r="J92" t="s">
        <v>12646</v>
      </c>
      <c r="K92" t="s">
        <v>12736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t="s">
        <v>6334</v>
      </c>
      <c r="J93" t="s">
        <v>12646</v>
      </c>
      <c r="K93" t="s">
        <v>12737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t="s">
        <v>6320</v>
      </c>
      <c r="J94" t="s">
        <v>12646</v>
      </c>
      <c r="K94" t="s">
        <v>12738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t="s">
        <v>6322</v>
      </c>
      <c r="J95" t="s">
        <v>12646</v>
      </c>
      <c r="K95" t="s">
        <v>12739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t="s">
        <v>6326</v>
      </c>
      <c r="J96" t="s">
        <v>12646</v>
      </c>
      <c r="K96" t="s">
        <v>12740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t="s">
        <v>6700</v>
      </c>
      <c r="J97" t="s">
        <v>12646</v>
      </c>
      <c r="K97" t="s">
        <v>12741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t="s">
        <v>6698</v>
      </c>
      <c r="J98" t="s">
        <v>12646</v>
      </c>
      <c r="K98" t="s">
        <v>12742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t="s">
        <v>6807</v>
      </c>
      <c r="J99" t="s">
        <v>12646</v>
      </c>
      <c r="K99" t="s">
        <v>12743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t="s">
        <v>6805</v>
      </c>
      <c r="J100" t="s">
        <v>12646</v>
      </c>
      <c r="K100" t="s">
        <v>12744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t="s">
        <v>6813</v>
      </c>
      <c r="J101" t="s">
        <v>12646</v>
      </c>
      <c r="K101" t="s">
        <v>12745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t="s">
        <v>6811</v>
      </c>
      <c r="J102" t="s">
        <v>12646</v>
      </c>
      <c r="K102" t="s">
        <v>12746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t="s">
        <v>6817</v>
      </c>
      <c r="J103" t="s">
        <v>12646</v>
      </c>
      <c r="K103" t="s">
        <v>12747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t="s">
        <v>6815</v>
      </c>
      <c r="J104" t="s">
        <v>12646</v>
      </c>
      <c r="K104" t="s">
        <v>12748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t="s">
        <v>6825</v>
      </c>
      <c r="J105" t="s">
        <v>12646</v>
      </c>
      <c r="K105" t="s">
        <v>12749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t="s">
        <v>6827</v>
      </c>
      <c r="J106" t="s">
        <v>12646</v>
      </c>
      <c r="K106" t="s">
        <v>12750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t="s">
        <v>6829</v>
      </c>
      <c r="J107" t="s">
        <v>12646</v>
      </c>
      <c r="K107" t="s">
        <v>12751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t="s">
        <v>6819</v>
      </c>
      <c r="J108" t="s">
        <v>12646</v>
      </c>
      <c r="K108" t="s">
        <v>12752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t="s">
        <v>6821</v>
      </c>
      <c r="J109" t="s">
        <v>12646</v>
      </c>
      <c r="K109" t="s">
        <v>12753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t="s">
        <v>6823</v>
      </c>
      <c r="J110" t="s">
        <v>12646</v>
      </c>
      <c r="K110" t="s">
        <v>12754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t="s">
        <v>6835</v>
      </c>
      <c r="J111" t="s">
        <v>12646</v>
      </c>
      <c r="K111" t="s">
        <v>12755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t="s">
        <v>6833</v>
      </c>
      <c r="J112" t="s">
        <v>12646</v>
      </c>
      <c r="K112" t="s">
        <v>12756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t="s">
        <v>7090</v>
      </c>
      <c r="J113" t="s">
        <v>12646</v>
      </c>
      <c r="K113" t="s">
        <v>12757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t="s">
        <v>7088</v>
      </c>
      <c r="J114" t="s">
        <v>12646</v>
      </c>
      <c r="K114" t="s">
        <v>12758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t="s">
        <v>7389</v>
      </c>
      <c r="J115" t="s">
        <v>12646</v>
      </c>
      <c r="K115" t="s">
        <v>12759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t="s">
        <v>7387</v>
      </c>
      <c r="J116" t="s">
        <v>12646</v>
      </c>
      <c r="K116" t="s">
        <v>12760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t="s">
        <v>7393</v>
      </c>
      <c r="J117" t="s">
        <v>12646</v>
      </c>
      <c r="K117" t="s">
        <v>12761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t="s">
        <v>7671</v>
      </c>
      <c r="J118" t="s">
        <v>12646</v>
      </c>
      <c r="K118" t="s">
        <v>12762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t="s">
        <v>7673</v>
      </c>
      <c r="J119" t="s">
        <v>12646</v>
      </c>
      <c r="K119" t="s">
        <v>12763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t="s">
        <v>7675</v>
      </c>
      <c r="J120" t="s">
        <v>12646</v>
      </c>
      <c r="K120" t="s">
        <v>12764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t="s">
        <v>7665</v>
      </c>
      <c r="J121" t="s">
        <v>12646</v>
      </c>
      <c r="K121" t="s">
        <v>12765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t="s">
        <v>7667</v>
      </c>
      <c r="J122" t="s">
        <v>12646</v>
      </c>
      <c r="K122" t="s">
        <v>12766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t="s">
        <v>7669</v>
      </c>
      <c r="J123" t="s">
        <v>12646</v>
      </c>
      <c r="K123" t="s">
        <v>12767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t="s">
        <v>8112</v>
      </c>
      <c r="J124" t="s">
        <v>12646</v>
      </c>
      <c r="K124" t="s">
        <v>12768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t="s">
        <v>7938</v>
      </c>
      <c r="J125" t="s">
        <v>12646</v>
      </c>
      <c r="K125" t="s">
        <v>12769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t="s">
        <v>7936</v>
      </c>
      <c r="J126" t="s">
        <v>12646</v>
      </c>
      <c r="K126" t="s">
        <v>12770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t="s">
        <v>8106</v>
      </c>
      <c r="J127" t="s">
        <v>12646</v>
      </c>
      <c r="K127" t="s">
        <v>12771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t="s">
        <v>8108</v>
      </c>
      <c r="J128" t="s">
        <v>12646</v>
      </c>
      <c r="K128" t="s">
        <v>12772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t="s">
        <v>8110</v>
      </c>
      <c r="J129" t="s">
        <v>12646</v>
      </c>
      <c r="K129" t="s">
        <v>12773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t="s">
        <v>8114</v>
      </c>
      <c r="J130" t="s">
        <v>12646</v>
      </c>
      <c r="K130" t="s">
        <v>12774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t="s">
        <v>8102</v>
      </c>
      <c r="J131" t="s">
        <v>12646</v>
      </c>
      <c r="K131" t="s">
        <v>12775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t="s">
        <v>8104</v>
      </c>
      <c r="J132" t="s">
        <v>12646</v>
      </c>
      <c r="K132" t="s">
        <v>12776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t="s">
        <v>8589</v>
      </c>
      <c r="J133" t="s">
        <v>12646</v>
      </c>
      <c r="K133" t="s">
        <v>12777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t="s">
        <v>8818</v>
      </c>
      <c r="J134" t="s">
        <v>12646</v>
      </c>
      <c r="K134" t="s">
        <v>12778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t="s">
        <v>8816</v>
      </c>
      <c r="J135" t="s">
        <v>12646</v>
      </c>
      <c r="K135" t="s">
        <v>12779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t="s">
        <v>8814</v>
      </c>
      <c r="J136" t="s">
        <v>12646</v>
      </c>
      <c r="K136" t="s">
        <v>12780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t="s">
        <v>8934</v>
      </c>
      <c r="J137" t="s">
        <v>12646</v>
      </c>
      <c r="K137" t="s">
        <v>12781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t="s">
        <v>8932</v>
      </c>
      <c r="J138" t="s">
        <v>12646</v>
      </c>
      <c r="K138" t="s">
        <v>12782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t="s">
        <v>9170</v>
      </c>
      <c r="J139" t="s">
        <v>12646</v>
      </c>
      <c r="K139" t="s">
        <v>12783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t="s">
        <v>9168</v>
      </c>
      <c r="J140" t="s">
        <v>12646</v>
      </c>
      <c r="K140" t="s">
        <v>12784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t="s">
        <v>9346</v>
      </c>
      <c r="J141" t="s">
        <v>12646</v>
      </c>
      <c r="K141" t="s">
        <v>12785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t="s">
        <v>9344</v>
      </c>
      <c r="J142" t="s">
        <v>12646</v>
      </c>
      <c r="K142" t="s">
        <v>12786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t="s">
        <v>9521</v>
      </c>
      <c r="J143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t="s">
        <v>9527</v>
      </c>
      <c r="J144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t="s">
        <v>9631</v>
      </c>
      <c r="J145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t="s">
        <v>9841</v>
      </c>
      <c r="J146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t="s">
        <v>9932</v>
      </c>
      <c r="J147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t="s">
        <v>9926</v>
      </c>
      <c r="J148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t="s">
        <v>10079</v>
      </c>
      <c r="J14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t="s">
        <v>10097</v>
      </c>
      <c r="J150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t="s">
        <v>10091</v>
      </c>
      <c r="J151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t="s">
        <v>10262</v>
      </c>
      <c r="J152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t="s">
        <v>10256</v>
      </c>
      <c r="J153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t="s">
        <v>10250</v>
      </c>
      <c r="J154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t="s">
        <v>10432</v>
      </c>
      <c r="J155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t="s">
        <v>10429</v>
      </c>
      <c r="J156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t="s">
        <v>10426</v>
      </c>
      <c r="J157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t="s">
        <v>10588</v>
      </c>
      <c r="J158" t="s">
        <v>12646</v>
      </c>
      <c r="K158" t="s">
        <v>12787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t="s">
        <v>10590</v>
      </c>
      <c r="J159" t="s">
        <v>12646</v>
      </c>
      <c r="K159" t="s">
        <v>12788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t="s">
        <v>10584</v>
      </c>
      <c r="J160" t="s">
        <v>12646</v>
      </c>
      <c r="K160" t="s">
        <v>12789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t="s">
        <v>10586</v>
      </c>
      <c r="J161" t="s">
        <v>12646</v>
      </c>
      <c r="K161" t="s">
        <v>12790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t="s">
        <v>10596</v>
      </c>
      <c r="J162" t="s">
        <v>12646</v>
      </c>
      <c r="K162" t="s">
        <v>12791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t="s">
        <v>10598</v>
      </c>
      <c r="J163" t="s">
        <v>12646</v>
      </c>
      <c r="K163" t="s">
        <v>12792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t="s">
        <v>10592</v>
      </c>
      <c r="J164" t="s">
        <v>12646</v>
      </c>
      <c r="K164" t="s">
        <v>12793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t="s">
        <v>10594</v>
      </c>
      <c r="J165" t="s">
        <v>12646</v>
      </c>
      <c r="K165" t="s">
        <v>12794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t="s">
        <v>13489</v>
      </c>
      <c r="J166" t="s">
        <v>12646</v>
      </c>
      <c r="K166" t="s">
        <v>13490</v>
      </c>
      <c r="L166" t="s">
        <v>13491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t="s">
        <v>13486</v>
      </c>
      <c r="J167" t="s">
        <v>12646</v>
      </c>
      <c r="K167" t="s">
        <v>13487</v>
      </c>
      <c r="L167" t="s">
        <v>13488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13844</v>
      </c>
      <c r="F168" t="s">
        <v>51</v>
      </c>
      <c r="H168" t="s">
        <v>13845</v>
      </c>
      <c r="I168" t="s">
        <v>13841</v>
      </c>
      <c r="J168" t="s">
        <v>12646</v>
      </c>
      <c r="K168" t="s">
        <v>13842</v>
      </c>
      <c r="L168" t="s">
        <v>13843</v>
      </c>
      <c r="M168" s="2" t="str">
        <f>HYPERLINK(СторонТрансп[[#This Row],[RelativePath]])</f>
        <v>1 Въезд на базу\GA3948333_4_20260227T105507Z.jpg</v>
      </c>
    </row>
  </sheetData>
  <conditionalFormatting sqref="E169:E190 D2:E168">
    <cfRule type="containsText" dxfId="70" priority="6" operator="containsText" text="Выезд с территории">
      <formula>NOT(ISERROR(SEARCH("Выезд с территории",D2)))</formula>
    </cfRule>
  </conditionalFormatting>
  <conditionalFormatting sqref="D2:D168">
    <cfRule type="containsText" dxfId="69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8">
    <cfRule type="containsText" dxfId="68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90">
    <cfRule type="containsText" dxfId="67" priority="2" operator="containsText" text="Газель базы">
      <formula>NOT(ISERROR(SEARCH("Газель базы",E2)))</formula>
    </cfRule>
    <cfRule type="containsText" dxfId="66" priority="3" operator="containsText" text="Погрузчик базы">
      <formula>NOT(ISERROR(SEARCH("Погрузчик базы",E2)))</formula>
    </cfRule>
  </conditionalFormatting>
  <conditionalFormatting sqref="E2:E190">
    <cfRule type="containsText" dxfId="65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2026-03-03T00:39:01Z</dcterms:modified>
</cp:coreProperties>
</file>