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2B90540-0BCB-4F5A-B5E2-FBE1CCE4CC10}" xr6:coauthVersionLast="47" xr6:coauthVersionMax="47" xr10:uidLastSave="{00000000-0000-0000-0000-000000000000}"/>
  <bookViews>
    <workbookView xWindow="-120" yWindow="-120" windowWidth="20730" windowHeight="11040" firstSheet="11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19 Хронометраж" sheetId="40" r:id="rId14"/>
    <sheet name="СпрСобытий" sheetId="20" r:id="rId15"/>
    <sheet name="Загрузка" sheetId="37" r:id="rId16"/>
    <sheet name="Стороний транспорт" sheetId="38" r:id="rId17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кран'!$A$1:$L$205</definedName>
    <definedName name="ExternalData_1" localSheetId="12" hidden="1">'13 Склад хол'!$A$1:$L$178</definedName>
    <definedName name="ExternalData_1" localSheetId="13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офиса'!$A$1:$L$193</definedName>
    <definedName name="ExternalData_1" localSheetId="4" hidden="1">'5 Крыльцо общага'!$A$1:$L$328</definedName>
    <definedName name="ExternalData_1" localSheetId="5" hidden="1">'6 Площадка 1 общага'!$A$1:$L$146</definedName>
    <definedName name="ExternalData_1" localSheetId="6" hidden="1">'7 Площадка 2 бетонщики'!$A$1:$L$283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5" hidden="1">Загрузка!$A$1:$L$233</definedName>
    <definedName name="ExternalData_1" localSheetId="16" hidden="1">'Стороний транспорт'!$A$1:$L$145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9" l="1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G2" i="40" a="1"/>
  <c r="G2" i="40" s="1"/>
  <c r="G3" i="40" a="1"/>
  <c r="G3" i="40"/>
  <c r="G4" i="40" a="1"/>
  <c r="G4" i="40" s="1"/>
  <c r="G5" i="40" a="1"/>
  <c r="G5" i="40" s="1"/>
  <c r="G6" i="40" a="1"/>
  <c r="G6" i="40" s="1"/>
  <c r="G7" i="40" a="1"/>
  <c r="G7" i="40" s="1"/>
  <c r="G8" i="40" a="1"/>
  <c r="G8" i="40" s="1"/>
  <c r="G9" i="40" a="1"/>
  <c r="G9" i="40" s="1"/>
  <c r="G10" i="40" a="1"/>
  <c r="G10" i="40" s="1"/>
  <c r="G11" i="40" a="1"/>
  <c r="G11" i="40"/>
  <c r="G12" i="40" a="1"/>
  <c r="G12" i="40" s="1"/>
  <c r="G13" i="40" a="1"/>
  <c r="G13" i="40" s="1"/>
  <c r="G14" i="40" a="1"/>
  <c r="G14" i="40" s="1"/>
  <c r="G15" i="40" a="1"/>
  <c r="G15" i="40" s="1"/>
  <c r="G16" i="40" a="1"/>
  <c r="G16" i="40" s="1"/>
  <c r="G17" i="40" a="1"/>
  <c r="G17" i="40"/>
  <c r="G18" i="40" a="1"/>
  <c r="G18" i="40" s="1"/>
  <c r="G19" i="40" a="1"/>
  <c r="G19" i="40"/>
  <c r="G20" i="40" a="1"/>
  <c r="G20" i="40" s="1"/>
  <c r="G21" i="40" a="1"/>
  <c r="G21" i="40" s="1"/>
  <c r="G22" i="40" a="1"/>
  <c r="G22" i="40" s="1"/>
  <c r="G23" i="40" a="1"/>
  <c r="G23" i="40" s="1"/>
  <c r="G24" i="40" a="1"/>
  <c r="G24" i="40" s="1"/>
  <c r="G25" i="40" a="1"/>
  <c r="G25" i="40" s="1"/>
  <c r="G26" i="40" a="1"/>
  <c r="G26" i="40" s="1"/>
  <c r="G27" i="40" a="1"/>
  <c r="G27" i="40"/>
  <c r="G28" i="40" a="1"/>
  <c r="G28" i="40" s="1"/>
  <c r="G29" i="40" a="1"/>
  <c r="G29" i="40"/>
  <c r="G30" i="40" a="1"/>
  <c r="G30" i="40" s="1"/>
  <c r="G31" i="40" a="1"/>
  <c r="G31" i="40" s="1"/>
  <c r="G32" i="40" a="1"/>
  <c r="G32" i="40" s="1"/>
  <c r="G33" i="40" a="1"/>
  <c r="G33" i="40" s="1"/>
  <c r="G34" i="40" a="1"/>
  <c r="G34" i="40" s="1"/>
  <c r="G35" i="40" a="1"/>
  <c r="G35" i="40"/>
  <c r="G36" i="40" a="1"/>
  <c r="G36" i="40" s="1"/>
  <c r="G37" i="40" a="1"/>
  <c r="G37" i="40"/>
  <c r="G38" i="40" a="1"/>
  <c r="G38" i="40" s="1"/>
  <c r="G39" i="40" a="1"/>
  <c r="G39" i="40" s="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8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8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9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0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1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2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3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4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5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6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7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<sst xmlns="http://schemas.openxmlformats.org/spreadsheetml/2006/main" count="50873" uniqueCount="12184">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</sst>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  <xf numFmtId="20" fontId="0" fillId="0" borderId="0" xfId="0" applyNumberFormat="1"/>
  </cellXfs>
  <cellStyles count="2">
    <cellStyle name="Гиперссылка" xfId="1" builtinId="8"/>
    <cellStyle name="Обычный" xfId="0" builtinId="0"/>
  </cellStyles>
  <dxfs count="893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153"/>
    <tableColumn id="8" xr3:uid="{7C2AA400-8F21-45B7-B47D-9CF2CFB5DD00}" uniqueName="8" name="Дата" queryTableFieldId="19" dataDxfId="152"/>
    <tableColumn id="9" xr3:uid="{7CB7ABF0-C98D-49E4-A494-985A43D5F40F}" uniqueName="9" name="Время" queryTableFieldId="20" dataDxfId="151"/>
    <tableColumn id="5" xr3:uid="{613A944B-9245-4C6D-9CCE-5037AD552DED}" uniqueName="5" name="Событие" queryTableFieldId="27" dataDxfId="150"/>
    <tableColumn id="7" xr3:uid="{FFEA85A5-3527-4483-91CE-57F760AB9F33}" uniqueName="7" name="Объект" queryTableFieldId="29" dataDxfId="149"/>
    <tableColumn id="10" xr3:uid="{A2E2C27E-C1B2-4B74-A427-E1854B0E2C76}" uniqueName="10" name="Груз" queryTableFieldId="30" dataDxfId="14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47"/>
    <tableColumn id="4" xr3:uid="{B2B57637-8A7D-4C5F-A6F8-E38F3EA43620}" uniqueName="4" name="Name" queryTableFieldId="14" dataDxfId="146"/>
    <tableColumn id="1" xr3:uid="{79275791-6385-434B-9F1B-8BDC003824A7}" uniqueName="1" name="Folder Path" queryTableFieldId="11" dataDxfId="14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4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4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132"/>
    <tableColumn id="8" xr3:uid="{40827FD9-94EC-4CF6-B212-59CF3E913897}" uniqueName="8" name="Дата" queryTableFieldId="19" dataDxfId="131"/>
    <tableColumn id="9" xr3:uid="{1F8E8ADE-5BFB-4171-9A0A-859E22042D3B}" uniqueName="9" name="Время" queryTableFieldId="20" dataDxfId="130"/>
    <tableColumn id="5" xr3:uid="{9D19F2E1-3C70-4F2F-8ED7-6D41C17A9366}" uniqueName="5" name="Событие" queryTableFieldId="27" dataDxfId="129"/>
    <tableColumn id="7" xr3:uid="{8C8CC69A-BA0A-4417-AE7D-B89E26F69F9B}" uniqueName="7" name="Объект" queryTableFieldId="29" dataDxfId="128"/>
    <tableColumn id="10" xr3:uid="{375C36FB-077D-4AA3-B6F7-74ACE46C2638}" uniqueName="10" name="Груз" queryTableFieldId="30" dataDxfId="12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"/>
    <tableColumn id="4" xr3:uid="{4A5BB282-D54C-4C68-A1D9-B3A819F9FCF6}" uniqueName="4" name="Name" queryTableFieldId="14" dataDxfId="125"/>
    <tableColumn id="1" xr3:uid="{7BD19058-41FF-4EFE-8283-68501A5B1623}" uniqueName="1" name="Folder Path" queryTableFieldId="11" dataDxfId="12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142"/>
    <tableColumn id="8" xr3:uid="{B651DAE5-1AB7-4761-9820-CB58DA0D9C46}" uniqueName="8" name="Дата" queryTableFieldId="19" dataDxfId="141"/>
    <tableColumn id="9" xr3:uid="{22B6AE73-6E8B-4F81-B85C-3D141AD4D773}" uniqueName="9" name="Время" queryTableFieldId="20" dataDxfId="140"/>
    <tableColumn id="5" xr3:uid="{CB5AF0FF-A861-4F29-BFD9-751A47066C68}" uniqueName="5" name="Событие" queryTableFieldId="27" dataDxfId="139"/>
    <tableColumn id="7" xr3:uid="{63916370-0910-4B95-ABB4-D88865AA9E43}" uniqueName="7" name="Объект" queryTableFieldId="29" dataDxfId="138"/>
    <tableColumn id="10" xr3:uid="{DDC7656E-7390-4778-A2CE-EEC7AC518263}" uniqueName="10" name="Груз" queryTableFieldId="30" dataDxfId="13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36"/>
    <tableColumn id="4" xr3:uid="{96665EED-E1B8-437C-869A-35CB5BA419D3}" uniqueName="4" name="Name" queryTableFieldId="14" dataDxfId="135"/>
    <tableColumn id="1" xr3:uid="{1F225BD8-B59D-4058-9D99-17124C1F38FB}" uniqueName="1" name="Folder Path" queryTableFieldId="11" dataDxfId="13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3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93" tableType="queryTable" totalsRowShown="0">
  <tableColumns count="13">
    <tableColumn id="11" xr3:uid="{F25D1388-C4DF-49FB-9BF5-0132CEDCCAEA}" uniqueName="11" name="День нед" queryTableFieldId="39" dataDxfId="52"/>
    <tableColumn id="8" xr3:uid="{9EDCCA26-9FD6-4F66-9134-186F89CA663B}" uniqueName="8" name="Дата" queryTableFieldId="19" dataDxfId="51"/>
    <tableColumn id="9" xr3:uid="{FB005DB9-8D3C-48A5-94F1-246606C665DD}" uniqueName="9" name="Время" queryTableFieldId="20" dataDxfId="50"/>
    <tableColumn id="5" xr3:uid="{6D19407C-64CF-4FC5-95E7-163AA12EB226}" uniqueName="5" name="Событие" queryTableFieldId="27" dataDxfId="49"/>
    <tableColumn id="7" xr3:uid="{007BF834-0BCB-4416-8941-11DA4EDFCE5B}" uniqueName="7" name="Объект" queryTableFieldId="29" dataDxfId="48"/>
    <tableColumn id="10" xr3:uid="{E896F002-4451-441D-B0CB-52AD69A6E5C3}" uniqueName="10" name="Груз" queryTableFieldId="30" dataDxfId="4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6"/>
    <tableColumn id="4" xr3:uid="{9F6560FA-27F8-4BE9-BA58-3B0E40F582E5}" uniqueName="4" name="Name" queryTableFieldId="14" dataDxfId="45"/>
    <tableColumn id="1" xr3:uid="{44892CD0-9118-4535-9434-E49462140346}" uniqueName="1" name="Folder Path" queryTableFieldId="11" dataDxfId="4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28" tableType="queryTable" totalsRowShown="0">
  <tableColumns count="13">
    <tableColumn id="11" xr3:uid="{390CB009-E9E0-4C0F-93C3-AF6B408B816B}" uniqueName="11" name="День нед" queryTableFieldId="39" dataDxfId="102"/>
    <tableColumn id="8" xr3:uid="{E0A1C296-A368-479C-9A74-85306B3C03D4}" uniqueName="8" name="Дата" queryTableFieldId="19" dataDxfId="101"/>
    <tableColumn id="9" xr3:uid="{86401298-83EB-49D3-ACBA-E743586F5CCB}" uniqueName="9" name="Время" queryTableFieldId="20" dataDxfId="100"/>
    <tableColumn id="5" xr3:uid="{FFB4F03A-A400-4544-A729-2375A1F7D5E8}" uniqueName="5" name="Событие" queryTableFieldId="27" dataDxfId="99"/>
    <tableColumn id="7" xr3:uid="{D96DCF3C-D325-4D0C-94A1-DBE97CC5C9DC}" uniqueName="7" name="Объект" queryTableFieldId="29" dataDxfId="98"/>
    <tableColumn id="10" xr3:uid="{76D99262-42F5-447E-95AC-9C2A84BF344C}" uniqueName="10" name="Груз" queryTableFieldId="30" dataDxfId="9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6"/>
    <tableColumn id="4" xr3:uid="{D16AEB37-7A8A-406F-8ED7-B8D53BAA9BD9}" uniqueName="4" name="Name" queryTableFieldId="14" dataDxfId="95"/>
    <tableColumn id="1" xr3:uid="{1746BE5F-089A-476F-AE8D-5F2B27E9AEEA}" uniqueName="1" name="Folder Path" queryTableFieldId="11" dataDxfId="9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46" tableType="queryTable" totalsRowShown="0">
  <tableColumns count="13">
    <tableColumn id="11" xr3:uid="{45D23538-AB74-404E-8577-E2B7A36436AF}" uniqueName="11" name="День нед" queryTableFieldId="39" dataDxfId="122"/>
    <tableColumn id="8" xr3:uid="{40B01B94-168F-4547-A2BC-AA7F91350AB3}" uniqueName="8" name="Дата" queryTableFieldId="19" dataDxfId="121"/>
    <tableColumn id="9" xr3:uid="{A2C94EFB-3081-4BA9-85C2-DFF0455AFA43}" uniqueName="9" name="Время" queryTableFieldId="20" dataDxfId="120"/>
    <tableColumn id="5" xr3:uid="{244D3D34-C9EC-4B9C-BE81-12A0C0BB4342}" uniqueName="5" name="Событие" queryTableFieldId="27" dataDxfId="119"/>
    <tableColumn id="7" xr3:uid="{C449A112-E8A8-4956-B85C-2BA12316F170}" uniqueName="7" name="Объект" queryTableFieldId="29" dataDxfId="118"/>
    <tableColumn id="10" xr3:uid="{C8411557-C312-4542-93DA-DF5949399E11}" uniqueName="10" name="Груз" queryTableFieldId="30" dataDxfId="11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6"/>
    <tableColumn id="4" xr3:uid="{6A396D44-0898-4737-A4C1-8D6D40981793}" uniqueName="4" name="Name" queryTableFieldId="14" dataDxfId="115"/>
    <tableColumn id="1" xr3:uid="{328F21C9-48B9-4081-9B8C-BBD168BD38D1}" uniqueName="1" name="Folder Path" queryTableFieldId="11" dataDxfId="11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3" tableType="queryTable" totalsRowShown="0">
  <tableColumns count="13">
    <tableColumn id="11" xr3:uid="{2311EAC9-4673-4BE2-ADB0-E8CEB0BD9945}" uniqueName="11" name="День нед" queryTableFieldId="39" dataDxfId="31"/>
    <tableColumn id="8" xr3:uid="{F1C9804A-F8E7-4755-B717-859265C587A2}" uniqueName="8" name="Дата" queryTableFieldId="19" dataDxfId="30"/>
    <tableColumn id="9" xr3:uid="{1C2BA522-8D4F-4713-849C-1F60357B476E}" uniqueName="9" name="Время" queryTableFieldId="20" dataDxfId="29"/>
    <tableColumn id="5" xr3:uid="{6E084A00-DC62-4E93-8ABC-4651FD4D2408}" uniqueName="5" name="Событие" queryTableFieldId="27" dataDxfId="28"/>
    <tableColumn id="7" xr3:uid="{C9F6EF14-DBE7-4655-9D20-5B253923C11E}" uniqueName="7" name="Объект" queryTableFieldId="29" dataDxfId="27"/>
    <tableColumn id="10" xr3:uid="{0ADEC0F9-9FE9-4E92-BD38-0B8CDDE1BDBD}" uniqueName="10" name="Груз" queryTableFieldId="30" dataDxfId="2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25"/>
    <tableColumn id="4" xr3:uid="{FE606B6B-0A78-44A2-B44F-54FBA553BAD6}" uniqueName="4" name="Name" queryTableFieldId="14" dataDxfId="24"/>
    <tableColumn id="1" xr3:uid="{34274AB2-665A-4EF1-8C79-4944C9C122A7}" uniqueName="1" name="Folder Path" queryTableFieldId="11" dataDxfId="2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2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112"/>
    <tableColumn id="8" xr3:uid="{0D9F5C4C-70B0-46E2-9E29-649E206B6616}" uniqueName="8" name="Дата" queryTableFieldId="19" dataDxfId="111"/>
    <tableColumn id="9" xr3:uid="{7C8561D4-BD7D-493F-BC95-213F2D55F3FD}" uniqueName="9" name="Время" queryTableFieldId="20" dataDxfId="110"/>
    <tableColumn id="5" xr3:uid="{E48795B2-2732-4E4A-81E8-B1585581420B}" uniqueName="5" name="Событие" queryTableFieldId="27" dataDxfId="109"/>
    <tableColumn id="7" xr3:uid="{F684EE24-0636-4EC2-AB94-A65EA5355534}" uniqueName="7" name="Объект" queryTableFieldId="29" dataDxfId="108"/>
    <tableColumn id="10" xr3:uid="{0C1B5273-277F-4438-B52D-9F868AD13DEE}" uniqueName="10" name="Груз" queryTableFieldId="30" dataDxfId="1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6"/>
    <tableColumn id="4" xr3:uid="{729433F6-F4FD-435B-851D-D34CC9060068}" uniqueName="4" name="Name" queryTableFieldId="14" dataDxfId="105"/>
    <tableColumn id="1" xr3:uid="{7A9B9B80-B872-4A82-9D9D-98A75E20F89B}" uniqueName="1" name="Folder Path" queryTableFieldId="11" dataDxfId="1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21"/>
    <tableColumn id="8" xr3:uid="{1A2A3B97-F602-468E-8AD3-5DD492638A71}" uniqueName="8" name="Дата" queryTableFieldId="19" dataDxfId="20"/>
    <tableColumn id="9" xr3:uid="{E8725BDD-FF6C-47C3-9100-825160B93721}" uniqueName="9" name="Время" queryTableFieldId="20" dataDxfId="19"/>
    <tableColumn id="5" xr3:uid="{F68EB906-7F6F-4765-A5C8-9B40064179BE}" uniqueName="5" name="Событие" queryTableFieldId="27" dataDxfId="18"/>
    <tableColumn id="7" xr3:uid="{812FE0F9-0D7E-497C-893A-B104BA069155}" uniqueName="7" name="Объект" queryTableFieldId="29" dataDxfId="17"/>
    <tableColumn id="10" xr3:uid="{1679E688-A047-4936-9EBC-9BDCFEA4CD95}" uniqueName="10" name="Груз" queryTableFieldId="30" dataDxfId="1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5"/>
    <tableColumn id="4" xr3:uid="{F9F7F55E-2CCF-4A6B-892F-1C76C0668832}" uniqueName="4" name="Name" queryTableFieldId="14" dataDxfId="14"/>
    <tableColumn id="1" xr3:uid="{0AF9B05B-8D0E-4B8A-81D0-358A18429CE8}" uniqueName="1" name="Folder Path" queryTableFieldId="11" dataDxfId="1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92"/>
    <tableColumn id="8" xr3:uid="{FBEC9ECA-BD5C-442E-BB86-7CCAEF9464D2}" uniqueName="8" name="Дата" queryTableFieldId="19" dataDxfId="91"/>
    <tableColumn id="9" xr3:uid="{68242AF7-BC60-4380-843B-35A6CC4A66E6}" uniqueName="9" name="Время" queryTableFieldId="20" dataDxfId="90"/>
    <tableColumn id="5" xr3:uid="{C98BCFD6-9DE9-4A28-B769-F5737933429D}" uniqueName="5" name="Событие" queryTableFieldId="27" dataDxfId="89"/>
    <tableColumn id="7" xr3:uid="{4D44F8D4-93A4-4851-894E-AC8CDD93BD71}" uniqueName="7" name="Объект" queryTableFieldId="29" dataDxfId="88"/>
    <tableColumn id="10" xr3:uid="{0A838B00-A88A-40EE-A542-7E8E08968D89}" uniqueName="10" name="Груз" queryTableFieldId="30" dataDxfId="87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6"/>
    <tableColumn id="4" xr3:uid="{4FA2E248-D5A3-4824-875F-C328FA9AC2F9}" uniqueName="4" name="Name" queryTableFieldId="14" dataDxfId="85"/>
    <tableColumn id="1" xr3:uid="{B01A6B83-82C4-4172-AD5B-D2AF410DBE1B}" uniqueName="1" name="Folder Path" queryTableFieldId="11" dataDxfId="84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82"/>
    <tableColumn id="8" xr3:uid="{C788117B-4896-492B-97B3-B2502F0537D8}" uniqueName="8" name="Дата" queryTableFieldId="19" dataDxfId="81"/>
    <tableColumn id="9" xr3:uid="{E3EF5757-6705-492A-BD76-A47D414757C0}" uniqueName="9" name="Время" queryTableFieldId="20" dataDxfId="80"/>
    <tableColumn id="5" xr3:uid="{EF049B28-F832-4F3D-AB4F-3C396920BF5B}" uniqueName="5" name="Событие" queryTableFieldId="27" dataDxfId="79"/>
    <tableColumn id="7" xr3:uid="{DDB63E42-2809-4377-A568-A326109989E9}" uniqueName="7" name="Объект" queryTableFieldId="29" dataDxfId="78"/>
    <tableColumn id="10" xr3:uid="{A4FCF3D3-582A-4DEF-8FB8-9D050C82517D}" uniqueName="10" name="Груз" queryTableFieldId="30" dataDxfId="7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6"/>
    <tableColumn id="4" xr3:uid="{DA63B8EC-3587-40B4-A86A-92B91C78723D}" uniqueName="4" name="Name" queryTableFieldId="14" dataDxfId="75"/>
    <tableColumn id="1" xr3:uid="{360C7476-DEC6-4377-8E95-D472C6673B12}" uniqueName="1" name="Folder Path" queryTableFieldId="11" dataDxfId="7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05" tableType="queryTable" totalsRowShown="0">
  <tableColumns count="13">
    <tableColumn id="11" xr3:uid="{C40005DE-8CA6-428A-9DF2-E715CC943F02}" uniqueName="11" name="День нед" queryTableFieldId="39" dataDxfId="72"/>
    <tableColumn id="8" xr3:uid="{55C75F47-F14F-483C-9C7A-95288D9463D6}" uniqueName="8" name="Дата" queryTableFieldId="19" dataDxfId="71"/>
    <tableColumn id="9" xr3:uid="{79D3981C-638A-4D64-BACB-D64D85DAC855}" uniqueName="9" name="Время" queryTableFieldId="20" dataDxfId="70"/>
    <tableColumn id="5" xr3:uid="{B0B848B5-29B2-4292-89A5-7DE5A2F72D15}" uniqueName="5" name="Событие" queryTableFieldId="27" dataDxfId="69"/>
    <tableColumn id="7" xr3:uid="{A9E0C8AC-2336-4969-BC3E-110E6C33529C}" uniqueName="7" name="Объект" queryTableFieldId="29" dataDxfId="68"/>
    <tableColumn id="10" xr3:uid="{F8691CA5-2689-452F-9550-C52E06B35BD6}" uniqueName="10" name="Груз" queryTableFieldId="30" dataDxfId="6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66"/>
    <tableColumn id="4" xr3:uid="{E9716AC2-8439-4E67-8698-BA6CD84F7B9C}" uniqueName="4" name="Name" queryTableFieldId="14" dataDxfId="65"/>
    <tableColumn id="1" xr3:uid="{9AB30DEC-91E3-4633-A156-B937B586CECB}" uniqueName="1" name="Folder Path" queryTableFieldId="11" dataDxfId="6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3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78" tableType="queryTable" totalsRowShown="0">
  <tableColumns count="13">
    <tableColumn id="11" xr3:uid="{B21CFC33-55C8-4073-BBD2-E0A5154A10D6}" uniqueName="11" name="День нед" queryTableFieldId="39" dataDxfId="62"/>
    <tableColumn id="8" xr3:uid="{004370C0-0D3C-4162-A392-32C741C3A58B}" uniqueName="8" name="Дата" queryTableFieldId="19" dataDxfId="61"/>
    <tableColumn id="9" xr3:uid="{6537DA5E-247D-44FB-ACE3-933B3C9B9408}" uniqueName="9" name="Время" queryTableFieldId="20" dataDxfId="60"/>
    <tableColumn id="5" xr3:uid="{4FA9309D-407E-48C1-B1F9-C33DEA7645B1}" uniqueName="5" name="Событие" queryTableFieldId="27" dataDxfId="59"/>
    <tableColumn id="7" xr3:uid="{76E54E9E-D730-4C99-9BF5-96E9384FF63C}" uniqueName="7" name="Объект" queryTableFieldId="29" dataDxfId="58"/>
    <tableColumn id="10" xr3:uid="{B9F78DE2-7938-486B-9BE2-F824D0E7A6C4}" uniqueName="10" name="Груз" queryTableFieldId="30" dataDxfId="5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6"/>
    <tableColumn id="4" xr3:uid="{921D28C1-5761-48A7-B447-6A4446F87545}" uniqueName="4" name="Name" queryTableFieldId="14" dataDxfId="55"/>
    <tableColumn id="1" xr3:uid="{F1A648C1-8DB5-4DEF-B011-BD85E17FCAA3}" uniqueName="1" name="Folder Path" queryTableFieldId="11" dataDxfId="5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42"/>
    <tableColumn id="8" xr3:uid="{60928C38-9593-43BD-B23F-A707A8BA6BF4}" uniqueName="8" name="Дата" queryTableFieldId="19" dataDxfId="41"/>
    <tableColumn id="9" xr3:uid="{9E5D4465-E1ED-428A-B708-C10ADDB65305}" uniqueName="9" name="Время" queryTableFieldId="20" dataDxfId="40"/>
    <tableColumn id="5" xr3:uid="{A9911CA3-0E83-4156-B13A-725D5483CB80}" uniqueName="5" name="Событие" queryTableFieldId="27" dataDxfId="39"/>
    <tableColumn id="7" xr3:uid="{22ACAF1F-F285-43EB-B67C-1DAA0609E04C}" uniqueName="7" name="Объект" queryTableFieldId="29" dataDxfId="38"/>
    <tableColumn id="10" xr3:uid="{8E679C38-5159-496B-8534-CDFA63A95BDF}" uniqueName="10" name="Груз" queryTableFieldId="30" dataDxfId="37"/>
    <tableColumn id="13" xr3:uid="{A06491EC-5198-4E5F-9576-1A3B2FF455BF}" uniqueName="13" name="Кол-во" queryTableFieldId="31" dataDxfId="36"/>
    <tableColumn id="14" xr3:uid="{881B0B85-064A-4D8F-922A-E2F2D20FE30E}" uniqueName="14" name="Примечание" queryTableFieldId="32" dataDxfId="35"/>
    <tableColumn id="4" xr3:uid="{83859021-3431-4733-9E28-9475D80139E8}" uniqueName="4" name="Name" queryTableFieldId="14" dataDxfId="34"/>
    <tableColumn id="1" xr3:uid="{F6AD7BBE-7CE0-4E30-97C2-B8AA8EFFB52B}" uniqueName="1" name="Folder Path" queryTableFieldId="11" dataDxfId="3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872" totalsRowShown="0">
  <autoFilter ref="A1:G3872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892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91" priority="21" operator="notContains" text="порожний">
      <formula>ISERROR(SEARCH("порожний",F2))</formula>
    </cfRule>
  </conditionalFormatting>
  <conditionalFormatting sqref="E2:E265">
    <cfRule type="containsText" dxfId="890" priority="12" operator="containsText" text="Газель базы">
      <formula>NOT(ISERROR(SEARCH("Газель базы",E2)))</formula>
    </cfRule>
    <cfRule type="containsText" dxfId="889" priority="13" operator="containsText" text="Погрузчик базы">
      <formula>NOT(ISERROR(SEARCH("Погрузчик базы",E2)))</formula>
    </cfRule>
  </conditionalFormatting>
  <conditionalFormatting sqref="E2:E265">
    <cfRule type="containsText" dxfId="888" priority="11" operator="containsText" text="Трактор базы">
      <formula>NOT(ISERROR(SEARCH("Трактор базы",E2)))</formula>
    </cfRule>
  </conditionalFormatting>
  <conditionalFormatting sqref="A2:C251">
    <cfRule type="expression" dxfId="887" priority="9">
      <formula>$A2="пн"</formula>
    </cfRule>
  </conditionalFormatting>
  <conditionalFormatting sqref="A2:C253">
    <cfRule type="expression" dxfId="886" priority="3">
      <formula>$A2="вс"</formula>
    </cfRule>
    <cfRule type="expression" dxfId="885" priority="4">
      <formula>$A2="сб"</formula>
    </cfRule>
    <cfRule type="expression" dxfId="884" priority="5">
      <formula>$A2="пт"</formula>
    </cfRule>
    <cfRule type="expression" dxfId="883" priority="6">
      <formula>$A2="чт"</formula>
    </cfRule>
    <cfRule type="expression" dxfId="882" priority="7">
      <formula>$A2="ср"</formula>
    </cfRule>
    <cfRule type="expression" dxfId="881" priority="8">
      <formula>$A2="вт"</formula>
    </cfRule>
  </conditionalFormatting>
  <conditionalFormatting sqref="D2:D262">
    <cfRule type="containsText" dxfId="8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77" priority="13" operator="notContains" text="порожний">
      <formula>ISERROR(SEARCH("порожний",F2))</formula>
    </cfRule>
  </conditionalFormatting>
  <conditionalFormatting sqref="E2:E293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293">
    <cfRule type="containsText" dxfId="874" priority="10" operator="containsText" text="Трактор базы">
      <formula>NOT(ISERROR(SEARCH("Трактор базы",E2)))</formula>
    </cfRule>
  </conditionalFormatting>
  <conditionalFormatting sqref="A2:C279">
    <cfRule type="expression" dxfId="873" priority="9">
      <formula>$A2="пн"</formula>
    </cfRule>
  </conditionalFormatting>
  <conditionalFormatting sqref="A2:C281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290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864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863" priority="13" operator="notContains" text="порожний">
      <formula>ISERROR(SEARCH("порожний",F2))</formula>
    </cfRule>
  </conditionalFormatting>
  <conditionalFormatting sqref="E2:E175">
    <cfRule type="containsText" dxfId="862" priority="11" operator="containsText" text="Газель базы">
      <formula>NOT(ISERROR(SEARCH("Газель базы",E2)))</formula>
    </cfRule>
    <cfRule type="containsText" dxfId="861" priority="12" operator="containsText" text="Погрузчик базы">
      <formula>NOT(ISERROR(SEARCH("Погрузчик базы",E2)))</formula>
    </cfRule>
  </conditionalFormatting>
  <conditionalFormatting sqref="E2:E175">
    <cfRule type="containsText" dxfId="860" priority="10" operator="containsText" text="Трактор базы">
      <formula>NOT(ISERROR(SEARCH("Трактор базы",E2)))</formula>
    </cfRule>
  </conditionalFormatting>
  <conditionalFormatting sqref="A2:C161">
    <cfRule type="expression" dxfId="859" priority="9">
      <formula>$A2="пн"</formula>
    </cfRule>
  </conditionalFormatting>
  <conditionalFormatting sqref="A2:C163">
    <cfRule type="expression" dxfId="858" priority="3">
      <formula>$A2="вс"</formula>
    </cfRule>
    <cfRule type="expression" dxfId="857" priority="4">
      <formula>$A2="сб"</formula>
    </cfRule>
    <cfRule type="expression" dxfId="856" priority="5">
      <formula>$A2="пт"</formula>
    </cfRule>
    <cfRule type="expression" dxfId="855" priority="6">
      <formula>$A2="чт"</formula>
    </cfRule>
    <cfRule type="expression" dxfId="854" priority="7">
      <formula>$A2="ср"</formula>
    </cfRule>
    <cfRule type="expression" dxfId="853" priority="8">
      <formula>$A2="вт"</formula>
    </cfRule>
  </conditionalFormatting>
  <conditionalFormatting sqref="D2:D172">
    <cfRule type="containsText" dxfId="8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8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93"/>
  <sheetViews>
    <sheetView zoomScale="90" zoomScaleNormal="90" workbookViewId="0">
      <pane ySplit="1" topLeftCell="A164" activePane="bottomLeft" state="frozen"/>
      <selection pane="bottomLeft" activeCell="I193" sqref="I19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285156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t="s">
        <v>4</v>
      </c>
      <c r="E88" t="s">
        <v>6867</v>
      </c>
      <c r="I88" t="s">
        <v>6703</v>
      </c>
      <c r="J8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t="s">
        <v>650</v>
      </c>
      <c r="E89" t="s">
        <v>6190</v>
      </c>
      <c r="F89" t="s">
        <v>51</v>
      </c>
      <c r="I89" t="s">
        <v>6706</v>
      </c>
      <c r="J8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t="s">
        <v>1606</v>
      </c>
      <c r="E90" t="s">
        <v>6190</v>
      </c>
      <c r="F90" t="s">
        <v>51</v>
      </c>
      <c r="I90" t="s">
        <v>6709</v>
      </c>
      <c r="J9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t="s">
        <v>2004</v>
      </c>
      <c r="E91" t="s">
        <v>8</v>
      </c>
      <c r="I91" t="s">
        <v>6905</v>
      </c>
      <c r="J91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t="s">
        <v>2004</v>
      </c>
      <c r="E92" t="s">
        <v>8</v>
      </c>
      <c r="I92" t="s">
        <v>6908</v>
      </c>
      <c r="J92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t="s">
        <v>2004</v>
      </c>
      <c r="E93" t="s">
        <v>8</v>
      </c>
      <c r="I93" t="s">
        <v>7184</v>
      </c>
      <c r="J93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t="s">
        <v>2004</v>
      </c>
      <c r="E94" t="s">
        <v>8</v>
      </c>
      <c r="I94" t="s">
        <v>7227</v>
      </c>
      <c r="J94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t="s">
        <v>1606</v>
      </c>
      <c r="E95" t="s">
        <v>7410</v>
      </c>
      <c r="F95" t="s">
        <v>60</v>
      </c>
      <c r="I95" t="s">
        <v>7230</v>
      </c>
      <c r="J95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t="s">
        <v>4216</v>
      </c>
      <c r="E96" t="s">
        <v>7410</v>
      </c>
      <c r="F96" t="s">
        <v>60</v>
      </c>
      <c r="I96" t="s">
        <v>7233</v>
      </c>
      <c r="J96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t="s">
        <v>290</v>
      </c>
      <c r="E97" t="s">
        <v>7410</v>
      </c>
      <c r="F97" t="s">
        <v>60</v>
      </c>
      <c r="I97" t="s">
        <v>7236</v>
      </c>
      <c r="J97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t="s">
        <v>650</v>
      </c>
      <c r="E98" t="s">
        <v>7410</v>
      </c>
      <c r="F98" t="s">
        <v>51</v>
      </c>
      <c r="I98" t="s">
        <v>7239</v>
      </c>
      <c r="J9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t="s">
        <v>2004</v>
      </c>
      <c r="E99" t="s">
        <v>8</v>
      </c>
      <c r="I99" t="s">
        <v>7568</v>
      </c>
      <c r="J9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t="s">
        <v>1606</v>
      </c>
      <c r="E100" t="s">
        <v>7706</v>
      </c>
      <c r="F100" t="s">
        <v>60</v>
      </c>
      <c r="I100" t="s">
        <v>7571</v>
      </c>
      <c r="J10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t="s">
        <v>6171</v>
      </c>
      <c r="E101" t="s">
        <v>7706</v>
      </c>
      <c r="F101" t="s">
        <v>60</v>
      </c>
      <c r="I101" t="s">
        <v>7574</v>
      </c>
      <c r="J101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t="s">
        <v>650</v>
      </c>
      <c r="E102" t="s">
        <v>7706</v>
      </c>
      <c r="F102" t="s">
        <v>51</v>
      </c>
      <c r="I102" t="s">
        <v>7577</v>
      </c>
      <c r="J102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t="s">
        <v>2004</v>
      </c>
      <c r="E103" t="s">
        <v>8</v>
      </c>
      <c r="I103" t="s">
        <v>7580</v>
      </c>
      <c r="J103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t="s">
        <v>2004</v>
      </c>
      <c r="E104" t="s">
        <v>8</v>
      </c>
      <c r="I104" t="s">
        <v>7828</v>
      </c>
      <c r="J104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t="s">
        <v>8042</v>
      </c>
      <c r="E105" t="s">
        <v>6656</v>
      </c>
      <c r="F105" t="s">
        <v>5076</v>
      </c>
      <c r="I105" t="s">
        <v>7992</v>
      </c>
      <c r="J105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t="s">
        <v>4</v>
      </c>
      <c r="E106" t="s">
        <v>6656</v>
      </c>
      <c r="F106" t="s">
        <v>5076</v>
      </c>
      <c r="H106" t="s">
        <v>8043</v>
      </c>
      <c r="I106" t="s">
        <v>7995</v>
      </c>
      <c r="J106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t="s">
        <v>4</v>
      </c>
      <c r="E107" t="s">
        <v>4193</v>
      </c>
      <c r="F107" t="s">
        <v>5076</v>
      </c>
      <c r="I107" t="s">
        <v>7998</v>
      </c>
      <c r="J107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t="s">
        <v>4</v>
      </c>
      <c r="E108" t="s">
        <v>8</v>
      </c>
      <c r="H108" t="s">
        <v>8044</v>
      </c>
      <c r="I108" t="s">
        <v>8001</v>
      </c>
      <c r="J10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t="s">
        <v>650</v>
      </c>
      <c r="E109" t="s">
        <v>6190</v>
      </c>
      <c r="F109" t="s">
        <v>51</v>
      </c>
      <c r="I109" t="s">
        <v>8004</v>
      </c>
      <c r="J10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t="s">
        <v>1606</v>
      </c>
      <c r="E110" t="s">
        <v>8041</v>
      </c>
      <c r="I110" t="s">
        <v>8007</v>
      </c>
      <c r="J1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t="s">
        <v>650</v>
      </c>
      <c r="E111" t="s">
        <v>8041</v>
      </c>
      <c r="I111" t="s">
        <v>8010</v>
      </c>
      <c r="J111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t="s">
        <v>1606</v>
      </c>
      <c r="E112" t="s">
        <v>6190</v>
      </c>
      <c r="I112" t="s">
        <v>8013</v>
      </c>
      <c r="J112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t="s">
        <v>4</v>
      </c>
      <c r="E113" t="s">
        <v>1607</v>
      </c>
      <c r="F113" t="s">
        <v>8330</v>
      </c>
      <c r="I113" t="s">
        <v>8090</v>
      </c>
      <c r="J113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t="s">
        <v>4</v>
      </c>
      <c r="E114" t="s">
        <v>8</v>
      </c>
      <c r="I114" t="s">
        <v>8093</v>
      </c>
      <c r="J114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t="s">
        <v>2004</v>
      </c>
      <c r="E115" t="s">
        <v>8</v>
      </c>
      <c r="I115" t="s">
        <v>8096</v>
      </c>
      <c r="J115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t="s">
        <v>2004</v>
      </c>
      <c r="E116" t="s">
        <v>8</v>
      </c>
      <c r="I116" t="s">
        <v>8099</v>
      </c>
      <c r="J116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t="s">
        <v>2004</v>
      </c>
      <c r="E117" t="s">
        <v>8</v>
      </c>
      <c r="I117" t="s">
        <v>8102</v>
      </c>
      <c r="J117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t="s">
        <v>2004</v>
      </c>
      <c r="E118" t="s">
        <v>8</v>
      </c>
      <c r="I118" t="s">
        <v>8105</v>
      </c>
      <c r="J11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t="s">
        <v>2004</v>
      </c>
      <c r="E119" t="s">
        <v>8</v>
      </c>
      <c r="I119" t="s">
        <v>8402</v>
      </c>
      <c r="J11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t="s">
        <v>2004</v>
      </c>
      <c r="E120" t="s">
        <v>8</v>
      </c>
      <c r="I120" t="s">
        <v>8405</v>
      </c>
      <c r="J12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t="s">
        <v>2004</v>
      </c>
      <c r="E121" t="s">
        <v>8</v>
      </c>
      <c r="I121" t="s">
        <v>8408</v>
      </c>
      <c r="J121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t="s">
        <v>2004</v>
      </c>
      <c r="E122" t="s">
        <v>8</v>
      </c>
      <c r="I122" t="s">
        <v>8640</v>
      </c>
      <c r="J122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t="s">
        <v>4</v>
      </c>
      <c r="E123" t="s">
        <v>8</v>
      </c>
      <c r="I123" t="s">
        <v>8643</v>
      </c>
      <c r="J123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t="s">
        <v>4</v>
      </c>
      <c r="E124" t="s">
        <v>8</v>
      </c>
      <c r="I124" t="s">
        <v>8646</v>
      </c>
      <c r="J124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t="s">
        <v>4</v>
      </c>
      <c r="E125" t="s">
        <v>8</v>
      </c>
      <c r="I125" t="s">
        <v>8649</v>
      </c>
      <c r="J125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t="s">
        <v>4</v>
      </c>
      <c r="E126" t="s">
        <v>1607</v>
      </c>
      <c r="I126" t="s">
        <v>8652</v>
      </c>
      <c r="J126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t="s">
        <v>4</v>
      </c>
      <c r="E127" t="s">
        <v>8803</v>
      </c>
      <c r="I127" t="s">
        <v>8655</v>
      </c>
      <c r="J127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t="s">
        <v>4</v>
      </c>
      <c r="E128" t="s">
        <v>8803</v>
      </c>
      <c r="I128" t="s">
        <v>8658</v>
      </c>
      <c r="J12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t="s">
        <v>1606</v>
      </c>
      <c r="E129" t="s">
        <v>8801</v>
      </c>
      <c r="I129" t="s">
        <v>8661</v>
      </c>
      <c r="J12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t="s">
        <v>1606</v>
      </c>
      <c r="E130" t="s">
        <v>8802</v>
      </c>
      <c r="I130" t="s">
        <v>8664</v>
      </c>
      <c r="J13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t="s">
        <v>650</v>
      </c>
      <c r="E131" t="s">
        <v>8802</v>
      </c>
      <c r="I131" t="s">
        <v>8667</v>
      </c>
      <c r="J131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t="s">
        <v>650</v>
      </c>
      <c r="E132" t="s">
        <v>8801</v>
      </c>
      <c r="I132" t="s">
        <v>8670</v>
      </c>
      <c r="J132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t="s">
        <v>2004</v>
      </c>
      <c r="E133" t="s">
        <v>8</v>
      </c>
      <c r="I133" t="s">
        <v>8673</v>
      </c>
      <c r="J133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t="s">
        <v>4</v>
      </c>
      <c r="E134" t="s">
        <v>8804</v>
      </c>
      <c r="I134" t="s">
        <v>8676</v>
      </c>
      <c r="J134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t="s">
        <v>2004</v>
      </c>
      <c r="E135" t="s">
        <v>8</v>
      </c>
      <c r="I135" t="s">
        <v>6161</v>
      </c>
      <c r="J135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t="s">
        <v>2004</v>
      </c>
      <c r="E136" t="s">
        <v>8</v>
      </c>
      <c r="I136" t="s">
        <v>7998</v>
      </c>
      <c r="J136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t="s">
        <v>4</v>
      </c>
      <c r="E137" t="s">
        <v>8803</v>
      </c>
      <c r="I137" t="s">
        <v>8988</v>
      </c>
      <c r="J137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t="s">
        <v>4</v>
      </c>
      <c r="E138" t="s">
        <v>8803</v>
      </c>
      <c r="I138" t="s">
        <v>8991</v>
      </c>
      <c r="J13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t="s">
        <v>4</v>
      </c>
      <c r="E139" t="s">
        <v>8803</v>
      </c>
      <c r="I139" t="s">
        <v>9255</v>
      </c>
      <c r="J13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t="s">
        <v>4</v>
      </c>
      <c r="E140" t="s">
        <v>8803</v>
      </c>
      <c r="I140" t="s">
        <v>9352</v>
      </c>
      <c r="J14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t="s">
        <v>4</v>
      </c>
      <c r="E141" t="s">
        <v>9367</v>
      </c>
      <c r="I141" t="s">
        <v>9355</v>
      </c>
      <c r="J141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t="s">
        <v>158</v>
      </c>
      <c r="E142" t="s">
        <v>5480</v>
      </c>
      <c r="F142" t="s">
        <v>528</v>
      </c>
      <c r="I142" t="s">
        <v>9358</v>
      </c>
      <c r="J142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t="s">
        <v>158</v>
      </c>
      <c r="E143" t="s">
        <v>5480</v>
      </c>
      <c r="F143" t="s">
        <v>528</v>
      </c>
      <c r="H143" t="s">
        <v>2936</v>
      </c>
      <c r="I143" t="s">
        <v>9361</v>
      </c>
      <c r="J143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t="s">
        <v>4</v>
      </c>
      <c r="E144" t="s">
        <v>9368</v>
      </c>
      <c r="I144" t="s">
        <v>9364</v>
      </c>
      <c r="J144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t="s">
        <v>4</v>
      </c>
      <c r="E145" t="s">
        <v>8803</v>
      </c>
      <c r="I145" t="s">
        <v>9633</v>
      </c>
      <c r="J145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t="s">
        <v>2004</v>
      </c>
      <c r="E146" t="s">
        <v>8</v>
      </c>
      <c r="I146" t="s">
        <v>9636</v>
      </c>
      <c r="J146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t="s">
        <v>4</v>
      </c>
      <c r="E147" t="s">
        <v>8803</v>
      </c>
      <c r="I147" t="s">
        <v>9726</v>
      </c>
      <c r="J147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t="s">
        <v>4</v>
      </c>
      <c r="E148" t="s">
        <v>8803</v>
      </c>
      <c r="I148" t="s">
        <v>9729</v>
      </c>
      <c r="J14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t="s">
        <v>4</v>
      </c>
      <c r="E149" t="s">
        <v>8803</v>
      </c>
      <c r="I149" t="s">
        <v>9732</v>
      </c>
      <c r="J14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t="s">
        <v>4</v>
      </c>
      <c r="E150" t="s">
        <v>8803</v>
      </c>
      <c r="I150" t="s">
        <v>10122</v>
      </c>
      <c r="J15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t="s">
        <v>4</v>
      </c>
      <c r="E151" t="s">
        <v>8803</v>
      </c>
      <c r="I151" t="s">
        <v>9960</v>
      </c>
      <c r="J151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t="s">
        <v>4</v>
      </c>
      <c r="E152" t="s">
        <v>8803</v>
      </c>
      <c r="I152" t="s">
        <v>9963</v>
      </c>
      <c r="J152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t="s">
        <v>4</v>
      </c>
      <c r="E153" t="s">
        <v>8803</v>
      </c>
      <c r="I153" t="s">
        <v>9966</v>
      </c>
      <c r="J153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t="s">
        <v>4</v>
      </c>
      <c r="E154" t="s">
        <v>10164</v>
      </c>
      <c r="I154" t="s">
        <v>10186</v>
      </c>
      <c r="J154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t="s">
        <v>4</v>
      </c>
      <c r="E155" t="s">
        <v>10164</v>
      </c>
      <c r="H155" t="s">
        <v>10280</v>
      </c>
      <c r="I155" t="s">
        <v>10268</v>
      </c>
      <c r="J155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t="s">
        <v>4</v>
      </c>
      <c r="E156" t="s">
        <v>10164</v>
      </c>
      <c r="H156" t="s">
        <v>10280</v>
      </c>
      <c r="I156" t="s">
        <v>10271</v>
      </c>
      <c r="J156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t="s">
        <v>1606</v>
      </c>
      <c r="E157" t="s">
        <v>10165</v>
      </c>
      <c r="F157" t="s">
        <v>60</v>
      </c>
      <c r="I157" t="s">
        <v>10274</v>
      </c>
      <c r="J157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t="s">
        <v>4</v>
      </c>
      <c r="E158" t="s">
        <v>8803</v>
      </c>
      <c r="I158" t="s">
        <v>10277</v>
      </c>
      <c r="J15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t="s">
        <v>2004</v>
      </c>
      <c r="E159" t="s">
        <v>8</v>
      </c>
      <c r="I159" t="s">
        <v>10494</v>
      </c>
      <c r="J15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t="s">
        <v>2004</v>
      </c>
      <c r="E160" t="s">
        <v>8</v>
      </c>
      <c r="I160" t="s">
        <v>10497</v>
      </c>
      <c r="J16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t="s">
        <v>2004</v>
      </c>
      <c r="E161" t="s">
        <v>8</v>
      </c>
      <c r="I161" t="s">
        <v>10540</v>
      </c>
      <c r="J161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t="s">
        <v>2004</v>
      </c>
      <c r="E162" t="s">
        <v>8</v>
      </c>
      <c r="I162" t="s">
        <v>10543</v>
      </c>
      <c r="J162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t="s">
        <v>4</v>
      </c>
      <c r="E163" t="s">
        <v>10886</v>
      </c>
      <c r="I163" t="s">
        <v>10710</v>
      </c>
      <c r="J163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t="s">
        <v>4</v>
      </c>
      <c r="E164" t="s">
        <v>8803</v>
      </c>
      <c r="I164" t="s">
        <v>10713</v>
      </c>
      <c r="J164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t="s">
        <v>4</v>
      </c>
      <c r="E165" t="s">
        <v>70</v>
      </c>
      <c r="F165" t="s">
        <v>5093</v>
      </c>
      <c r="I165" t="s">
        <v>10908</v>
      </c>
      <c r="J165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t="s">
        <v>289</v>
      </c>
      <c r="E166" t="s">
        <v>70</v>
      </c>
      <c r="F166" t="s">
        <v>5093</v>
      </c>
      <c r="I166" t="s">
        <v>10911</v>
      </c>
      <c r="J166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t="s">
        <v>2004</v>
      </c>
      <c r="E167" t="s">
        <v>8</v>
      </c>
      <c r="I167" t="s">
        <v>11028</v>
      </c>
      <c r="J167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t="s">
        <v>2004</v>
      </c>
      <c r="E168" t="s">
        <v>8</v>
      </c>
      <c r="I168" t="s">
        <v>11031</v>
      </c>
      <c r="J168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t="s">
        <v>4</v>
      </c>
      <c r="E169" t="s">
        <v>8803</v>
      </c>
      <c r="I169" t="s">
        <v>11187</v>
      </c>
      <c r="J169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t="s">
        <v>289</v>
      </c>
      <c r="E170" t="s">
        <v>6190</v>
      </c>
      <c r="F170" t="s">
        <v>11413</v>
      </c>
      <c r="I170" t="s">
        <v>11190</v>
      </c>
      <c r="J17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t="s">
        <v>650</v>
      </c>
      <c r="E171" t="s">
        <v>6190</v>
      </c>
      <c r="F171" t="s">
        <v>11413</v>
      </c>
      <c r="I171" t="s">
        <v>11193</v>
      </c>
      <c r="J171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t="s">
        <v>1606</v>
      </c>
      <c r="E172" t="s">
        <v>6190</v>
      </c>
      <c r="I172" t="s">
        <v>11196</v>
      </c>
      <c r="J172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t="s">
        <v>4</v>
      </c>
      <c r="E173" t="s">
        <v>8803</v>
      </c>
      <c r="I173" t="s">
        <v>11472</v>
      </c>
      <c r="J173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t="s">
        <v>4</v>
      </c>
      <c r="E174" t="s">
        <v>8803</v>
      </c>
      <c r="I174" t="s">
        <v>11475</v>
      </c>
      <c r="J174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t="s">
        <v>4</v>
      </c>
      <c r="E175" t="s">
        <v>8803</v>
      </c>
      <c r="I175" t="s">
        <v>11478</v>
      </c>
      <c r="J175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t="s">
        <v>4</v>
      </c>
      <c r="E176" t="s">
        <v>8</v>
      </c>
      <c r="I176" t="s">
        <v>11670</v>
      </c>
      <c r="J176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t="s">
        <v>2004</v>
      </c>
      <c r="E177" t="s">
        <v>8</v>
      </c>
      <c r="I177" t="s">
        <v>11673</v>
      </c>
      <c r="J177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t="s">
        <v>4</v>
      </c>
      <c r="E178" t="s">
        <v>8803</v>
      </c>
      <c r="I178" t="s">
        <v>11876</v>
      </c>
      <c r="J178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t="s">
        <v>11957</v>
      </c>
      <c r="E179" t="s">
        <v>11958</v>
      </c>
      <c r="F179" t="s">
        <v>5076</v>
      </c>
      <c r="I179" t="s">
        <v>11879</v>
      </c>
      <c r="J179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t="s">
        <v>62</v>
      </c>
      <c r="E180" t="s">
        <v>11958</v>
      </c>
      <c r="F180" t="s">
        <v>5076</v>
      </c>
      <c r="I180" t="s">
        <v>11882</v>
      </c>
      <c r="J18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t="s">
        <v>11957</v>
      </c>
      <c r="E181" t="s">
        <v>4193</v>
      </c>
      <c r="F181" t="s">
        <v>5076</v>
      </c>
      <c r="I181" t="s">
        <v>11885</v>
      </c>
      <c r="J181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t="s">
        <v>62</v>
      </c>
      <c r="E182" t="s">
        <v>4193</v>
      </c>
      <c r="F182" t="s">
        <v>5076</v>
      </c>
      <c r="I182" t="s">
        <v>11888</v>
      </c>
      <c r="J182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t="s">
        <v>1606</v>
      </c>
      <c r="E183" t="s">
        <v>70</v>
      </c>
      <c r="F183" t="s">
        <v>5076</v>
      </c>
      <c r="I183" t="s">
        <v>11891</v>
      </c>
      <c r="J183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t="s">
        <v>11957</v>
      </c>
      <c r="E184" t="s">
        <v>70</v>
      </c>
      <c r="I184" t="s">
        <v>11894</v>
      </c>
      <c r="J184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t="s">
        <v>11959</v>
      </c>
      <c r="E185" t="s">
        <v>70</v>
      </c>
      <c r="F185" t="s">
        <v>9339</v>
      </c>
      <c r="I185" t="s">
        <v>11897</v>
      </c>
      <c r="J185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t="s">
        <v>650</v>
      </c>
      <c r="E186" t="s">
        <v>70</v>
      </c>
      <c r="F186" t="s">
        <v>9339</v>
      </c>
      <c r="I186" t="s">
        <v>11900</v>
      </c>
      <c r="J186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t="s">
        <v>290</v>
      </c>
      <c r="E187" t="s">
        <v>12013</v>
      </c>
      <c r="F187" t="s">
        <v>1622</v>
      </c>
      <c r="G187">
        <v>2</v>
      </c>
      <c r="I187" t="s">
        <v>11977</v>
      </c>
      <c r="J187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t="s">
        <v>12017</v>
      </c>
      <c r="E188" t="s">
        <v>12014</v>
      </c>
      <c r="I188" t="s">
        <v>11980</v>
      </c>
      <c r="J188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t="s">
        <v>12015</v>
      </c>
      <c r="E189" t="s">
        <v>12014</v>
      </c>
      <c r="I189" t="s">
        <v>11983</v>
      </c>
      <c r="J189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t="s">
        <v>4</v>
      </c>
      <c r="E190" t="s">
        <v>12016</v>
      </c>
      <c r="I190" t="s">
        <v>11986</v>
      </c>
      <c r="J19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t="s">
        <v>12017</v>
      </c>
      <c r="E191" t="s">
        <v>12014</v>
      </c>
      <c r="I191" t="s">
        <v>11989</v>
      </c>
      <c r="J191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t="s">
        <v>62</v>
      </c>
      <c r="E192" t="s">
        <v>12014</v>
      </c>
      <c r="I192" t="s">
        <v>11992</v>
      </c>
      <c r="J192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t="s">
        <v>2004</v>
      </c>
      <c r="E193" t="s">
        <v>8</v>
      </c>
      <c r="I193" t="s">
        <v>12037</v>
      </c>
      <c r="J193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</sheetData>
  <conditionalFormatting sqref="D194:D204 E194:E207 G2:H193 D2:E193">
    <cfRule type="containsText" dxfId="850" priority="14" operator="containsText" text="Выезд с территории">
      <formula>NOT(ISERROR(SEARCH("Выезд с территории",D2)))</formula>
    </cfRule>
  </conditionalFormatting>
  <conditionalFormatting sqref="F2:F193">
    <cfRule type="notContainsText" dxfId="849" priority="13" operator="notContains" text="порожний">
      <formula>ISERROR(SEARCH("порожний",F2))</formula>
    </cfRule>
  </conditionalFormatting>
  <conditionalFormatting sqref="E2:E207">
    <cfRule type="containsText" dxfId="848" priority="11" operator="containsText" text="Газель базы">
      <formula>NOT(ISERROR(SEARCH("Газель базы",E2)))</formula>
    </cfRule>
    <cfRule type="containsText" dxfId="847" priority="12" operator="containsText" text="Погрузчик базы">
      <formula>NOT(ISERROR(SEARCH("Погрузчик базы",E2)))</formula>
    </cfRule>
  </conditionalFormatting>
  <conditionalFormatting sqref="E2:E207">
    <cfRule type="containsText" dxfId="846" priority="10" operator="containsText" text="Трактор базы">
      <formula>NOT(ISERROR(SEARCH("Трактор базы",E2)))</formula>
    </cfRule>
  </conditionalFormatting>
  <conditionalFormatting sqref="A2:C193">
    <cfRule type="expression" dxfId="845" priority="9">
      <formula>$A2="пн"</formula>
    </cfRule>
  </conditionalFormatting>
  <conditionalFormatting sqref="A2:C195">
    <cfRule type="expression" dxfId="844" priority="3">
      <formula>$A2="вс"</formula>
    </cfRule>
    <cfRule type="expression" dxfId="843" priority="4">
      <formula>$A2="сб"</formula>
    </cfRule>
    <cfRule type="expression" dxfId="842" priority="5">
      <formula>$A2="пт"</formula>
    </cfRule>
    <cfRule type="expression" dxfId="841" priority="6">
      <formula>$A2="чт"</formula>
    </cfRule>
    <cfRule type="expression" dxfId="840" priority="7">
      <formula>$A2="ср"</formula>
    </cfRule>
    <cfRule type="expression" dxfId="839" priority="8">
      <formula>$A2="вт"</formula>
    </cfRule>
  </conditionalFormatting>
  <conditionalFormatting sqref="D2:D204">
    <cfRule type="containsText" dxfId="8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4">
    <cfRule type="containsText" dxfId="8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28"/>
  <sheetViews>
    <sheetView topLeftCell="B1" zoomScale="90" zoomScaleNormal="90" workbookViewId="0">
      <pane ySplit="1" topLeftCell="A301" activePane="bottomLeft" state="frozen"/>
      <selection pane="bottomLeft" activeCell="I328" sqref="I32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t="s">
        <v>2004</v>
      </c>
      <c r="E111" t="s">
        <v>8</v>
      </c>
      <c r="I111" t="s">
        <v>6712</v>
      </c>
      <c r="J111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t="s">
        <v>4</v>
      </c>
      <c r="E112" t="s">
        <v>8</v>
      </c>
      <c r="I112" t="s">
        <v>7139</v>
      </c>
      <c r="J112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t="s">
        <v>651</v>
      </c>
      <c r="E113" t="s">
        <v>4247</v>
      </c>
      <c r="I113" t="s">
        <v>7142</v>
      </c>
      <c r="J113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t="s">
        <v>12</v>
      </c>
      <c r="E114" t="s">
        <v>1607</v>
      </c>
      <c r="I114" t="s">
        <v>7145</v>
      </c>
      <c r="J114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t="s">
        <v>4</v>
      </c>
      <c r="E115" t="s">
        <v>8</v>
      </c>
      <c r="I115" t="s">
        <v>7148</v>
      </c>
      <c r="J115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t="s">
        <v>2004</v>
      </c>
      <c r="E116" t="s">
        <v>8</v>
      </c>
      <c r="I116" t="s">
        <v>7151</v>
      </c>
      <c r="J116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t="s">
        <v>2004</v>
      </c>
      <c r="E117" t="s">
        <v>8</v>
      </c>
      <c r="I117" t="s">
        <v>7154</v>
      </c>
      <c r="J117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t="s">
        <v>2004</v>
      </c>
      <c r="E118" t="s">
        <v>8</v>
      </c>
      <c r="I118" t="s">
        <v>7172</v>
      </c>
      <c r="J11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t="s">
        <v>12</v>
      </c>
      <c r="E119" t="s">
        <v>1607</v>
      </c>
      <c r="I119" t="s">
        <v>7317</v>
      </c>
      <c r="J11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t="s">
        <v>2004</v>
      </c>
      <c r="E120" t="s">
        <v>8</v>
      </c>
      <c r="I120" t="s">
        <v>7320</v>
      </c>
      <c r="J12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t="s">
        <v>2004</v>
      </c>
      <c r="E121" t="s">
        <v>8</v>
      </c>
      <c r="I121" t="s">
        <v>7323</v>
      </c>
      <c r="J121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t="s">
        <v>4216</v>
      </c>
      <c r="E122" t="s">
        <v>7410</v>
      </c>
      <c r="F122" t="s">
        <v>60</v>
      </c>
      <c r="I122" t="s">
        <v>7326</v>
      </c>
      <c r="J122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t="s">
        <v>4216</v>
      </c>
      <c r="E123" t="s">
        <v>7410</v>
      </c>
      <c r="F123" t="s">
        <v>60</v>
      </c>
      <c r="I123" t="s">
        <v>7329</v>
      </c>
      <c r="J123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t="s">
        <v>290</v>
      </c>
      <c r="E124" t="s">
        <v>86</v>
      </c>
      <c r="F124" t="s">
        <v>60</v>
      </c>
      <c r="G124">
        <v>4</v>
      </c>
      <c r="I124" t="s">
        <v>7332</v>
      </c>
      <c r="J124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t="s">
        <v>1094</v>
      </c>
      <c r="E125" t="s">
        <v>86</v>
      </c>
      <c r="F125" t="s">
        <v>60</v>
      </c>
      <c r="H125" t="s">
        <v>476</v>
      </c>
      <c r="I125" t="s">
        <v>7335</v>
      </c>
      <c r="J125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t="s">
        <v>290</v>
      </c>
      <c r="E126" t="s">
        <v>86</v>
      </c>
      <c r="F126" t="s">
        <v>60</v>
      </c>
      <c r="G126">
        <v>1</v>
      </c>
      <c r="I126" t="s">
        <v>7338</v>
      </c>
      <c r="J126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t="s">
        <v>290</v>
      </c>
      <c r="E127" t="s">
        <v>86</v>
      </c>
      <c r="F127" t="s">
        <v>60</v>
      </c>
      <c r="G127">
        <v>4</v>
      </c>
      <c r="I127" t="s">
        <v>7341</v>
      </c>
      <c r="J127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t="s">
        <v>290</v>
      </c>
      <c r="E128" t="s">
        <v>86</v>
      </c>
      <c r="F128" t="s">
        <v>60</v>
      </c>
      <c r="G128">
        <v>2</v>
      </c>
      <c r="I128" t="s">
        <v>7344</v>
      </c>
      <c r="J12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t="s">
        <v>290</v>
      </c>
      <c r="E129" t="s">
        <v>86</v>
      </c>
      <c r="F129" t="s">
        <v>60</v>
      </c>
      <c r="G129">
        <v>3</v>
      </c>
      <c r="I129" t="s">
        <v>7347</v>
      </c>
      <c r="J12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t="s">
        <v>290</v>
      </c>
      <c r="E130" t="s">
        <v>86</v>
      </c>
      <c r="F130" t="s">
        <v>60</v>
      </c>
      <c r="G130">
        <v>3</v>
      </c>
      <c r="I130" t="s">
        <v>7350</v>
      </c>
      <c r="J13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t="s">
        <v>290</v>
      </c>
      <c r="E131" t="s">
        <v>86</v>
      </c>
      <c r="F131" t="s">
        <v>60</v>
      </c>
      <c r="G131">
        <v>2</v>
      </c>
      <c r="I131" t="s">
        <v>7353</v>
      </c>
      <c r="J131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t="s">
        <v>290</v>
      </c>
      <c r="E132" t="s">
        <v>86</v>
      </c>
      <c r="F132" t="s">
        <v>60</v>
      </c>
      <c r="G132">
        <v>2</v>
      </c>
      <c r="I132" t="s">
        <v>7356</v>
      </c>
      <c r="J132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t="s">
        <v>290</v>
      </c>
      <c r="E133" t="s">
        <v>86</v>
      </c>
      <c r="F133" t="s">
        <v>60</v>
      </c>
      <c r="G133">
        <v>2</v>
      </c>
      <c r="I133" t="s">
        <v>7359</v>
      </c>
      <c r="J133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t="s">
        <v>290</v>
      </c>
      <c r="E134" t="s">
        <v>86</v>
      </c>
      <c r="F134" t="s">
        <v>60</v>
      </c>
      <c r="G134">
        <v>1</v>
      </c>
      <c r="I134" t="s">
        <v>7362</v>
      </c>
      <c r="J134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t="s">
        <v>290</v>
      </c>
      <c r="E135" t="s">
        <v>86</v>
      </c>
      <c r="F135" t="s">
        <v>60</v>
      </c>
      <c r="G135">
        <v>2</v>
      </c>
      <c r="I135" t="s">
        <v>7365</v>
      </c>
      <c r="J135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t="s">
        <v>290</v>
      </c>
      <c r="E136" t="s">
        <v>86</v>
      </c>
      <c r="F136" t="s">
        <v>60</v>
      </c>
      <c r="G136">
        <v>4</v>
      </c>
      <c r="I136" t="s">
        <v>7368</v>
      </c>
      <c r="J136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t="s">
        <v>290</v>
      </c>
      <c r="E137" t="s">
        <v>86</v>
      </c>
      <c r="F137" t="s">
        <v>60</v>
      </c>
      <c r="G137">
        <v>2</v>
      </c>
      <c r="I137" t="s">
        <v>7371</v>
      </c>
      <c r="J137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t="s">
        <v>290</v>
      </c>
      <c r="E138" t="s">
        <v>86</v>
      </c>
      <c r="F138" t="s">
        <v>60</v>
      </c>
      <c r="G138">
        <v>2</v>
      </c>
      <c r="I138" t="s">
        <v>7374</v>
      </c>
      <c r="J13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t="s">
        <v>290</v>
      </c>
      <c r="E139" t="s">
        <v>86</v>
      </c>
      <c r="F139" t="s">
        <v>60</v>
      </c>
      <c r="G139">
        <v>3</v>
      </c>
      <c r="I139" t="s">
        <v>7377</v>
      </c>
      <c r="J13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t="s">
        <v>290</v>
      </c>
      <c r="E140" t="s">
        <v>86</v>
      </c>
      <c r="F140" t="s">
        <v>60</v>
      </c>
      <c r="G140">
        <v>3</v>
      </c>
      <c r="I140" t="s">
        <v>7380</v>
      </c>
      <c r="J14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t="s">
        <v>290</v>
      </c>
      <c r="E141" t="s">
        <v>86</v>
      </c>
      <c r="F141" t="s">
        <v>60</v>
      </c>
      <c r="G141">
        <v>2</v>
      </c>
      <c r="I141" t="s">
        <v>7383</v>
      </c>
      <c r="J141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t="s">
        <v>290</v>
      </c>
      <c r="E142" t="s">
        <v>86</v>
      </c>
      <c r="F142" t="s">
        <v>60</v>
      </c>
      <c r="G142">
        <v>4</v>
      </c>
      <c r="I142" t="s">
        <v>7386</v>
      </c>
      <c r="J142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t="s">
        <v>290</v>
      </c>
      <c r="E143" t="s">
        <v>86</v>
      </c>
      <c r="F143" t="s">
        <v>60</v>
      </c>
      <c r="G143">
        <v>3</v>
      </c>
      <c r="I143" t="s">
        <v>7389</v>
      </c>
      <c r="J143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t="s">
        <v>290</v>
      </c>
      <c r="E144" t="s">
        <v>86</v>
      </c>
      <c r="F144" t="s">
        <v>60</v>
      </c>
      <c r="G144">
        <v>2</v>
      </c>
      <c r="I144" t="s">
        <v>7392</v>
      </c>
      <c r="J144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t="s">
        <v>1615</v>
      </c>
      <c r="E145" t="s">
        <v>86</v>
      </c>
      <c r="F145" t="s">
        <v>60</v>
      </c>
      <c r="H145" t="s">
        <v>7707</v>
      </c>
      <c r="I145" t="s">
        <v>7595</v>
      </c>
      <c r="J145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t="s">
        <v>1615</v>
      </c>
      <c r="E146" t="s">
        <v>86</v>
      </c>
      <c r="F146" t="s">
        <v>60</v>
      </c>
      <c r="H146" t="s">
        <v>7708</v>
      </c>
      <c r="I146" t="s">
        <v>7598</v>
      </c>
      <c r="J146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t="s">
        <v>4</v>
      </c>
      <c r="E147" t="s">
        <v>7706</v>
      </c>
      <c r="F147" t="s">
        <v>60</v>
      </c>
      <c r="I147" t="s">
        <v>7601</v>
      </c>
      <c r="J147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t="s">
        <v>290</v>
      </c>
      <c r="E148" t="s">
        <v>86</v>
      </c>
      <c r="F148" t="s">
        <v>60</v>
      </c>
      <c r="G148">
        <v>3</v>
      </c>
      <c r="I148" t="s">
        <v>7604</v>
      </c>
      <c r="J14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t="s">
        <v>290</v>
      </c>
      <c r="E149" t="s">
        <v>86</v>
      </c>
      <c r="F149" t="s">
        <v>60</v>
      </c>
      <c r="G149">
        <v>2</v>
      </c>
      <c r="I149" t="s">
        <v>7607</v>
      </c>
      <c r="J14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t="s">
        <v>290</v>
      </c>
      <c r="E150" t="s">
        <v>86</v>
      </c>
      <c r="F150" t="s">
        <v>60</v>
      </c>
      <c r="G150">
        <v>2</v>
      </c>
      <c r="I150" t="s">
        <v>7610</v>
      </c>
      <c r="J15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t="s">
        <v>290</v>
      </c>
      <c r="E151" t="s">
        <v>86</v>
      </c>
      <c r="F151" t="s">
        <v>60</v>
      </c>
      <c r="G151">
        <v>3</v>
      </c>
      <c r="I151" t="s">
        <v>7613</v>
      </c>
      <c r="J151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t="s">
        <v>290</v>
      </c>
      <c r="E152" t="s">
        <v>86</v>
      </c>
      <c r="F152" t="s">
        <v>60</v>
      </c>
      <c r="G152">
        <v>4</v>
      </c>
      <c r="I152" t="s">
        <v>7616</v>
      </c>
      <c r="J152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t="s">
        <v>290</v>
      </c>
      <c r="E153" t="s">
        <v>86</v>
      </c>
      <c r="F153" t="s">
        <v>60</v>
      </c>
      <c r="G153">
        <v>3</v>
      </c>
      <c r="I153" t="s">
        <v>7619</v>
      </c>
      <c r="J153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t="s">
        <v>290</v>
      </c>
      <c r="E154" t="s">
        <v>86</v>
      </c>
      <c r="F154" t="s">
        <v>60</v>
      </c>
      <c r="G154">
        <v>3</v>
      </c>
      <c r="I154" t="s">
        <v>7622</v>
      </c>
      <c r="J154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t="s">
        <v>290</v>
      </c>
      <c r="E155" t="s">
        <v>86</v>
      </c>
      <c r="F155" t="s">
        <v>60</v>
      </c>
      <c r="G155">
        <v>2</v>
      </c>
      <c r="I155" t="s">
        <v>7625</v>
      </c>
      <c r="J155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t="s">
        <v>290</v>
      </c>
      <c r="E156" t="s">
        <v>86</v>
      </c>
      <c r="F156" t="s">
        <v>60</v>
      </c>
      <c r="G156">
        <v>2</v>
      </c>
      <c r="I156" t="s">
        <v>7628</v>
      </c>
      <c r="J156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t="s">
        <v>290</v>
      </c>
      <c r="E157" t="s">
        <v>86</v>
      </c>
      <c r="F157" t="s">
        <v>60</v>
      </c>
      <c r="G157">
        <v>3</v>
      </c>
      <c r="I157" t="s">
        <v>7631</v>
      </c>
      <c r="J157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t="s">
        <v>290</v>
      </c>
      <c r="E158" t="s">
        <v>86</v>
      </c>
      <c r="F158" t="s">
        <v>60</v>
      </c>
      <c r="G158">
        <v>3</v>
      </c>
      <c r="I158" t="s">
        <v>7634</v>
      </c>
      <c r="J15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t="s">
        <v>290</v>
      </c>
      <c r="E159" t="s">
        <v>86</v>
      </c>
      <c r="F159" t="s">
        <v>60</v>
      </c>
      <c r="G159">
        <v>2</v>
      </c>
      <c r="I159" t="s">
        <v>7637</v>
      </c>
      <c r="J15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t="s">
        <v>290</v>
      </c>
      <c r="E160" t="s">
        <v>86</v>
      </c>
      <c r="F160" t="s">
        <v>60</v>
      </c>
      <c r="G160">
        <v>1</v>
      </c>
      <c r="I160" t="s">
        <v>7640</v>
      </c>
      <c r="J16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t="s">
        <v>290</v>
      </c>
      <c r="E161" t="s">
        <v>86</v>
      </c>
      <c r="F161" t="s">
        <v>60</v>
      </c>
      <c r="G161">
        <v>4</v>
      </c>
      <c r="I161" t="s">
        <v>7643</v>
      </c>
      <c r="J161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t="s">
        <v>290</v>
      </c>
      <c r="E162" t="s">
        <v>86</v>
      </c>
      <c r="F162" t="s">
        <v>60</v>
      </c>
      <c r="G162">
        <v>3</v>
      </c>
      <c r="I162" t="s">
        <v>7646</v>
      </c>
      <c r="J162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t="s">
        <v>290</v>
      </c>
      <c r="E163" t="s">
        <v>86</v>
      </c>
      <c r="F163" t="s">
        <v>60</v>
      </c>
      <c r="G163">
        <v>3</v>
      </c>
      <c r="I163" t="s">
        <v>7649</v>
      </c>
      <c r="J163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t="s">
        <v>290</v>
      </c>
      <c r="E164" t="s">
        <v>86</v>
      </c>
      <c r="F164" t="s">
        <v>60</v>
      </c>
      <c r="G164">
        <v>3</v>
      </c>
      <c r="I164" t="s">
        <v>7652</v>
      </c>
      <c r="J164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t="s">
        <v>290</v>
      </c>
      <c r="E165" t="s">
        <v>86</v>
      </c>
      <c r="F165" t="s">
        <v>60</v>
      </c>
      <c r="G165">
        <v>2</v>
      </c>
      <c r="I165" t="s">
        <v>7655</v>
      </c>
      <c r="J165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t="s">
        <v>290</v>
      </c>
      <c r="E166" t="s">
        <v>86</v>
      </c>
      <c r="F166" t="s">
        <v>60</v>
      </c>
      <c r="G166">
        <v>3</v>
      </c>
      <c r="I166" t="s">
        <v>7658</v>
      </c>
      <c r="J166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t="s">
        <v>290</v>
      </c>
      <c r="E167" t="s">
        <v>86</v>
      </c>
      <c r="F167" t="s">
        <v>60</v>
      </c>
      <c r="G167">
        <v>3</v>
      </c>
      <c r="I167" t="s">
        <v>7661</v>
      </c>
      <c r="J167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t="s">
        <v>290</v>
      </c>
      <c r="E168" t="s">
        <v>86</v>
      </c>
      <c r="F168" t="s">
        <v>60</v>
      </c>
      <c r="G168">
        <v>3</v>
      </c>
      <c r="I168" t="s">
        <v>7664</v>
      </c>
      <c r="J16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t="s">
        <v>290</v>
      </c>
      <c r="E169" t="s">
        <v>86</v>
      </c>
      <c r="F169" t="s">
        <v>60</v>
      </c>
      <c r="G169">
        <v>4</v>
      </c>
      <c r="I169" t="s">
        <v>7667</v>
      </c>
      <c r="J16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t="s">
        <v>290</v>
      </c>
      <c r="E170" t="s">
        <v>86</v>
      </c>
      <c r="F170" t="s">
        <v>60</v>
      </c>
      <c r="G170">
        <v>2</v>
      </c>
      <c r="I170" t="s">
        <v>7670</v>
      </c>
      <c r="J17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t="s">
        <v>4</v>
      </c>
      <c r="E171" t="s">
        <v>4193</v>
      </c>
      <c r="I171" t="s">
        <v>7673</v>
      </c>
      <c r="J171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t="s">
        <v>2004</v>
      </c>
      <c r="E172" t="s">
        <v>8</v>
      </c>
      <c r="I172" t="s">
        <v>7676</v>
      </c>
      <c r="J172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t="s">
        <v>1094</v>
      </c>
      <c r="E173" t="s">
        <v>86</v>
      </c>
      <c r="F173" t="s">
        <v>60</v>
      </c>
      <c r="H173" t="s">
        <v>7870</v>
      </c>
      <c r="I173" t="s">
        <v>7831</v>
      </c>
      <c r="J173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t="s">
        <v>1094</v>
      </c>
      <c r="E174" t="s">
        <v>86</v>
      </c>
      <c r="F174" t="s">
        <v>60</v>
      </c>
      <c r="H174" t="s">
        <v>7870</v>
      </c>
      <c r="I174" t="s">
        <v>7834</v>
      </c>
      <c r="J174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t="s">
        <v>1094</v>
      </c>
      <c r="E175" t="s">
        <v>86</v>
      </c>
      <c r="F175" t="s">
        <v>60</v>
      </c>
      <c r="H175" t="s">
        <v>7870</v>
      </c>
      <c r="I175" t="s">
        <v>7837</v>
      </c>
      <c r="J175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t="s">
        <v>1094</v>
      </c>
      <c r="E176" t="s">
        <v>86</v>
      </c>
      <c r="F176" t="s">
        <v>60</v>
      </c>
      <c r="H176" t="s">
        <v>7870</v>
      </c>
      <c r="I176" t="s">
        <v>7840</v>
      </c>
      <c r="J176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t="s">
        <v>1094</v>
      </c>
      <c r="E177" t="s">
        <v>86</v>
      </c>
      <c r="F177" t="s">
        <v>60</v>
      </c>
      <c r="H177" t="s">
        <v>7870</v>
      </c>
      <c r="I177" t="s">
        <v>7843</v>
      </c>
      <c r="J177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t="s">
        <v>1094</v>
      </c>
      <c r="E178" t="s">
        <v>86</v>
      </c>
      <c r="F178" t="s">
        <v>60</v>
      </c>
      <c r="H178" t="s">
        <v>7870</v>
      </c>
      <c r="I178" t="s">
        <v>7846</v>
      </c>
      <c r="J17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t="s">
        <v>1094</v>
      </c>
      <c r="E179" t="s">
        <v>86</v>
      </c>
      <c r="F179" t="s">
        <v>60</v>
      </c>
      <c r="H179" t="s">
        <v>7870</v>
      </c>
      <c r="I179" t="s">
        <v>7849</v>
      </c>
      <c r="J17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t="s">
        <v>2004</v>
      </c>
      <c r="E180" t="s">
        <v>8</v>
      </c>
      <c r="I180" t="s">
        <v>7852</v>
      </c>
      <c r="J18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t="s">
        <v>2004</v>
      </c>
      <c r="E181" t="s">
        <v>8</v>
      </c>
      <c r="I181" t="s">
        <v>7929</v>
      </c>
      <c r="J181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t="s">
        <v>8042</v>
      </c>
      <c r="E182" t="s">
        <v>6656</v>
      </c>
      <c r="I182" t="s">
        <v>7932</v>
      </c>
      <c r="J182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t="s">
        <v>4</v>
      </c>
      <c r="E183" t="s">
        <v>8045</v>
      </c>
      <c r="I183" t="s">
        <v>7935</v>
      </c>
      <c r="J183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t="s">
        <v>4</v>
      </c>
      <c r="E184" t="s">
        <v>8045</v>
      </c>
      <c r="I184" t="s">
        <v>7938</v>
      </c>
      <c r="J184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t="s">
        <v>4</v>
      </c>
      <c r="E185" t="s">
        <v>8045</v>
      </c>
      <c r="I185" t="s">
        <v>7941</v>
      </c>
      <c r="J185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t="s">
        <v>4</v>
      </c>
      <c r="E186" t="s">
        <v>8331</v>
      </c>
      <c r="I186" t="s">
        <v>8285</v>
      </c>
      <c r="J186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t="s">
        <v>4</v>
      </c>
      <c r="E187" t="s">
        <v>8331</v>
      </c>
      <c r="I187" t="s">
        <v>8288</v>
      </c>
      <c r="J187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t="s">
        <v>2004</v>
      </c>
      <c r="E188" t="s">
        <v>8</v>
      </c>
      <c r="I188" t="s">
        <v>8291</v>
      </c>
      <c r="J18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t="s">
        <v>4</v>
      </c>
      <c r="E189" t="s">
        <v>1607</v>
      </c>
      <c r="F189" t="s">
        <v>7169</v>
      </c>
      <c r="I189" t="s">
        <v>8294</v>
      </c>
      <c r="J18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t="s">
        <v>2004</v>
      </c>
      <c r="E190" t="s">
        <v>8</v>
      </c>
      <c r="I190" t="s">
        <v>8297</v>
      </c>
      <c r="J19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t="s">
        <v>2004</v>
      </c>
      <c r="E191" t="s">
        <v>8</v>
      </c>
      <c r="I191" t="s">
        <v>8300</v>
      </c>
      <c r="J191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t="s">
        <v>2004</v>
      </c>
      <c r="E192" t="s">
        <v>8</v>
      </c>
      <c r="I192" t="s">
        <v>8429</v>
      </c>
      <c r="J192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t="s">
        <v>4</v>
      </c>
      <c r="E193" t="s">
        <v>8483</v>
      </c>
      <c r="H193" t="s">
        <v>8042</v>
      </c>
      <c r="I193" t="s">
        <v>8432</v>
      </c>
      <c r="J193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t="s">
        <v>2004</v>
      </c>
      <c r="E194" t="s">
        <v>8</v>
      </c>
      <c r="I194" t="s">
        <v>8435</v>
      </c>
      <c r="J194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t="s">
        <v>2004</v>
      </c>
      <c r="E195" t="s">
        <v>8</v>
      </c>
      <c r="I195" t="s">
        <v>8556</v>
      </c>
      <c r="J195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t="s">
        <v>4</v>
      </c>
      <c r="E196" t="s">
        <v>8805</v>
      </c>
      <c r="I196" t="s">
        <v>8559</v>
      </c>
      <c r="J196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t="s">
        <v>2004</v>
      </c>
      <c r="E197" t="s">
        <v>8</v>
      </c>
      <c r="I197" t="s">
        <v>8562</v>
      </c>
      <c r="J197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t="s">
        <v>2004</v>
      </c>
      <c r="E198" t="s">
        <v>8</v>
      </c>
      <c r="I198" t="s">
        <v>8565</v>
      </c>
      <c r="J19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t="s">
        <v>2004</v>
      </c>
      <c r="E199" t="s">
        <v>8</v>
      </c>
      <c r="I199" t="s">
        <v>8568</v>
      </c>
      <c r="J19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t="s">
        <v>2004</v>
      </c>
      <c r="E200" t="s">
        <v>8</v>
      </c>
      <c r="I200" t="s">
        <v>8571</v>
      </c>
      <c r="J20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t="s">
        <v>2004</v>
      </c>
      <c r="E201" t="s">
        <v>8</v>
      </c>
      <c r="I201" t="s">
        <v>8574</v>
      </c>
      <c r="J201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t="s">
        <v>2004</v>
      </c>
      <c r="E202" t="s">
        <v>8</v>
      </c>
      <c r="I202" t="s">
        <v>364</v>
      </c>
      <c r="J202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t="s">
        <v>2004</v>
      </c>
      <c r="E203" t="s">
        <v>8</v>
      </c>
      <c r="I203" t="s">
        <v>367</v>
      </c>
      <c r="J203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t="s">
        <v>2004</v>
      </c>
      <c r="E204" t="s">
        <v>8</v>
      </c>
      <c r="I204" t="s">
        <v>370</v>
      </c>
      <c r="J204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t="s">
        <v>2004</v>
      </c>
      <c r="E205" t="s">
        <v>8</v>
      </c>
      <c r="I205" t="s">
        <v>373</v>
      </c>
      <c r="J205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t="s">
        <v>2004</v>
      </c>
      <c r="E206" t="s">
        <v>8</v>
      </c>
      <c r="I206" t="s">
        <v>376</v>
      </c>
      <c r="J206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t="s">
        <v>6191</v>
      </c>
      <c r="E207" t="s">
        <v>5480</v>
      </c>
      <c r="F207" t="s">
        <v>9190</v>
      </c>
      <c r="I207" t="s">
        <v>8861</v>
      </c>
      <c r="J207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t="s">
        <v>6191</v>
      </c>
      <c r="E208" t="s">
        <v>5480</v>
      </c>
      <c r="F208" t="s">
        <v>9190</v>
      </c>
      <c r="H208" t="s">
        <v>2936</v>
      </c>
      <c r="I208" t="s">
        <v>8864</v>
      </c>
      <c r="J20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t="s">
        <v>1094</v>
      </c>
      <c r="E209" t="s">
        <v>86</v>
      </c>
      <c r="F209" t="s">
        <v>60</v>
      </c>
      <c r="I209" t="s">
        <v>8867</v>
      </c>
      <c r="J20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t="s">
        <v>1094</v>
      </c>
      <c r="E210" t="s">
        <v>86</v>
      </c>
      <c r="F210" t="s">
        <v>60</v>
      </c>
      <c r="H210" t="s">
        <v>2936</v>
      </c>
      <c r="I210" t="s">
        <v>8870</v>
      </c>
      <c r="J2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t="s">
        <v>1094</v>
      </c>
      <c r="E211" t="s">
        <v>86</v>
      </c>
      <c r="F211" t="s">
        <v>60</v>
      </c>
      <c r="H211" t="s">
        <v>2936</v>
      </c>
      <c r="I211" t="s">
        <v>8873</v>
      </c>
      <c r="J211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t="s">
        <v>1094</v>
      </c>
      <c r="E212" t="s">
        <v>4247</v>
      </c>
      <c r="F212" t="s">
        <v>60</v>
      </c>
      <c r="I212" t="s">
        <v>8876</v>
      </c>
      <c r="J212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t="s">
        <v>1094</v>
      </c>
      <c r="E213" t="s">
        <v>4247</v>
      </c>
      <c r="F213" t="s">
        <v>60</v>
      </c>
      <c r="H213" t="s">
        <v>2936</v>
      </c>
      <c r="I213" t="s">
        <v>8879</v>
      </c>
      <c r="J213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t="s">
        <v>1094</v>
      </c>
      <c r="E214" t="s">
        <v>4247</v>
      </c>
      <c r="F214" t="s">
        <v>60</v>
      </c>
      <c r="H214" t="s">
        <v>2936</v>
      </c>
      <c r="I214" t="s">
        <v>8882</v>
      </c>
      <c r="J214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t="s">
        <v>4</v>
      </c>
      <c r="E215" t="s">
        <v>8</v>
      </c>
      <c r="I215" t="s">
        <v>8885</v>
      </c>
      <c r="J215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t="s">
        <v>4</v>
      </c>
      <c r="E216" t="s">
        <v>8045</v>
      </c>
      <c r="I216" t="s">
        <v>8888</v>
      </c>
      <c r="J216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t="s">
        <v>4</v>
      </c>
      <c r="E217" t="s">
        <v>8045</v>
      </c>
      <c r="I217" t="s">
        <v>8891</v>
      </c>
      <c r="J217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t="s">
        <v>4</v>
      </c>
      <c r="E218" t="s">
        <v>8</v>
      </c>
      <c r="I218" t="s">
        <v>8894</v>
      </c>
      <c r="J21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t="s">
        <v>4</v>
      </c>
      <c r="E219" t="s">
        <v>8045</v>
      </c>
      <c r="I219" t="s">
        <v>9258</v>
      </c>
      <c r="J21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t="s">
        <v>4</v>
      </c>
      <c r="E220" t="s">
        <v>8045</v>
      </c>
      <c r="H220" t="s">
        <v>2936</v>
      </c>
      <c r="I220" t="s">
        <v>9261</v>
      </c>
      <c r="J22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t="s">
        <v>4</v>
      </c>
      <c r="E221" t="s">
        <v>8045</v>
      </c>
      <c r="H221" t="s">
        <v>2936</v>
      </c>
      <c r="I221" t="s">
        <v>9264</v>
      </c>
      <c r="J221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t="s">
        <v>1094</v>
      </c>
      <c r="E222" t="s">
        <v>4247</v>
      </c>
      <c r="F222" t="s">
        <v>60</v>
      </c>
      <c r="I222" t="s">
        <v>9369</v>
      </c>
      <c r="J222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t="s">
        <v>4</v>
      </c>
      <c r="E223" t="s">
        <v>8045</v>
      </c>
      <c r="I223" t="s">
        <v>9372</v>
      </c>
      <c r="J223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t="s">
        <v>4</v>
      </c>
      <c r="E224" t="s">
        <v>8045</v>
      </c>
      <c r="I224" t="s">
        <v>9375</v>
      </c>
      <c r="J224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t="s">
        <v>4</v>
      </c>
      <c r="E225" t="s">
        <v>8045</v>
      </c>
      <c r="I225" t="s">
        <v>9378</v>
      </c>
      <c r="J225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t="s">
        <v>4</v>
      </c>
      <c r="E226" t="s">
        <v>8045</v>
      </c>
      <c r="I226" t="s">
        <v>9381</v>
      </c>
      <c r="J226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t="s">
        <v>4</v>
      </c>
      <c r="E227" t="s">
        <v>8</v>
      </c>
      <c r="I227" t="s">
        <v>9384</v>
      </c>
      <c r="J227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t="s">
        <v>4</v>
      </c>
      <c r="E228" t="s">
        <v>8045</v>
      </c>
      <c r="I228" t="s">
        <v>9639</v>
      </c>
      <c r="J22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t="s">
        <v>4</v>
      </c>
      <c r="E229" t="s">
        <v>8045</v>
      </c>
      <c r="I229" t="s">
        <v>9642</v>
      </c>
      <c r="J22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t="s">
        <v>4</v>
      </c>
      <c r="E230" t="s">
        <v>8045</v>
      </c>
      <c r="I230" t="s">
        <v>9645</v>
      </c>
      <c r="J23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t="s">
        <v>4</v>
      </c>
      <c r="E231" t="s">
        <v>9876</v>
      </c>
      <c r="I231" t="s">
        <v>9693</v>
      </c>
      <c r="J231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t="s">
        <v>4</v>
      </c>
      <c r="E232" t="s">
        <v>9876</v>
      </c>
      <c r="I232" t="s">
        <v>9696</v>
      </c>
      <c r="J232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t="s">
        <v>4</v>
      </c>
      <c r="E233" t="s">
        <v>9876</v>
      </c>
      <c r="I233" t="s">
        <v>9699</v>
      </c>
      <c r="J233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t="s">
        <v>4</v>
      </c>
      <c r="E234" t="s">
        <v>9876</v>
      </c>
      <c r="I234" t="s">
        <v>9702</v>
      </c>
      <c r="J234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t="s">
        <v>4</v>
      </c>
      <c r="E235" t="s">
        <v>9876</v>
      </c>
      <c r="I235" t="s">
        <v>9705</v>
      </c>
      <c r="J235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t="s">
        <v>4</v>
      </c>
      <c r="E236" t="s">
        <v>9876</v>
      </c>
      <c r="I236" t="s">
        <v>9936</v>
      </c>
      <c r="J236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t="s">
        <v>4</v>
      </c>
      <c r="E237" t="s">
        <v>9876</v>
      </c>
      <c r="I237" t="s">
        <v>9939</v>
      </c>
      <c r="J237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t="s">
        <v>4</v>
      </c>
      <c r="E238" t="s">
        <v>9876</v>
      </c>
      <c r="I238" t="s">
        <v>9942</v>
      </c>
      <c r="J23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t="s">
        <v>4</v>
      </c>
      <c r="E239" t="s">
        <v>9876</v>
      </c>
      <c r="I239" t="s">
        <v>9945</v>
      </c>
      <c r="J23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t="s">
        <v>4</v>
      </c>
      <c r="E240" t="s">
        <v>8</v>
      </c>
      <c r="I240" t="s">
        <v>9948</v>
      </c>
      <c r="J24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t="s">
        <v>290</v>
      </c>
      <c r="E241" t="s">
        <v>86</v>
      </c>
      <c r="F241" t="s">
        <v>60</v>
      </c>
      <c r="G241">
        <v>2</v>
      </c>
      <c r="H241" t="s">
        <v>10210</v>
      </c>
      <c r="I241" t="s">
        <v>10180</v>
      </c>
      <c r="J241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t="s">
        <v>290</v>
      </c>
      <c r="E242" t="s">
        <v>86</v>
      </c>
      <c r="F242" t="s">
        <v>60</v>
      </c>
      <c r="G242">
        <v>4</v>
      </c>
      <c r="I242" t="s">
        <v>10183</v>
      </c>
      <c r="J242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t="s">
        <v>290</v>
      </c>
      <c r="E243" t="s">
        <v>86</v>
      </c>
      <c r="F243" t="s">
        <v>60</v>
      </c>
      <c r="G243">
        <v>3</v>
      </c>
      <c r="I243" t="s">
        <v>10189</v>
      </c>
      <c r="J243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t="s">
        <v>290</v>
      </c>
      <c r="E244" t="s">
        <v>86</v>
      </c>
      <c r="F244" t="s">
        <v>60</v>
      </c>
      <c r="G244">
        <v>4</v>
      </c>
      <c r="I244" t="s">
        <v>10192</v>
      </c>
      <c r="J244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t="s">
        <v>290</v>
      </c>
      <c r="E245" t="s">
        <v>86</v>
      </c>
      <c r="F245" t="s">
        <v>60</v>
      </c>
      <c r="G245">
        <v>3</v>
      </c>
      <c r="I245" t="s">
        <v>10195</v>
      </c>
      <c r="J245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t="s">
        <v>290</v>
      </c>
      <c r="E246" t="s">
        <v>86</v>
      </c>
      <c r="F246" t="s">
        <v>60</v>
      </c>
      <c r="H246" t="s">
        <v>2936</v>
      </c>
      <c r="I246" t="s">
        <v>10198</v>
      </c>
      <c r="J246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t="s">
        <v>290</v>
      </c>
      <c r="E247" t="s">
        <v>86</v>
      </c>
      <c r="F247" t="s">
        <v>60</v>
      </c>
      <c r="G247">
        <v>3</v>
      </c>
      <c r="I247" t="s">
        <v>10204</v>
      </c>
      <c r="J247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t="s">
        <v>290</v>
      </c>
      <c r="E248" t="s">
        <v>86</v>
      </c>
      <c r="F248" t="s">
        <v>60</v>
      </c>
      <c r="G248">
        <v>1</v>
      </c>
      <c r="I248" t="s">
        <v>10201</v>
      </c>
      <c r="J24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t="s">
        <v>290</v>
      </c>
      <c r="E249" t="s">
        <v>86</v>
      </c>
      <c r="F249" t="s">
        <v>60</v>
      </c>
      <c r="G249">
        <v>3</v>
      </c>
      <c r="I249" t="s">
        <v>10207</v>
      </c>
      <c r="J24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t="s">
        <v>290</v>
      </c>
      <c r="E250" t="s">
        <v>86</v>
      </c>
      <c r="F250" t="s">
        <v>60</v>
      </c>
      <c r="G250">
        <v>2</v>
      </c>
      <c r="I250" t="s">
        <v>10211</v>
      </c>
      <c r="J25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t="s">
        <v>290</v>
      </c>
      <c r="E251" t="s">
        <v>86</v>
      </c>
      <c r="F251" t="s">
        <v>60</v>
      </c>
      <c r="G251">
        <v>3</v>
      </c>
      <c r="I251" t="s">
        <v>10214</v>
      </c>
      <c r="J251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t="s">
        <v>290</v>
      </c>
      <c r="E252" t="s">
        <v>86</v>
      </c>
      <c r="F252" t="s">
        <v>60</v>
      </c>
      <c r="H252" t="s">
        <v>2936</v>
      </c>
      <c r="I252" t="s">
        <v>10217</v>
      </c>
      <c r="J252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t="s">
        <v>290</v>
      </c>
      <c r="E253" t="s">
        <v>86</v>
      </c>
      <c r="F253" t="s">
        <v>60</v>
      </c>
      <c r="G253">
        <v>2</v>
      </c>
      <c r="I253" t="s">
        <v>10220</v>
      </c>
      <c r="J253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t="s">
        <v>290</v>
      </c>
      <c r="E254" t="s">
        <v>86</v>
      </c>
      <c r="F254" t="s">
        <v>60</v>
      </c>
      <c r="G254">
        <v>4</v>
      </c>
      <c r="I254" t="s">
        <v>10223</v>
      </c>
      <c r="J254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t="s">
        <v>290</v>
      </c>
      <c r="E255" t="s">
        <v>86</v>
      </c>
      <c r="F255" t="s">
        <v>60</v>
      </c>
      <c r="G255">
        <v>1</v>
      </c>
      <c r="I255" t="s">
        <v>10226</v>
      </c>
      <c r="J255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t="s">
        <v>290</v>
      </c>
      <c r="E256" t="s">
        <v>86</v>
      </c>
      <c r="F256" t="s">
        <v>60</v>
      </c>
      <c r="G256">
        <v>3</v>
      </c>
      <c r="I256" t="s">
        <v>10229</v>
      </c>
      <c r="J256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t="s">
        <v>290</v>
      </c>
      <c r="E257" t="s">
        <v>86</v>
      </c>
      <c r="F257" t="s">
        <v>60</v>
      </c>
      <c r="G257">
        <v>3</v>
      </c>
      <c r="I257" t="s">
        <v>10232</v>
      </c>
      <c r="J257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t="s">
        <v>290</v>
      </c>
      <c r="E258" t="s">
        <v>86</v>
      </c>
      <c r="F258" t="s">
        <v>60</v>
      </c>
      <c r="G258">
        <v>2</v>
      </c>
      <c r="I258" t="s">
        <v>10235</v>
      </c>
      <c r="J25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t="s">
        <v>290</v>
      </c>
      <c r="E259" t="s">
        <v>86</v>
      </c>
      <c r="F259" t="s">
        <v>60</v>
      </c>
      <c r="G259">
        <v>2</v>
      </c>
      <c r="I259" t="s">
        <v>10238</v>
      </c>
      <c r="J25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t="s">
        <v>290</v>
      </c>
      <c r="E260" t="s">
        <v>86</v>
      </c>
      <c r="F260" t="s">
        <v>60</v>
      </c>
      <c r="G260">
        <v>3</v>
      </c>
      <c r="I260" t="s">
        <v>10241</v>
      </c>
      <c r="J26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t="s">
        <v>290</v>
      </c>
      <c r="E261" t="s">
        <v>86</v>
      </c>
      <c r="F261" t="s">
        <v>60</v>
      </c>
      <c r="G261">
        <v>2</v>
      </c>
      <c r="I261" t="s">
        <v>10244</v>
      </c>
      <c r="J261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t="s">
        <v>290</v>
      </c>
      <c r="E262" t="s">
        <v>86</v>
      </c>
      <c r="F262" t="s">
        <v>60</v>
      </c>
      <c r="G262">
        <v>2</v>
      </c>
      <c r="I262" t="s">
        <v>10247</v>
      </c>
      <c r="J262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t="s">
        <v>290</v>
      </c>
      <c r="E263" t="s">
        <v>86</v>
      </c>
      <c r="F263" t="s">
        <v>60</v>
      </c>
      <c r="G263">
        <v>3</v>
      </c>
      <c r="I263" t="s">
        <v>10250</v>
      </c>
      <c r="J263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t="s">
        <v>290</v>
      </c>
      <c r="E264" t="s">
        <v>86</v>
      </c>
      <c r="F264" t="s">
        <v>60</v>
      </c>
      <c r="H264" t="s">
        <v>2936</v>
      </c>
      <c r="I264" t="s">
        <v>10253</v>
      </c>
      <c r="J264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t="s">
        <v>290</v>
      </c>
      <c r="E265" t="s">
        <v>86</v>
      </c>
      <c r="F265" t="s">
        <v>60</v>
      </c>
      <c r="G265">
        <v>4</v>
      </c>
      <c r="I265" t="s">
        <v>10256</v>
      </c>
      <c r="J265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t="s">
        <v>290</v>
      </c>
      <c r="E266" t="s">
        <v>86</v>
      </c>
      <c r="F266" t="s">
        <v>60</v>
      </c>
      <c r="G266">
        <v>3</v>
      </c>
      <c r="I266" t="s">
        <v>10259</v>
      </c>
      <c r="J266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t="s">
        <v>290</v>
      </c>
      <c r="E267" t="s">
        <v>86</v>
      </c>
      <c r="F267" t="s">
        <v>60</v>
      </c>
      <c r="G267">
        <v>3</v>
      </c>
      <c r="I267" t="s">
        <v>10262</v>
      </c>
      <c r="J267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t="s">
        <v>290</v>
      </c>
      <c r="E268" t="s">
        <v>86</v>
      </c>
      <c r="F268" t="s">
        <v>60</v>
      </c>
      <c r="G268">
        <v>2</v>
      </c>
      <c r="I268" t="s">
        <v>10265</v>
      </c>
      <c r="J26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t="s">
        <v>290</v>
      </c>
      <c r="E269" t="s">
        <v>86</v>
      </c>
      <c r="F269" t="s">
        <v>60</v>
      </c>
      <c r="G269">
        <v>2</v>
      </c>
      <c r="H269" t="s">
        <v>10347</v>
      </c>
      <c r="I269" t="s">
        <v>10281</v>
      </c>
      <c r="J26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t="s">
        <v>290</v>
      </c>
      <c r="E270" t="s">
        <v>86</v>
      </c>
      <c r="F270" t="s">
        <v>60</v>
      </c>
      <c r="G270">
        <v>3</v>
      </c>
      <c r="H270" t="s">
        <v>10347</v>
      </c>
      <c r="I270" t="s">
        <v>10284</v>
      </c>
      <c r="J27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t="s">
        <v>290</v>
      </c>
      <c r="E271" t="s">
        <v>86</v>
      </c>
      <c r="F271" t="s">
        <v>60</v>
      </c>
      <c r="G271">
        <v>3</v>
      </c>
      <c r="H271" t="s">
        <v>10347</v>
      </c>
      <c r="I271" t="s">
        <v>10287</v>
      </c>
      <c r="J271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t="s">
        <v>290</v>
      </c>
      <c r="E272" t="s">
        <v>86</v>
      </c>
      <c r="F272" t="s">
        <v>60</v>
      </c>
      <c r="G272">
        <v>4</v>
      </c>
      <c r="H272" t="s">
        <v>10347</v>
      </c>
      <c r="I272" t="s">
        <v>10290</v>
      </c>
      <c r="J272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t="s">
        <v>290</v>
      </c>
      <c r="E273" t="s">
        <v>86</v>
      </c>
      <c r="F273" t="s">
        <v>60</v>
      </c>
      <c r="G273">
        <v>4</v>
      </c>
      <c r="H273" t="s">
        <v>10347</v>
      </c>
      <c r="I273" t="s">
        <v>10293</v>
      </c>
      <c r="J273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t="s">
        <v>290</v>
      </c>
      <c r="E274" t="s">
        <v>86</v>
      </c>
      <c r="F274" t="s">
        <v>60</v>
      </c>
      <c r="G274">
        <v>4</v>
      </c>
      <c r="H274" t="s">
        <v>10347</v>
      </c>
      <c r="I274" t="s">
        <v>10296</v>
      </c>
      <c r="J274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t="s">
        <v>290</v>
      </c>
      <c r="E275" t="s">
        <v>86</v>
      </c>
      <c r="F275" t="s">
        <v>60</v>
      </c>
      <c r="G275">
        <v>5</v>
      </c>
      <c r="H275" t="s">
        <v>10347</v>
      </c>
      <c r="I275" t="s">
        <v>10299</v>
      </c>
      <c r="J275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t="s">
        <v>290</v>
      </c>
      <c r="E276" t="s">
        <v>86</v>
      </c>
      <c r="F276" t="s">
        <v>60</v>
      </c>
      <c r="G276">
        <v>2</v>
      </c>
      <c r="H276" t="s">
        <v>10347</v>
      </c>
      <c r="I276" t="s">
        <v>10302</v>
      </c>
      <c r="J276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t="s">
        <v>290</v>
      </c>
      <c r="E277" t="s">
        <v>86</v>
      </c>
      <c r="F277" t="s">
        <v>60</v>
      </c>
      <c r="G277">
        <v>3</v>
      </c>
      <c r="H277" t="s">
        <v>10347</v>
      </c>
      <c r="I277" t="s">
        <v>10305</v>
      </c>
      <c r="J277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t="s">
        <v>290</v>
      </c>
      <c r="E278" t="s">
        <v>86</v>
      </c>
      <c r="F278" t="s">
        <v>60</v>
      </c>
      <c r="G278">
        <v>3</v>
      </c>
      <c r="H278" t="s">
        <v>10347</v>
      </c>
      <c r="I278" t="s">
        <v>10308</v>
      </c>
      <c r="J27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t="s">
        <v>290</v>
      </c>
      <c r="E279" t="s">
        <v>86</v>
      </c>
      <c r="F279" t="s">
        <v>60</v>
      </c>
      <c r="G279">
        <v>3</v>
      </c>
      <c r="H279" t="s">
        <v>10347</v>
      </c>
      <c r="I279" t="s">
        <v>10311</v>
      </c>
      <c r="J27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t="s">
        <v>290</v>
      </c>
      <c r="E280" t="s">
        <v>86</v>
      </c>
      <c r="F280" t="s">
        <v>60</v>
      </c>
      <c r="G280">
        <v>2</v>
      </c>
      <c r="H280" t="s">
        <v>10347</v>
      </c>
      <c r="I280" t="s">
        <v>10314</v>
      </c>
      <c r="J28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t="s">
        <v>290</v>
      </c>
      <c r="E281" t="s">
        <v>86</v>
      </c>
      <c r="F281" t="s">
        <v>60</v>
      </c>
      <c r="G281">
        <v>2</v>
      </c>
      <c r="H281" t="s">
        <v>10347</v>
      </c>
      <c r="I281" t="s">
        <v>10317</v>
      </c>
      <c r="J281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t="s">
        <v>290</v>
      </c>
      <c r="E282" t="s">
        <v>86</v>
      </c>
      <c r="F282" t="s">
        <v>60</v>
      </c>
      <c r="G282">
        <v>3</v>
      </c>
      <c r="H282" t="s">
        <v>10347</v>
      </c>
      <c r="I282" t="s">
        <v>10320</v>
      </c>
      <c r="J282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t="s">
        <v>290</v>
      </c>
      <c r="E283" t="s">
        <v>86</v>
      </c>
      <c r="F283" t="s">
        <v>60</v>
      </c>
      <c r="G283">
        <v>3</v>
      </c>
      <c r="H283" t="s">
        <v>10347</v>
      </c>
      <c r="I283" t="s">
        <v>10323</v>
      </c>
      <c r="J283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t="s">
        <v>290</v>
      </c>
      <c r="E284" t="s">
        <v>86</v>
      </c>
      <c r="F284" t="s">
        <v>60</v>
      </c>
      <c r="G284">
        <v>3</v>
      </c>
      <c r="H284" t="s">
        <v>10347</v>
      </c>
      <c r="I284" t="s">
        <v>10326</v>
      </c>
      <c r="J284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t="s">
        <v>290</v>
      </c>
      <c r="E285" t="s">
        <v>86</v>
      </c>
      <c r="F285" t="s">
        <v>60</v>
      </c>
      <c r="G285">
        <v>2</v>
      </c>
      <c r="H285" t="s">
        <v>10347</v>
      </c>
      <c r="I285" t="s">
        <v>10329</v>
      </c>
      <c r="J285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t="s">
        <v>290</v>
      </c>
      <c r="E286" t="s">
        <v>86</v>
      </c>
      <c r="F286" t="s">
        <v>60</v>
      </c>
      <c r="G286">
        <v>2</v>
      </c>
      <c r="H286" t="s">
        <v>10347</v>
      </c>
      <c r="I286" t="s">
        <v>10332</v>
      </c>
      <c r="J286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t="s">
        <v>290</v>
      </c>
      <c r="E287" t="s">
        <v>86</v>
      </c>
      <c r="F287" t="s">
        <v>60</v>
      </c>
      <c r="G287">
        <v>2</v>
      </c>
      <c r="H287" t="s">
        <v>10347</v>
      </c>
      <c r="I287" t="s">
        <v>10335</v>
      </c>
      <c r="J287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t="s">
        <v>10348</v>
      </c>
      <c r="E288" t="s">
        <v>86</v>
      </c>
      <c r="F288" t="s">
        <v>10167</v>
      </c>
      <c r="G288">
        <v>1</v>
      </c>
      <c r="H288" t="s">
        <v>10349</v>
      </c>
      <c r="I288" t="s">
        <v>10338</v>
      </c>
      <c r="J28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t="s">
        <v>4</v>
      </c>
      <c r="E289" t="s">
        <v>9876</v>
      </c>
      <c r="I289" t="s">
        <v>10341</v>
      </c>
      <c r="J28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t="s">
        <v>4</v>
      </c>
      <c r="E290" t="s">
        <v>2932</v>
      </c>
      <c r="I290" t="s">
        <v>10344</v>
      </c>
      <c r="J29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t="s">
        <v>2004</v>
      </c>
      <c r="E291" t="s">
        <v>8</v>
      </c>
      <c r="I291" t="s">
        <v>10500</v>
      </c>
      <c r="J291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t="s">
        <v>2004</v>
      </c>
      <c r="E292" t="s">
        <v>8</v>
      </c>
      <c r="I292" t="s">
        <v>10503</v>
      </c>
      <c r="J292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t="s">
        <v>4</v>
      </c>
      <c r="E293" t="s">
        <v>2932</v>
      </c>
      <c r="I293" t="s">
        <v>10546</v>
      </c>
      <c r="J293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t="s">
        <v>4</v>
      </c>
      <c r="E294" t="s">
        <v>10630</v>
      </c>
      <c r="I294" t="s">
        <v>10549</v>
      </c>
      <c r="J294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t="s">
        <v>4</v>
      </c>
      <c r="E295" t="s">
        <v>9876</v>
      </c>
      <c r="I295" t="s">
        <v>10722</v>
      </c>
      <c r="J295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t="s">
        <v>158</v>
      </c>
      <c r="E296" t="s">
        <v>86</v>
      </c>
      <c r="F296" t="s">
        <v>60</v>
      </c>
      <c r="H296" t="s">
        <v>10887</v>
      </c>
      <c r="I296" t="s">
        <v>10725</v>
      </c>
      <c r="J296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t="s">
        <v>4</v>
      </c>
      <c r="E297" t="s">
        <v>2932</v>
      </c>
      <c r="I297" t="s">
        <v>10728</v>
      </c>
      <c r="J297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t="s">
        <v>4</v>
      </c>
      <c r="E298" t="s">
        <v>9876</v>
      </c>
      <c r="I298" t="s">
        <v>10731</v>
      </c>
      <c r="J29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t="s">
        <v>4</v>
      </c>
      <c r="E299" t="s">
        <v>9876</v>
      </c>
      <c r="I299" t="s">
        <v>10734</v>
      </c>
      <c r="J29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t="s">
        <v>4</v>
      </c>
      <c r="E300" t="s">
        <v>8045</v>
      </c>
      <c r="I300" t="s">
        <v>10914</v>
      </c>
      <c r="J30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t="s">
        <v>4</v>
      </c>
      <c r="E301" t="s">
        <v>8045</v>
      </c>
      <c r="I301" t="s">
        <v>10917</v>
      </c>
      <c r="J301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t="s">
        <v>4</v>
      </c>
      <c r="E302" t="s">
        <v>8</v>
      </c>
      <c r="I302" t="s">
        <v>11067</v>
      </c>
      <c r="J302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t="s">
        <v>650</v>
      </c>
      <c r="E303" t="s">
        <v>11125</v>
      </c>
      <c r="H303" t="s">
        <v>11126</v>
      </c>
      <c r="I303" t="s">
        <v>11070</v>
      </c>
      <c r="J303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t="s">
        <v>4</v>
      </c>
      <c r="E304" t="s">
        <v>9876</v>
      </c>
      <c r="I304" t="s">
        <v>11073</v>
      </c>
      <c r="J304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t="s">
        <v>4</v>
      </c>
      <c r="E305" t="s">
        <v>9876</v>
      </c>
      <c r="I305" t="s">
        <v>11160</v>
      </c>
      <c r="J305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t="s">
        <v>4</v>
      </c>
      <c r="E306" t="s">
        <v>9876</v>
      </c>
      <c r="I306" t="s">
        <v>11163</v>
      </c>
      <c r="J306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t="s">
        <v>4</v>
      </c>
      <c r="E307" t="s">
        <v>9876</v>
      </c>
      <c r="I307" t="s">
        <v>11166</v>
      </c>
      <c r="J307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t="s">
        <v>4</v>
      </c>
      <c r="E308" t="s">
        <v>9876</v>
      </c>
      <c r="I308" t="s">
        <v>11169</v>
      </c>
      <c r="J308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t="s">
        <v>4</v>
      </c>
      <c r="E309" t="s">
        <v>8</v>
      </c>
      <c r="I309" t="s">
        <v>11604</v>
      </c>
      <c r="J309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t="s">
        <v>4</v>
      </c>
      <c r="E310" t="s">
        <v>11638</v>
      </c>
      <c r="I310" t="s">
        <v>11607</v>
      </c>
      <c r="J3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t="s">
        <v>4</v>
      </c>
      <c r="E311" t="s">
        <v>8</v>
      </c>
      <c r="I311" t="s">
        <v>11610</v>
      </c>
      <c r="J311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t="s">
        <v>2004</v>
      </c>
      <c r="E312" t="s">
        <v>8</v>
      </c>
      <c r="I312" t="s">
        <v>11676</v>
      </c>
      <c r="J312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t="s">
        <v>4</v>
      </c>
      <c r="E313" t="s">
        <v>2932</v>
      </c>
      <c r="I313" t="s">
        <v>11679</v>
      </c>
      <c r="J313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t="s">
        <v>4</v>
      </c>
      <c r="E314" t="s">
        <v>2932</v>
      </c>
      <c r="I314" t="s">
        <v>11903</v>
      </c>
      <c r="J314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t="s">
        <v>6171</v>
      </c>
      <c r="E315" t="s">
        <v>11958</v>
      </c>
      <c r="I315" t="s">
        <v>11906</v>
      </c>
      <c r="J315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t="s">
        <v>159</v>
      </c>
      <c r="E316" t="s">
        <v>11958</v>
      </c>
      <c r="I316" t="s">
        <v>11909</v>
      </c>
      <c r="J316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t="s">
        <v>201</v>
      </c>
      <c r="E317" t="s">
        <v>11958</v>
      </c>
      <c r="I317" t="s">
        <v>11912</v>
      </c>
      <c r="J317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t="s">
        <v>4</v>
      </c>
      <c r="E318" t="s">
        <v>8</v>
      </c>
      <c r="I318" t="s">
        <v>11915</v>
      </c>
      <c r="J318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t="s">
        <v>159</v>
      </c>
      <c r="E319" t="s">
        <v>4193</v>
      </c>
      <c r="I319" t="s">
        <v>11918</v>
      </c>
      <c r="J319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t="s">
        <v>201</v>
      </c>
      <c r="E320" t="s">
        <v>4193</v>
      </c>
      <c r="I320" t="s">
        <v>11921</v>
      </c>
      <c r="J32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t="s">
        <v>4</v>
      </c>
      <c r="E321" t="s">
        <v>8</v>
      </c>
      <c r="I321" t="s">
        <v>11924</v>
      </c>
      <c r="J321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t="s">
        <v>159</v>
      </c>
      <c r="E322" t="s">
        <v>70</v>
      </c>
      <c r="I322" t="s">
        <v>11927</v>
      </c>
      <c r="J322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t="s">
        <v>4</v>
      </c>
      <c r="E323" t="s">
        <v>8</v>
      </c>
      <c r="I323" t="s">
        <v>11930</v>
      </c>
      <c r="J323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t="s">
        <v>651</v>
      </c>
      <c r="E324" t="s">
        <v>86</v>
      </c>
      <c r="I324" t="s">
        <v>11995</v>
      </c>
      <c r="J324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t="s">
        <v>11957</v>
      </c>
      <c r="E325" t="s">
        <v>12014</v>
      </c>
      <c r="I325" t="s">
        <v>11998</v>
      </c>
      <c r="J325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t="s">
        <v>201</v>
      </c>
      <c r="E326" t="s">
        <v>12014</v>
      </c>
      <c r="I326" t="s">
        <v>12001</v>
      </c>
      <c r="J326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t="s">
        <v>2004</v>
      </c>
      <c r="E327" t="s">
        <v>8</v>
      </c>
      <c r="I327" t="s">
        <v>12028</v>
      </c>
      <c r="J327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t="s">
        <v>4</v>
      </c>
      <c r="E328" t="s">
        <v>10638</v>
      </c>
      <c r="I328" t="s">
        <v>12040</v>
      </c>
      <c r="J328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</sheetData>
  <conditionalFormatting sqref="E329:E342 D329:D339 G2:H328 D2:E328">
    <cfRule type="containsText" dxfId="836" priority="17" operator="containsText" text="Выезд с территории">
      <formula>NOT(ISERROR(SEARCH("Выезд с территории",D2)))</formula>
    </cfRule>
  </conditionalFormatting>
  <conditionalFormatting sqref="F2:F328">
    <cfRule type="notContainsText" dxfId="835" priority="16" operator="notContains" text="порожний">
      <formula>ISERROR(SEARCH("порожний",F2))</formula>
    </cfRule>
  </conditionalFormatting>
  <conditionalFormatting sqref="E2:E342">
    <cfRule type="containsText" dxfId="834" priority="14" operator="containsText" text="Газель базы">
      <formula>NOT(ISERROR(SEARCH("Газель базы",E2)))</formula>
    </cfRule>
    <cfRule type="containsText" dxfId="833" priority="15" operator="containsText" text="Погрузчик базы">
      <formula>NOT(ISERROR(SEARCH("Погрузчик базы",E2)))</formula>
    </cfRule>
  </conditionalFormatting>
  <conditionalFormatting sqref="E2:E342">
    <cfRule type="containsText" dxfId="832" priority="13" operator="containsText" text="Трактор базы">
      <formula>NOT(ISERROR(SEARCH("Трактор базы",E2)))</formula>
    </cfRule>
  </conditionalFormatting>
  <conditionalFormatting sqref="A2:C328">
    <cfRule type="expression" dxfId="831" priority="12">
      <formula>$A2="пн"</formula>
    </cfRule>
  </conditionalFormatting>
  <conditionalFormatting sqref="A2:C330">
    <cfRule type="expression" dxfId="830" priority="6">
      <formula>$A2="вс"</formula>
    </cfRule>
    <cfRule type="expression" dxfId="829" priority="7">
      <formula>$A2="сб"</formula>
    </cfRule>
    <cfRule type="expression" dxfId="828" priority="8">
      <formula>$A2="пт"</formula>
    </cfRule>
    <cfRule type="expression" dxfId="827" priority="9">
      <formula>$A2="чт"</formula>
    </cfRule>
    <cfRule type="expression" dxfId="826" priority="10">
      <formula>$A2="ср"</formula>
    </cfRule>
    <cfRule type="expression" dxfId="825" priority="11">
      <formula>$A2="вт"</formula>
    </cfRule>
  </conditionalFormatting>
  <conditionalFormatting sqref="D2:D339">
    <cfRule type="containsText" dxfId="82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9">
    <cfRule type="containsText" dxfId="82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46"/>
  <sheetViews>
    <sheetView zoomScale="90" zoomScaleNormal="90" workbookViewId="0">
      <pane ySplit="1" topLeftCell="A121" activePane="bottomLeft" state="frozen"/>
      <selection pane="bottomLeft" activeCell="I145" sqref="I145:I14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t="s">
        <v>2004</v>
      </c>
      <c r="E75" t="s">
        <v>8</v>
      </c>
      <c r="I75" t="s">
        <v>6715</v>
      </c>
      <c r="J75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t="s">
        <v>2004</v>
      </c>
      <c r="E76" t="s">
        <v>8</v>
      </c>
      <c r="I76" t="s">
        <v>6917</v>
      </c>
      <c r="J76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t="s">
        <v>2004</v>
      </c>
      <c r="E77" t="s">
        <v>8</v>
      </c>
      <c r="I77" t="s">
        <v>6920</v>
      </c>
      <c r="J77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t="s">
        <v>2004</v>
      </c>
      <c r="E78" t="s">
        <v>8</v>
      </c>
      <c r="I78" t="s">
        <v>6923</v>
      </c>
      <c r="J7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t="s">
        <v>2004</v>
      </c>
      <c r="E79" t="s">
        <v>8</v>
      </c>
      <c r="I79" t="s">
        <v>7187</v>
      </c>
      <c r="J7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t="s">
        <v>2004</v>
      </c>
      <c r="E80" t="s">
        <v>8</v>
      </c>
      <c r="I80" t="s">
        <v>7254</v>
      </c>
      <c r="J8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t="s">
        <v>2004</v>
      </c>
      <c r="E81" t="s">
        <v>8</v>
      </c>
      <c r="I81" t="s">
        <v>7257</v>
      </c>
      <c r="J81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t="s">
        <v>2004</v>
      </c>
      <c r="E82" t="s">
        <v>8</v>
      </c>
      <c r="I82" t="s">
        <v>7694</v>
      </c>
      <c r="J82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t="s">
        <v>2004</v>
      </c>
      <c r="E83" t="s">
        <v>8</v>
      </c>
      <c r="I83" t="s">
        <v>7697</v>
      </c>
      <c r="J83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t="s">
        <v>290</v>
      </c>
      <c r="E84" t="s">
        <v>86</v>
      </c>
      <c r="F84" t="s">
        <v>60</v>
      </c>
      <c r="H84" t="s">
        <v>5104</v>
      </c>
      <c r="I84" t="s">
        <v>7855</v>
      </c>
      <c r="J84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t="s">
        <v>290</v>
      </c>
      <c r="E85" t="s">
        <v>86</v>
      </c>
      <c r="F85" t="s">
        <v>60</v>
      </c>
      <c r="H85" t="s">
        <v>2936</v>
      </c>
      <c r="I85" t="s">
        <v>7858</v>
      </c>
      <c r="J85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t="s">
        <v>290</v>
      </c>
      <c r="E86" t="s">
        <v>86</v>
      </c>
      <c r="F86" t="s">
        <v>60</v>
      </c>
      <c r="H86" t="s">
        <v>2936</v>
      </c>
      <c r="I86" t="s">
        <v>7861</v>
      </c>
      <c r="J86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t="s">
        <v>2004</v>
      </c>
      <c r="E87" t="s">
        <v>8</v>
      </c>
      <c r="I87" t="s">
        <v>8016</v>
      </c>
      <c r="J87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t="s">
        <v>2004</v>
      </c>
      <c r="E88" t="s">
        <v>8</v>
      </c>
      <c r="I88" t="s">
        <v>8019</v>
      </c>
      <c r="J8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t="s">
        <v>2004</v>
      </c>
      <c r="E89" t="s">
        <v>8</v>
      </c>
      <c r="I89" t="s">
        <v>8303</v>
      </c>
      <c r="J8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t="s">
        <v>2004</v>
      </c>
      <c r="E90" t="s">
        <v>8</v>
      </c>
      <c r="I90" t="s">
        <v>8306</v>
      </c>
      <c r="J9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t="s">
        <v>2004</v>
      </c>
      <c r="E91" t="s">
        <v>8</v>
      </c>
      <c r="I91" t="s">
        <v>8309</v>
      </c>
      <c r="J91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t="s">
        <v>2004</v>
      </c>
      <c r="E92" t="s">
        <v>8</v>
      </c>
      <c r="I92" t="s">
        <v>8312</v>
      </c>
      <c r="J92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t="s">
        <v>2004</v>
      </c>
      <c r="E93" t="s">
        <v>8</v>
      </c>
      <c r="I93" t="s">
        <v>8393</v>
      </c>
      <c r="J93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t="s">
        <v>2004</v>
      </c>
      <c r="E94" t="s">
        <v>8</v>
      </c>
      <c r="I94" t="s">
        <v>8396</v>
      </c>
      <c r="J94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t="s">
        <v>2004</v>
      </c>
      <c r="E95" t="s">
        <v>8</v>
      </c>
      <c r="I95" t="s">
        <v>8399</v>
      </c>
      <c r="J95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t="s">
        <v>2004</v>
      </c>
      <c r="E96" t="s">
        <v>8</v>
      </c>
      <c r="I96" t="s">
        <v>8577</v>
      </c>
      <c r="J96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t="s">
        <v>2004</v>
      </c>
      <c r="E97" t="s">
        <v>8</v>
      </c>
      <c r="I97" t="s">
        <v>8580</v>
      </c>
      <c r="J97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t="s">
        <v>2004</v>
      </c>
      <c r="E98" t="s">
        <v>8</v>
      </c>
      <c r="I98" t="s">
        <v>8583</v>
      </c>
      <c r="J9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t="s">
        <v>2004</v>
      </c>
      <c r="E99" t="s">
        <v>8</v>
      </c>
      <c r="I99" t="s">
        <v>8586</v>
      </c>
      <c r="J9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t="s">
        <v>2004</v>
      </c>
      <c r="E100" t="s">
        <v>8</v>
      </c>
      <c r="I100" t="s">
        <v>8589</v>
      </c>
      <c r="J10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t="s">
        <v>2004</v>
      </c>
      <c r="E101" t="s">
        <v>8</v>
      </c>
      <c r="I101" t="s">
        <v>8592</v>
      </c>
      <c r="J101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t="s">
        <v>2004</v>
      </c>
      <c r="E102" t="s">
        <v>8</v>
      </c>
      <c r="I102" t="s">
        <v>8595</v>
      </c>
      <c r="J102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t="s">
        <v>9191</v>
      </c>
      <c r="E103" t="s">
        <v>5480</v>
      </c>
      <c r="F103" t="s">
        <v>9190</v>
      </c>
      <c r="I103" t="s">
        <v>8994</v>
      </c>
      <c r="J103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t="s">
        <v>2004</v>
      </c>
      <c r="E104" t="s">
        <v>8</v>
      </c>
      <c r="I104" t="s">
        <v>8997</v>
      </c>
      <c r="J104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t="s">
        <v>2004</v>
      </c>
      <c r="E105" t="s">
        <v>8</v>
      </c>
      <c r="I105" t="s">
        <v>9267</v>
      </c>
      <c r="J105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t="s">
        <v>2004</v>
      </c>
      <c r="E106" t="s">
        <v>8</v>
      </c>
      <c r="I106" t="s">
        <v>9387</v>
      </c>
      <c r="J106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t="s">
        <v>9399</v>
      </c>
      <c r="E107" t="s">
        <v>60</v>
      </c>
      <c r="I107" t="s">
        <v>9390</v>
      </c>
      <c r="J107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t="s">
        <v>1094</v>
      </c>
      <c r="E108" t="s">
        <v>4247</v>
      </c>
      <c r="F108" t="s">
        <v>60</v>
      </c>
      <c r="I108" t="s">
        <v>9393</v>
      </c>
      <c r="J10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t="s">
        <v>4</v>
      </c>
      <c r="E109" t="s">
        <v>8</v>
      </c>
      <c r="I109" t="s">
        <v>9396</v>
      </c>
      <c r="J10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t="s">
        <v>2004</v>
      </c>
      <c r="E110" t="s">
        <v>8</v>
      </c>
      <c r="I110" t="s">
        <v>9612</v>
      </c>
      <c r="J1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t="s">
        <v>2004</v>
      </c>
      <c r="E111" t="s">
        <v>8</v>
      </c>
      <c r="I111" t="s">
        <v>9615</v>
      </c>
      <c r="J111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t="s">
        <v>2004</v>
      </c>
      <c r="E112" t="s">
        <v>8</v>
      </c>
      <c r="I112" t="s">
        <v>9735</v>
      </c>
      <c r="J112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t="s">
        <v>2004</v>
      </c>
      <c r="E113" t="s">
        <v>8</v>
      </c>
      <c r="I113" t="s">
        <v>9738</v>
      </c>
      <c r="J113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t="s">
        <v>2004</v>
      </c>
      <c r="E114" t="s">
        <v>8</v>
      </c>
      <c r="I114" t="s">
        <v>9969</v>
      </c>
      <c r="J114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t="s">
        <v>4</v>
      </c>
      <c r="E115" t="s">
        <v>8</v>
      </c>
      <c r="I115" t="s">
        <v>9972</v>
      </c>
      <c r="J115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t="s">
        <v>4</v>
      </c>
      <c r="E116" t="s">
        <v>8</v>
      </c>
      <c r="H116" t="s">
        <v>2936</v>
      </c>
      <c r="I116" t="s">
        <v>9975</v>
      </c>
      <c r="J116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t="s">
        <v>2004</v>
      </c>
      <c r="E117" t="s">
        <v>8</v>
      </c>
      <c r="I117" t="s">
        <v>10350</v>
      </c>
      <c r="J117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t="s">
        <v>2004</v>
      </c>
      <c r="E118" t="s">
        <v>8</v>
      </c>
      <c r="I118" t="s">
        <v>10506</v>
      </c>
      <c r="J11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t="s">
        <v>2004</v>
      </c>
      <c r="E119" t="s">
        <v>8</v>
      </c>
      <c r="I119" t="s">
        <v>10509</v>
      </c>
      <c r="J11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t="s">
        <v>2004</v>
      </c>
      <c r="E120" t="s">
        <v>8</v>
      </c>
      <c r="I120" t="s">
        <v>10552</v>
      </c>
      <c r="J12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t="s">
        <v>2004</v>
      </c>
      <c r="E121" t="s">
        <v>8</v>
      </c>
      <c r="I121" t="s">
        <v>10555</v>
      </c>
      <c r="J121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t="s">
        <v>2004</v>
      </c>
      <c r="E122" t="s">
        <v>8</v>
      </c>
      <c r="I122" t="s">
        <v>10782</v>
      </c>
      <c r="J122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t="s">
        <v>2004</v>
      </c>
      <c r="E123" t="s">
        <v>8</v>
      </c>
      <c r="I123" t="s">
        <v>10785</v>
      </c>
      <c r="J123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t="s">
        <v>2004</v>
      </c>
      <c r="E124" t="s">
        <v>8</v>
      </c>
      <c r="I124" t="s">
        <v>10920</v>
      </c>
      <c r="J124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t="s">
        <v>4</v>
      </c>
      <c r="E125" t="s">
        <v>8045</v>
      </c>
      <c r="I125" t="s">
        <v>11034</v>
      </c>
      <c r="J125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t="s">
        <v>2004</v>
      </c>
      <c r="E126" t="s">
        <v>8</v>
      </c>
      <c r="I126" t="s">
        <v>11037</v>
      </c>
      <c r="J126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t="s">
        <v>2004</v>
      </c>
      <c r="E127" t="s">
        <v>8</v>
      </c>
      <c r="I127" t="s">
        <v>11181</v>
      </c>
      <c r="J127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t="s">
        <v>4</v>
      </c>
      <c r="E128" t="s">
        <v>8045</v>
      </c>
      <c r="I128" t="s">
        <v>11184</v>
      </c>
      <c r="J128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t="s">
        <v>4</v>
      </c>
      <c r="E129" t="s">
        <v>8805</v>
      </c>
      <c r="I129" t="s">
        <v>11639</v>
      </c>
      <c r="J129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t="s">
        <v>2004</v>
      </c>
      <c r="E130" t="s">
        <v>8</v>
      </c>
      <c r="I130" t="s">
        <v>11613</v>
      </c>
      <c r="J13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t="s">
        <v>2004</v>
      </c>
      <c r="E131" t="s">
        <v>8</v>
      </c>
      <c r="I131" t="s">
        <v>11616</v>
      </c>
      <c r="J131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t="s">
        <v>2004</v>
      </c>
      <c r="E132" t="s">
        <v>8</v>
      </c>
      <c r="I132" t="s">
        <v>11691</v>
      </c>
      <c r="J132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t="s">
        <v>2004</v>
      </c>
      <c r="E133" t="s">
        <v>8</v>
      </c>
      <c r="I133" t="s">
        <v>11694</v>
      </c>
      <c r="J133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t="s">
        <v>2004</v>
      </c>
      <c r="E134" t="s">
        <v>8</v>
      </c>
      <c r="I134" t="s">
        <v>11933</v>
      </c>
      <c r="J134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t="s">
        <v>11960</v>
      </c>
      <c r="I135" t="s">
        <v>11936</v>
      </c>
      <c r="J135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t="s">
        <v>11961</v>
      </c>
      <c r="I136" t="s">
        <v>11939</v>
      </c>
      <c r="J136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t="s">
        <v>2004</v>
      </c>
      <c r="E137" t="s">
        <v>8</v>
      </c>
      <c r="I137" t="s">
        <v>11942</v>
      </c>
      <c r="J137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t="s">
        <v>4</v>
      </c>
      <c r="E138" t="s">
        <v>8045</v>
      </c>
      <c r="I138" t="s">
        <v>11945</v>
      </c>
      <c r="J138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t="s">
        <v>4</v>
      </c>
      <c r="E139" t="s">
        <v>8</v>
      </c>
      <c r="I139" t="s">
        <v>11948</v>
      </c>
      <c r="J139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t="s">
        <v>4</v>
      </c>
      <c r="E140" t="s">
        <v>8045</v>
      </c>
      <c r="I140" t="s">
        <v>11951</v>
      </c>
      <c r="J14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t="s">
        <v>4</v>
      </c>
      <c r="E141" t="s">
        <v>8045</v>
      </c>
      <c r="I141" t="s">
        <v>11954</v>
      </c>
      <c r="J141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t="s">
        <v>4</v>
      </c>
      <c r="E142" t="s">
        <v>8045</v>
      </c>
      <c r="I142" t="s">
        <v>12004</v>
      </c>
      <c r="J142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t="s">
        <v>4</v>
      </c>
      <c r="E143" t="s">
        <v>8</v>
      </c>
      <c r="I143" t="s">
        <v>12007</v>
      </c>
      <c r="J143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t="s">
        <v>4</v>
      </c>
      <c r="E144" t="s">
        <v>8045</v>
      </c>
      <c r="I144" t="s">
        <v>12010</v>
      </c>
      <c r="J144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t="s">
        <v>4</v>
      </c>
      <c r="E145" t="s">
        <v>8045</v>
      </c>
      <c r="I145" t="s">
        <v>12031</v>
      </c>
      <c r="J145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t="s">
        <v>4</v>
      </c>
      <c r="E146" t="s">
        <v>8</v>
      </c>
      <c r="H146" t="s">
        <v>2936</v>
      </c>
      <c r="I146" t="s">
        <v>12034</v>
      </c>
      <c r="J146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</sheetData>
  <conditionalFormatting sqref="D147:D157 E147:E160 G2:H146 D2:E146">
    <cfRule type="containsText" dxfId="822" priority="14" operator="containsText" text="Выезд с территории">
      <formula>NOT(ISERROR(SEARCH("Выезд с территории",D2)))</formula>
    </cfRule>
  </conditionalFormatting>
  <conditionalFormatting sqref="F2:F146">
    <cfRule type="notContainsText" dxfId="821" priority="13" operator="notContains" text="порожний">
      <formula>ISERROR(SEARCH("порожний",F2))</formula>
    </cfRule>
  </conditionalFormatting>
  <conditionalFormatting sqref="E2:E160">
    <cfRule type="containsText" dxfId="820" priority="11" operator="containsText" text="Газель базы">
      <formula>NOT(ISERROR(SEARCH("Газель базы",E2)))</formula>
    </cfRule>
    <cfRule type="containsText" dxfId="819" priority="12" operator="containsText" text="Погрузчик базы">
      <formula>NOT(ISERROR(SEARCH("Погрузчик базы",E2)))</formula>
    </cfRule>
  </conditionalFormatting>
  <conditionalFormatting sqref="E2:E160">
    <cfRule type="containsText" dxfId="818" priority="10" operator="containsText" text="Трактор базы">
      <formula>NOT(ISERROR(SEARCH("Трактор базы",E2)))</formula>
    </cfRule>
  </conditionalFormatting>
  <conditionalFormatting sqref="A2:C146">
    <cfRule type="expression" dxfId="817" priority="9">
      <formula>$A2="пн"</formula>
    </cfRule>
  </conditionalFormatting>
  <conditionalFormatting sqref="A2:C148">
    <cfRule type="expression" dxfId="816" priority="3">
      <formula>$A2="вс"</formula>
    </cfRule>
    <cfRule type="expression" dxfId="815" priority="4">
      <formula>$A2="сб"</formula>
    </cfRule>
    <cfRule type="expression" dxfId="814" priority="5">
      <formula>$A2="пт"</formula>
    </cfRule>
    <cfRule type="expression" dxfId="813" priority="6">
      <formula>$A2="чт"</formula>
    </cfRule>
    <cfRule type="expression" dxfId="812" priority="7">
      <formula>$A2="ср"</formula>
    </cfRule>
    <cfRule type="expression" dxfId="811" priority="8">
      <formula>$A2="вт"</formula>
    </cfRule>
  </conditionalFormatting>
  <conditionalFormatting sqref="D2:D157">
    <cfRule type="containsText" dxfId="8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8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83"/>
  <sheetViews>
    <sheetView zoomScale="90" zoomScaleNormal="90" workbookViewId="0">
      <pane ySplit="1" topLeftCell="A257" activePane="bottomLeft" state="frozen"/>
      <selection pane="bottomLeft" activeCell="I283" sqref="I2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t="s">
        <v>4</v>
      </c>
      <c r="E200" t="s">
        <v>6868</v>
      </c>
      <c r="I200" t="s">
        <v>6875</v>
      </c>
      <c r="J20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t="s">
        <v>2004</v>
      </c>
      <c r="E201" t="s">
        <v>8</v>
      </c>
      <c r="I201" t="s">
        <v>6926</v>
      </c>
      <c r="J201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t="s">
        <v>4212</v>
      </c>
      <c r="I202" t="s">
        <v>7160</v>
      </c>
      <c r="J202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t="s">
        <v>2004</v>
      </c>
      <c r="E203" t="s">
        <v>8</v>
      </c>
      <c r="I203" t="s">
        <v>6929</v>
      </c>
      <c r="J203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t="s">
        <v>2004</v>
      </c>
      <c r="E204" t="s">
        <v>8</v>
      </c>
      <c r="I204" t="s">
        <v>7214</v>
      </c>
      <c r="J204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t="s">
        <v>2004</v>
      </c>
      <c r="E205" t="s">
        <v>8</v>
      </c>
      <c r="I205" t="s">
        <v>7411</v>
      </c>
      <c r="J205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t="s">
        <v>2004</v>
      </c>
      <c r="E206" t="s">
        <v>8</v>
      </c>
      <c r="I206" t="s">
        <v>7414</v>
      </c>
      <c r="J206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t="s">
        <v>2004</v>
      </c>
      <c r="E207" t="s">
        <v>8</v>
      </c>
      <c r="I207" t="s">
        <v>7700</v>
      </c>
      <c r="J207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t="s">
        <v>2004</v>
      </c>
      <c r="E208" t="s">
        <v>8</v>
      </c>
      <c r="I208" t="s">
        <v>7703</v>
      </c>
      <c r="J20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t="s">
        <v>2004</v>
      </c>
      <c r="E209" t="s">
        <v>8</v>
      </c>
      <c r="I209" t="s">
        <v>7867</v>
      </c>
      <c r="J20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t="s">
        <v>2004</v>
      </c>
      <c r="E210" t="s">
        <v>8</v>
      </c>
      <c r="I210" t="s">
        <v>8046</v>
      </c>
      <c r="J2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t="s">
        <v>2004</v>
      </c>
      <c r="E211" t="s">
        <v>8</v>
      </c>
      <c r="I211" t="s">
        <v>8049</v>
      </c>
      <c r="J211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t="s">
        <v>2004</v>
      </c>
      <c r="E212" t="s">
        <v>8</v>
      </c>
      <c r="I212" t="s">
        <v>8336</v>
      </c>
      <c r="J212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t="s">
        <v>2004</v>
      </c>
      <c r="E213" t="s">
        <v>8</v>
      </c>
      <c r="I213" t="s">
        <v>8339</v>
      </c>
      <c r="J213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t="s">
        <v>2004</v>
      </c>
      <c r="E214" t="s">
        <v>8</v>
      </c>
      <c r="I214" t="s">
        <v>8342</v>
      </c>
      <c r="J214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t="s">
        <v>2004</v>
      </c>
      <c r="E215" t="s">
        <v>8</v>
      </c>
      <c r="I215" t="s">
        <v>8346</v>
      </c>
      <c r="J215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t="s">
        <v>2004</v>
      </c>
      <c r="E216" t="s">
        <v>8</v>
      </c>
      <c r="I216" t="s">
        <v>8348</v>
      </c>
      <c r="J216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t="s">
        <v>2004</v>
      </c>
      <c r="E217" t="s">
        <v>8</v>
      </c>
      <c r="I217" t="s">
        <v>8474</v>
      </c>
      <c r="J217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t="s">
        <v>2004</v>
      </c>
      <c r="E218" t="s">
        <v>8</v>
      </c>
      <c r="I218" t="s">
        <v>8477</v>
      </c>
      <c r="J21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t="s">
        <v>2004</v>
      </c>
      <c r="E219" t="s">
        <v>8</v>
      </c>
      <c r="I219" t="s">
        <v>8480</v>
      </c>
      <c r="J21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t="s">
        <v>2004</v>
      </c>
      <c r="E220" t="s">
        <v>8</v>
      </c>
      <c r="I220" t="s">
        <v>8679</v>
      </c>
      <c r="J22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t="s">
        <v>2004</v>
      </c>
      <c r="E221" t="s">
        <v>8</v>
      </c>
      <c r="I221" t="s">
        <v>8806</v>
      </c>
      <c r="J221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t="s">
        <v>2004</v>
      </c>
      <c r="E222" t="s">
        <v>8</v>
      </c>
      <c r="I222" t="s">
        <v>8809</v>
      </c>
      <c r="J222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t="s">
        <v>2004</v>
      </c>
      <c r="E223" t="s">
        <v>8</v>
      </c>
      <c r="I223" t="s">
        <v>8812</v>
      </c>
      <c r="J223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t="s">
        <v>2004</v>
      </c>
      <c r="E224" t="s">
        <v>8</v>
      </c>
      <c r="I224" t="s">
        <v>8815</v>
      </c>
      <c r="J224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t="s">
        <v>2004</v>
      </c>
      <c r="E225" t="s">
        <v>8</v>
      </c>
      <c r="I225" t="s">
        <v>8818</v>
      </c>
      <c r="J225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t="s">
        <v>2004</v>
      </c>
      <c r="E226" t="s">
        <v>8</v>
      </c>
      <c r="I226" t="s">
        <v>8821</v>
      </c>
      <c r="J226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t="s">
        <v>2004</v>
      </c>
      <c r="E227" t="s">
        <v>8</v>
      </c>
      <c r="I227" t="s">
        <v>9192</v>
      </c>
      <c r="J227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t="s">
        <v>2004</v>
      </c>
      <c r="E228" t="s">
        <v>8</v>
      </c>
      <c r="I228" t="s">
        <v>9195</v>
      </c>
      <c r="J22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t="s">
        <v>2004</v>
      </c>
      <c r="E229" t="s">
        <v>8</v>
      </c>
      <c r="I229" t="s">
        <v>9400</v>
      </c>
      <c r="J22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t="s">
        <v>2004</v>
      </c>
      <c r="E230" t="s">
        <v>8</v>
      </c>
      <c r="I230" t="s">
        <v>9403</v>
      </c>
      <c r="J23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t="s">
        <v>2004</v>
      </c>
      <c r="E231" t="s">
        <v>8</v>
      </c>
      <c r="I231" t="s">
        <v>9406</v>
      </c>
      <c r="J231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t="s">
        <v>2004</v>
      </c>
      <c r="E232" t="s">
        <v>8</v>
      </c>
      <c r="I232" t="s">
        <v>9686</v>
      </c>
      <c r="J232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t="s">
        <v>2004</v>
      </c>
      <c r="E233" t="s">
        <v>8</v>
      </c>
      <c r="I233" t="s">
        <v>9688</v>
      </c>
      <c r="J233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t="s">
        <v>4</v>
      </c>
      <c r="E234" t="s">
        <v>9913</v>
      </c>
      <c r="I234" t="s">
        <v>9877</v>
      </c>
      <c r="J234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t="s">
        <v>4</v>
      </c>
      <c r="E235" t="s">
        <v>9913</v>
      </c>
      <c r="H235" t="s">
        <v>2936</v>
      </c>
      <c r="I235" t="s">
        <v>9880</v>
      </c>
      <c r="J235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t="s">
        <v>4</v>
      </c>
      <c r="E236" t="s">
        <v>9913</v>
      </c>
      <c r="H236" t="s">
        <v>2936</v>
      </c>
      <c r="I236" t="s">
        <v>9883</v>
      </c>
      <c r="J236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t="s">
        <v>4</v>
      </c>
      <c r="E237" t="s">
        <v>9913</v>
      </c>
      <c r="H237" t="s">
        <v>2936</v>
      </c>
      <c r="I237" t="s">
        <v>9886</v>
      </c>
      <c r="J237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t="s">
        <v>4</v>
      </c>
      <c r="E238" t="s">
        <v>9913</v>
      </c>
      <c r="H238" t="s">
        <v>2936</v>
      </c>
      <c r="I238" t="s">
        <v>9889</v>
      </c>
      <c r="J23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t="s">
        <v>4</v>
      </c>
      <c r="E239" t="s">
        <v>9913</v>
      </c>
      <c r="H239" t="s">
        <v>2936</v>
      </c>
      <c r="I239" t="s">
        <v>9892</v>
      </c>
      <c r="J23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t="s">
        <v>4</v>
      </c>
      <c r="E240" t="s">
        <v>9913</v>
      </c>
      <c r="H240" t="s">
        <v>2936</v>
      </c>
      <c r="I240" t="s">
        <v>9895</v>
      </c>
      <c r="J24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t="s">
        <v>4</v>
      </c>
      <c r="E241" t="s">
        <v>9913</v>
      </c>
      <c r="H241" t="s">
        <v>2936</v>
      </c>
      <c r="I241" t="s">
        <v>9898</v>
      </c>
      <c r="J241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t="s">
        <v>4</v>
      </c>
      <c r="E242" t="s">
        <v>9913</v>
      </c>
      <c r="H242" t="s">
        <v>2936</v>
      </c>
      <c r="I242" t="s">
        <v>9901</v>
      </c>
      <c r="J242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t="s">
        <v>4</v>
      </c>
      <c r="E243" t="s">
        <v>9913</v>
      </c>
      <c r="H243" t="s">
        <v>2936</v>
      </c>
      <c r="I243" t="s">
        <v>9904</v>
      </c>
      <c r="J243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t="s">
        <v>4</v>
      </c>
      <c r="E244" t="s">
        <v>9913</v>
      </c>
      <c r="H244" t="s">
        <v>2936</v>
      </c>
      <c r="I244" t="s">
        <v>9907</v>
      </c>
      <c r="J244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t="s">
        <v>4</v>
      </c>
      <c r="E245" t="s">
        <v>9913</v>
      </c>
      <c r="H245" t="s">
        <v>2936</v>
      </c>
      <c r="I245" t="s">
        <v>9910</v>
      </c>
      <c r="J245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t="s">
        <v>4</v>
      </c>
      <c r="E246" t="s">
        <v>9913</v>
      </c>
      <c r="H246" t="s">
        <v>2936</v>
      </c>
      <c r="I246" t="s">
        <v>10125</v>
      </c>
      <c r="J246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t="s">
        <v>4</v>
      </c>
      <c r="E247" t="s">
        <v>9913</v>
      </c>
      <c r="H247" t="s">
        <v>2936</v>
      </c>
      <c r="I247" t="s">
        <v>10128</v>
      </c>
      <c r="J247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t="s">
        <v>4</v>
      </c>
      <c r="E248" t="s">
        <v>9913</v>
      </c>
      <c r="H248" t="s">
        <v>2936</v>
      </c>
      <c r="I248" t="s">
        <v>10131</v>
      </c>
      <c r="J24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t="s">
        <v>4</v>
      </c>
      <c r="E249" t="s">
        <v>9913</v>
      </c>
      <c r="H249" t="s">
        <v>2936</v>
      </c>
      <c r="I249" t="s">
        <v>10134</v>
      </c>
      <c r="J24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t="s">
        <v>2004</v>
      </c>
      <c r="E250" t="s">
        <v>8</v>
      </c>
      <c r="I250" t="s">
        <v>10137</v>
      </c>
      <c r="J25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t="s">
        <v>4</v>
      </c>
      <c r="E251" t="s">
        <v>10392</v>
      </c>
      <c r="I251" t="s">
        <v>10389</v>
      </c>
      <c r="J251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t="s">
        <v>2004</v>
      </c>
      <c r="E252" t="s">
        <v>8</v>
      </c>
      <c r="I252" t="s">
        <v>10512</v>
      </c>
      <c r="J252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t="s">
        <v>2004</v>
      </c>
      <c r="E253" t="s">
        <v>8</v>
      </c>
      <c r="I253" t="s">
        <v>10515</v>
      </c>
      <c r="J253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t="s">
        <v>2004</v>
      </c>
      <c r="E254" t="s">
        <v>8</v>
      </c>
      <c r="I254" t="s">
        <v>10631</v>
      </c>
      <c r="J254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t="s">
        <v>2004</v>
      </c>
      <c r="E255" t="s">
        <v>8</v>
      </c>
      <c r="I255" t="s">
        <v>10634</v>
      </c>
      <c r="J255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t="s">
        <v>2004</v>
      </c>
      <c r="E256" t="s">
        <v>8</v>
      </c>
      <c r="I256" t="s">
        <v>10878</v>
      </c>
      <c r="J256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t="s">
        <v>2004</v>
      </c>
      <c r="E257" t="s">
        <v>8</v>
      </c>
      <c r="I257" t="s">
        <v>10881</v>
      </c>
      <c r="J257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t="s">
        <v>2004</v>
      </c>
      <c r="E258" t="s">
        <v>8</v>
      </c>
      <c r="I258" t="s">
        <v>11004</v>
      </c>
      <c r="J258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t="s">
        <v>2004</v>
      </c>
      <c r="E259" t="s">
        <v>8</v>
      </c>
      <c r="I259" t="s">
        <v>11127</v>
      </c>
      <c r="J259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t="s">
        <v>2004</v>
      </c>
      <c r="E260" t="s">
        <v>8</v>
      </c>
      <c r="I260" t="s">
        <v>11130</v>
      </c>
      <c r="J26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t="s">
        <v>2004</v>
      </c>
      <c r="E261" t="s">
        <v>8</v>
      </c>
      <c r="I261" t="s">
        <v>11414</v>
      </c>
      <c r="J261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t="s">
        <v>2004</v>
      </c>
      <c r="E262" t="s">
        <v>8</v>
      </c>
      <c r="I262" t="s">
        <v>11417</v>
      </c>
      <c r="J262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t="s">
        <v>2004</v>
      </c>
      <c r="E263" t="s">
        <v>8</v>
      </c>
      <c r="I263" t="s">
        <v>11642</v>
      </c>
      <c r="J263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t="s">
        <v>2004</v>
      </c>
      <c r="E264" t="s">
        <v>8</v>
      </c>
      <c r="I264" t="s">
        <v>11645</v>
      </c>
      <c r="J264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t="s">
        <v>2004</v>
      </c>
      <c r="E265" t="s">
        <v>8</v>
      </c>
      <c r="I265" t="s">
        <v>11648</v>
      </c>
      <c r="J265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t="s">
        <v>2004</v>
      </c>
      <c r="E266" t="s">
        <v>8</v>
      </c>
      <c r="I266" t="s">
        <v>11776</v>
      </c>
      <c r="J266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t="s">
        <v>2004</v>
      </c>
      <c r="E267" t="s">
        <v>8</v>
      </c>
      <c r="I267" t="s">
        <v>11779</v>
      </c>
      <c r="J267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t="s">
        <v>4</v>
      </c>
      <c r="E268" t="s">
        <v>9913</v>
      </c>
      <c r="I268" t="s">
        <v>11784</v>
      </c>
      <c r="J268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t="s">
        <v>4</v>
      </c>
      <c r="E269" t="s">
        <v>8</v>
      </c>
      <c r="I269" t="s">
        <v>11787</v>
      </c>
      <c r="J269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t="s">
        <v>4</v>
      </c>
      <c r="E270" t="s">
        <v>9913</v>
      </c>
      <c r="I270" t="s">
        <v>11790</v>
      </c>
      <c r="J27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t="s">
        <v>4</v>
      </c>
      <c r="E271" t="s">
        <v>9913</v>
      </c>
      <c r="I271" t="s">
        <v>11793</v>
      </c>
      <c r="J271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t="s">
        <v>11961</v>
      </c>
      <c r="I272" t="s">
        <v>11796</v>
      </c>
      <c r="J272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t="s">
        <v>4</v>
      </c>
      <c r="E273" t="s">
        <v>8</v>
      </c>
      <c r="I273" t="s">
        <v>11799</v>
      </c>
      <c r="J273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t="s">
        <v>4</v>
      </c>
      <c r="E274" t="s">
        <v>8</v>
      </c>
      <c r="I274" t="s">
        <v>11802</v>
      </c>
      <c r="J274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t="s">
        <v>4</v>
      </c>
      <c r="E275" t="s">
        <v>8</v>
      </c>
      <c r="I275" t="s">
        <v>11805</v>
      </c>
      <c r="J275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t="s">
        <v>4</v>
      </c>
      <c r="E276" t="s">
        <v>8</v>
      </c>
      <c r="I276" t="s">
        <v>11808</v>
      </c>
      <c r="J276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t="s">
        <v>11962</v>
      </c>
      <c r="E277" t="s">
        <v>2932</v>
      </c>
      <c r="I277" t="s">
        <v>11811</v>
      </c>
      <c r="J277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t="s">
        <v>4</v>
      </c>
      <c r="E278" t="s">
        <v>9913</v>
      </c>
      <c r="I278" t="s">
        <v>11814</v>
      </c>
      <c r="J278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t="s">
        <v>4</v>
      </c>
      <c r="E279" t="s">
        <v>8</v>
      </c>
      <c r="I279" t="s">
        <v>11817</v>
      </c>
      <c r="J279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t="s">
        <v>4</v>
      </c>
      <c r="E280" t="s">
        <v>4248</v>
      </c>
      <c r="I280" t="s">
        <v>12018</v>
      </c>
      <c r="J28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t="s">
        <v>4</v>
      </c>
      <c r="E281" t="s">
        <v>4248</v>
      </c>
      <c r="H281" t="s">
        <v>2936</v>
      </c>
      <c r="I281" t="s">
        <v>12021</v>
      </c>
      <c r="J281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t="s">
        <v>2004</v>
      </c>
      <c r="E282" t="s">
        <v>8</v>
      </c>
      <c r="I282" t="s">
        <v>12024</v>
      </c>
      <c r="J282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t="s">
        <v>2004</v>
      </c>
      <c r="E283" t="s">
        <v>8</v>
      </c>
      <c r="I283" t="s">
        <v>12058</v>
      </c>
      <c r="J283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</sheetData>
  <conditionalFormatting sqref="E284:E297 D1:D197 D284:D1048576 G2:H283 D2:E283">
    <cfRule type="containsText" dxfId="808" priority="18" operator="containsText" text="Выезд с территории">
      <formula>NOT(ISERROR(SEARCH("Выезд с территории",D1)))</formula>
    </cfRule>
  </conditionalFormatting>
  <conditionalFormatting sqref="F2:F283">
    <cfRule type="notContainsText" dxfId="807" priority="17" operator="notContains" text="порожний">
      <formula>ISERROR(SEARCH("порожний",F2))</formula>
    </cfRule>
  </conditionalFormatting>
  <conditionalFormatting sqref="E2:E297">
    <cfRule type="containsText" dxfId="806" priority="15" operator="containsText" text="Газель базы">
      <formula>NOT(ISERROR(SEARCH("Газель базы",E2)))</formula>
    </cfRule>
    <cfRule type="containsText" dxfId="805" priority="16" operator="containsText" text="Погрузчик базы">
      <formula>NOT(ISERROR(SEARCH("Погрузчик базы",E2)))</formula>
    </cfRule>
  </conditionalFormatting>
  <conditionalFormatting sqref="E2:E297">
    <cfRule type="containsText" dxfId="804" priority="14" operator="containsText" text="Трактор базы">
      <formula>NOT(ISERROR(SEARCH("Трактор базы",E2)))</formula>
    </cfRule>
  </conditionalFormatting>
  <conditionalFormatting sqref="A2:C283">
    <cfRule type="expression" dxfId="803" priority="13">
      <formula>$A2="пн"</formula>
    </cfRule>
  </conditionalFormatting>
  <conditionalFormatting sqref="A2:C285">
    <cfRule type="expression" dxfId="802" priority="7">
      <formula>$A2="вс"</formula>
    </cfRule>
    <cfRule type="expression" dxfId="801" priority="8">
      <formula>$A2="сб"</formula>
    </cfRule>
    <cfRule type="expression" dxfId="800" priority="9">
      <formula>$A2="пт"</formula>
    </cfRule>
    <cfRule type="expression" dxfId="799" priority="10">
      <formula>$A2="чт"</formula>
    </cfRule>
    <cfRule type="expression" dxfId="798" priority="11">
      <formula>$A2="ср"</formula>
    </cfRule>
    <cfRule type="expression" dxfId="797" priority="12">
      <formula>$A2="вт"</formula>
    </cfRule>
  </conditionalFormatting>
  <conditionalFormatting sqref="D1:D1048576">
    <cfRule type="containsText" dxfId="79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9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9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793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792" priority="13" operator="notContains" text="порожний">
      <formula>ISERROR(SEARCH("порожний",F2))</formula>
    </cfRule>
  </conditionalFormatting>
  <conditionalFormatting sqref="E2:E304">
    <cfRule type="containsText" dxfId="791" priority="11" operator="containsText" text="Газель базы">
      <formula>NOT(ISERROR(SEARCH("Газель базы",E2)))</formula>
    </cfRule>
    <cfRule type="containsText" dxfId="790" priority="12" operator="containsText" text="Погрузчик базы">
      <formula>NOT(ISERROR(SEARCH("Погрузчик базы",E2)))</formula>
    </cfRule>
  </conditionalFormatting>
  <conditionalFormatting sqref="E2:E304">
    <cfRule type="containsText" dxfId="789" priority="10" operator="containsText" text="Трактор базы">
      <formula>NOT(ISERROR(SEARCH("Трактор базы",E2)))</formula>
    </cfRule>
  </conditionalFormatting>
  <conditionalFormatting sqref="A2:C290">
    <cfRule type="expression" dxfId="788" priority="9">
      <formula>$A2="пн"</formula>
    </cfRule>
  </conditionalFormatting>
  <conditionalFormatting sqref="A2:C292">
    <cfRule type="expression" dxfId="787" priority="3">
      <formula>$A2="вс"</formula>
    </cfRule>
    <cfRule type="expression" dxfId="786" priority="4">
      <formula>$A2="сб"</formula>
    </cfRule>
    <cfRule type="expression" dxfId="785" priority="5">
      <formula>$A2="пт"</formula>
    </cfRule>
    <cfRule type="expression" dxfId="784" priority="6">
      <formula>$A2="чт"</formula>
    </cfRule>
    <cfRule type="expression" dxfId="783" priority="7">
      <formula>$A2="ср"</formula>
    </cfRule>
    <cfRule type="expression" dxfId="782" priority="8">
      <formula>$A2="вт"</formula>
    </cfRule>
  </conditionalFormatting>
  <conditionalFormatting sqref="D2:D301">
    <cfRule type="containsText" dxfId="7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79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78" priority="13" operator="notContains" text="порожний">
      <formula>ISERROR(SEARCH("порожний",F2))</formula>
    </cfRule>
  </conditionalFormatting>
  <conditionalFormatting sqref="E2:E617">
    <cfRule type="containsText" dxfId="777" priority="11" operator="containsText" text="Газель базы">
      <formula>NOT(ISERROR(SEARCH("Газель базы",E2)))</formula>
    </cfRule>
    <cfRule type="containsText" dxfId="776" priority="12" operator="containsText" text="Погрузчик базы">
      <formula>NOT(ISERROR(SEARCH("Погрузчик базы",E2)))</formula>
    </cfRule>
  </conditionalFormatting>
  <conditionalFormatting sqref="E2:E617">
    <cfRule type="containsText" dxfId="775" priority="10" operator="containsText" text="Трактор базы">
      <formula>NOT(ISERROR(SEARCH("Трактор базы",E2)))</formula>
    </cfRule>
  </conditionalFormatting>
  <conditionalFormatting sqref="A2:C603">
    <cfRule type="expression" dxfId="774" priority="9">
      <formula>$A2="пн"</formula>
    </cfRule>
  </conditionalFormatting>
  <conditionalFormatting sqref="A2:C605">
    <cfRule type="expression" dxfId="773" priority="3">
      <formula>$A2="вс"</formula>
    </cfRule>
    <cfRule type="expression" dxfId="772" priority="4">
      <formula>$A2="сб"</formula>
    </cfRule>
    <cfRule type="expression" dxfId="771" priority="5">
      <formula>$A2="пт"</formula>
    </cfRule>
    <cfRule type="expression" dxfId="770" priority="6">
      <formula>$A2="чт"</formula>
    </cfRule>
    <cfRule type="expression" dxfId="769" priority="7">
      <formula>$A2="ср"</formula>
    </cfRule>
    <cfRule type="expression" dxfId="768" priority="8">
      <formula>$A2="вт"</formula>
    </cfRule>
  </conditionalFormatting>
  <conditionalFormatting sqref="D2:D614">
    <cfRule type="containsText" dxfId="7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7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765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764" priority="13" operator="notContains" text="порожний">
      <formula>ISERROR(SEARCH("порожний",F2))</formula>
    </cfRule>
  </conditionalFormatting>
  <conditionalFormatting sqref="E2:E636">
    <cfRule type="containsText" dxfId="763" priority="11" operator="containsText" text="Газель базы">
      <formula>NOT(ISERROR(SEARCH("Газель базы",E2)))</formula>
    </cfRule>
    <cfRule type="containsText" dxfId="762" priority="12" operator="containsText" text="Погрузчик базы">
      <formula>NOT(ISERROR(SEARCH("Погрузчик базы",E2)))</formula>
    </cfRule>
  </conditionalFormatting>
  <conditionalFormatting sqref="E2:E636">
    <cfRule type="containsText" dxfId="761" priority="10" operator="containsText" text="Трактор базы">
      <formula>NOT(ISERROR(SEARCH("Трактор базы",E2)))</formula>
    </cfRule>
  </conditionalFormatting>
  <conditionalFormatting sqref="A2:C622">
    <cfRule type="expression" dxfId="760" priority="9">
      <formula>$A2="пн"</formula>
    </cfRule>
  </conditionalFormatting>
  <conditionalFormatting sqref="A2:C624">
    <cfRule type="expression" dxfId="759" priority="3">
      <formula>$A2="вс"</formula>
    </cfRule>
    <cfRule type="expression" dxfId="758" priority="4">
      <formula>$A2="сб"</formula>
    </cfRule>
    <cfRule type="expression" dxfId="757" priority="5">
      <formula>$A2="пт"</formula>
    </cfRule>
    <cfRule type="expression" dxfId="756" priority="6">
      <formula>$A2="чт"</formula>
    </cfRule>
    <cfRule type="expression" dxfId="755" priority="7">
      <formula>$A2="ср"</formula>
    </cfRule>
    <cfRule type="expression" dxfId="754" priority="8">
      <formula>$A2="вт"</formula>
    </cfRule>
  </conditionalFormatting>
  <conditionalFormatting sqref="D2:D633">
    <cfRule type="containsText" dxfId="7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7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751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750" priority="13" operator="notContains" text="порожний">
      <formula>ISERROR(SEARCH("порожний",F2))</formula>
    </cfRule>
  </conditionalFormatting>
  <conditionalFormatting sqref="E2:E317">
    <cfRule type="containsText" dxfId="749" priority="11" operator="containsText" text="Газель базы">
      <formula>NOT(ISERROR(SEARCH("Газель базы",E2)))</formula>
    </cfRule>
    <cfRule type="containsText" dxfId="748" priority="12" operator="containsText" text="Погрузчик базы">
      <formula>NOT(ISERROR(SEARCH("Погрузчик базы",E2)))</formula>
    </cfRule>
  </conditionalFormatting>
  <conditionalFormatting sqref="E2:E317">
    <cfRule type="containsText" dxfId="747" priority="10" operator="containsText" text="Трактор базы">
      <formula>NOT(ISERROR(SEARCH("Трактор базы",E2)))</formula>
    </cfRule>
  </conditionalFormatting>
  <conditionalFormatting sqref="A2:C303">
    <cfRule type="expression" dxfId="746" priority="9">
      <formula>$A2="пн"</formula>
    </cfRule>
  </conditionalFormatting>
  <conditionalFormatting sqref="A2:C305">
    <cfRule type="expression" dxfId="745" priority="3">
      <formula>$A2="вс"</formula>
    </cfRule>
    <cfRule type="expression" dxfId="744" priority="4">
      <formula>$A2="сб"</formula>
    </cfRule>
    <cfRule type="expression" dxfId="743" priority="5">
      <formula>$A2="пт"</formula>
    </cfRule>
    <cfRule type="expression" dxfId="742" priority="6">
      <formula>$A2="чт"</formula>
    </cfRule>
    <cfRule type="expression" dxfId="741" priority="7">
      <formula>$A2="ср"</formula>
    </cfRule>
    <cfRule type="expression" dxfId="740" priority="8">
      <formula>$A2="вт"</formula>
    </cfRule>
  </conditionalFormatting>
  <conditionalFormatting sqref="D2:D314">
    <cfRule type="containsText" dxfId="7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7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05"/>
  <sheetViews>
    <sheetView zoomScale="90" zoomScaleNormal="90" workbookViewId="0">
      <pane ySplit="1" topLeftCell="A173" activePane="bottomLeft" state="frozen"/>
      <selection pane="bottomLeft" activeCell="I202" sqref="I202:I20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t="s">
        <v>2004</v>
      </c>
      <c r="E90" t="s">
        <v>8</v>
      </c>
      <c r="I90" t="s">
        <v>5657</v>
      </c>
      <c r="J9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t="s">
        <v>2004</v>
      </c>
      <c r="E91" t="s">
        <v>8</v>
      </c>
      <c r="I91" t="s">
        <v>5660</v>
      </c>
      <c r="J91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t="s">
        <v>2004</v>
      </c>
      <c r="E92" t="s">
        <v>8</v>
      </c>
      <c r="I92" t="s">
        <v>5663</v>
      </c>
      <c r="J92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t="s">
        <v>4</v>
      </c>
      <c r="E93" t="s">
        <v>8</v>
      </c>
      <c r="I93" t="s">
        <v>6005</v>
      </c>
      <c r="J93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t="s">
        <v>650</v>
      </c>
      <c r="E94" t="s">
        <v>6190</v>
      </c>
      <c r="I94" t="s">
        <v>6008</v>
      </c>
      <c r="J94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t="s">
        <v>650</v>
      </c>
      <c r="E95" t="s">
        <v>6190</v>
      </c>
      <c r="H95" t="s">
        <v>2936</v>
      </c>
      <c r="I95" t="s">
        <v>6011</v>
      </c>
      <c r="J95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t="s">
        <v>4</v>
      </c>
      <c r="E96" t="s">
        <v>8</v>
      </c>
      <c r="I96" t="s">
        <v>6014</v>
      </c>
      <c r="J96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t="s">
        <v>2004</v>
      </c>
      <c r="E97" t="s">
        <v>8</v>
      </c>
      <c r="I97" t="s">
        <v>6017</v>
      </c>
      <c r="J97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t="s">
        <v>2004</v>
      </c>
      <c r="E98" t="s">
        <v>8</v>
      </c>
      <c r="I98" t="s">
        <v>6252</v>
      </c>
      <c r="J9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t="s">
        <v>4</v>
      </c>
      <c r="E99" t="s">
        <v>8</v>
      </c>
      <c r="I99" t="s">
        <v>6500</v>
      </c>
      <c r="J9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t="s">
        <v>4</v>
      </c>
      <c r="E100" t="s">
        <v>8</v>
      </c>
      <c r="I100" t="s">
        <v>6503</v>
      </c>
      <c r="J10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t="s">
        <v>2004</v>
      </c>
      <c r="E101" t="s">
        <v>8</v>
      </c>
      <c r="I101" t="s">
        <v>6641</v>
      </c>
      <c r="J101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t="s">
        <v>4</v>
      </c>
      <c r="E102" t="s">
        <v>8</v>
      </c>
      <c r="I102" t="s">
        <v>6823</v>
      </c>
      <c r="J102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t="s">
        <v>4</v>
      </c>
      <c r="E103" t="s">
        <v>8</v>
      </c>
      <c r="H103" t="s">
        <v>2936</v>
      </c>
      <c r="I103" t="s">
        <v>6826</v>
      </c>
      <c r="J103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t="s">
        <v>4</v>
      </c>
      <c r="E104" t="s">
        <v>8</v>
      </c>
      <c r="I104" t="s">
        <v>7127</v>
      </c>
      <c r="J104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t="s">
        <v>4</v>
      </c>
      <c r="E105" t="s">
        <v>8</v>
      </c>
      <c r="H105" t="s">
        <v>2936</v>
      </c>
      <c r="I105" t="s">
        <v>7130</v>
      </c>
      <c r="J105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t="s">
        <v>2004</v>
      </c>
      <c r="E106" t="s">
        <v>8</v>
      </c>
      <c r="I106" t="s">
        <v>7133</v>
      </c>
      <c r="J106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t="s">
        <v>2004</v>
      </c>
      <c r="E107" t="s">
        <v>8</v>
      </c>
      <c r="H107" t="s">
        <v>2014</v>
      </c>
      <c r="I107" t="s">
        <v>7136</v>
      </c>
      <c r="J107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t="s">
        <v>2004</v>
      </c>
      <c r="E108" t="s">
        <v>8</v>
      </c>
      <c r="I108" t="s">
        <v>7208</v>
      </c>
      <c r="J10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t="s">
        <v>2004</v>
      </c>
      <c r="E109" t="s">
        <v>8</v>
      </c>
      <c r="I109" t="s">
        <v>7401</v>
      </c>
      <c r="J10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t="s">
        <v>2004</v>
      </c>
      <c r="E110" t="s">
        <v>8</v>
      </c>
      <c r="I110" t="s">
        <v>7404</v>
      </c>
      <c r="J1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t="s">
        <v>4</v>
      </c>
      <c r="E111" t="s">
        <v>7417</v>
      </c>
      <c r="I111" t="s">
        <v>7407</v>
      </c>
      <c r="J111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t="s">
        <v>4</v>
      </c>
      <c r="E112" t="s">
        <v>7715</v>
      </c>
      <c r="I112" t="s">
        <v>7583</v>
      </c>
      <c r="J112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t="s">
        <v>4</v>
      </c>
      <c r="E113" t="s">
        <v>7716</v>
      </c>
      <c r="H113" t="s">
        <v>2936</v>
      </c>
      <c r="I113" t="s">
        <v>7586</v>
      </c>
      <c r="J113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t="s">
        <v>4</v>
      </c>
      <c r="E114" t="s">
        <v>8</v>
      </c>
      <c r="H114" t="s">
        <v>7717</v>
      </c>
      <c r="I114" t="s">
        <v>7589</v>
      </c>
      <c r="J114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t="s">
        <v>4</v>
      </c>
      <c r="E115" t="s">
        <v>8</v>
      </c>
      <c r="H115" t="s">
        <v>3078</v>
      </c>
      <c r="I115" t="s">
        <v>7592</v>
      </c>
      <c r="J115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t="s">
        <v>4</v>
      </c>
      <c r="E116" t="s">
        <v>8</v>
      </c>
      <c r="I116" t="s">
        <v>7777</v>
      </c>
      <c r="J116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t="s">
        <v>4</v>
      </c>
      <c r="E117" t="s">
        <v>8</v>
      </c>
      <c r="H117" t="s">
        <v>2936</v>
      </c>
      <c r="I117" t="s">
        <v>7780</v>
      </c>
      <c r="J117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t="s">
        <v>4</v>
      </c>
      <c r="E118" t="s">
        <v>8</v>
      </c>
      <c r="H118" t="s">
        <v>2936</v>
      </c>
      <c r="I118" t="s">
        <v>7783</v>
      </c>
      <c r="J11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t="s">
        <v>4</v>
      </c>
      <c r="E119" t="s">
        <v>8</v>
      </c>
      <c r="H119" t="s">
        <v>2936</v>
      </c>
      <c r="I119" t="s">
        <v>7786</v>
      </c>
      <c r="J11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t="s">
        <v>4</v>
      </c>
      <c r="E120" t="s">
        <v>8</v>
      </c>
      <c r="H120" t="s">
        <v>2936</v>
      </c>
      <c r="I120" t="s">
        <v>7789</v>
      </c>
      <c r="J12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t="s">
        <v>4</v>
      </c>
      <c r="E121" t="s">
        <v>8</v>
      </c>
      <c r="I121" t="s">
        <v>7971</v>
      </c>
      <c r="J121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t="s">
        <v>4</v>
      </c>
      <c r="E122" t="s">
        <v>12</v>
      </c>
      <c r="I122" t="s">
        <v>7974</v>
      </c>
      <c r="J122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t="s">
        <v>4</v>
      </c>
      <c r="E123" t="s">
        <v>8</v>
      </c>
      <c r="I123" t="s">
        <v>7977</v>
      </c>
      <c r="J123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t="s">
        <v>4</v>
      </c>
      <c r="E124" t="s">
        <v>12</v>
      </c>
      <c r="I124" t="s">
        <v>7980</v>
      </c>
      <c r="J124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t="s">
        <v>2004</v>
      </c>
      <c r="E125" t="s">
        <v>8</v>
      </c>
      <c r="I125" t="s">
        <v>8315</v>
      </c>
      <c r="J125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t="s">
        <v>2004</v>
      </c>
      <c r="E126" t="s">
        <v>8</v>
      </c>
      <c r="I126" t="s">
        <v>8318</v>
      </c>
      <c r="J126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t="s">
        <v>2004</v>
      </c>
      <c r="E127" t="s">
        <v>8</v>
      </c>
      <c r="I127" t="s">
        <v>8321</v>
      </c>
      <c r="J127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t="s">
        <v>2004</v>
      </c>
      <c r="E128" t="s">
        <v>8</v>
      </c>
      <c r="I128" t="s">
        <v>8324</v>
      </c>
      <c r="J12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t="s">
        <v>2004</v>
      </c>
      <c r="E129" t="s">
        <v>8</v>
      </c>
      <c r="I129" t="s">
        <v>8327</v>
      </c>
      <c r="J12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t="s">
        <v>2004</v>
      </c>
      <c r="E130" t="s">
        <v>8</v>
      </c>
      <c r="I130" t="s">
        <v>8456</v>
      </c>
      <c r="J13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t="s">
        <v>2004</v>
      </c>
      <c r="E131" t="s">
        <v>8</v>
      </c>
      <c r="I131" t="s">
        <v>8459</v>
      </c>
      <c r="J131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t="s">
        <v>2004</v>
      </c>
      <c r="E132" t="s">
        <v>8</v>
      </c>
      <c r="I132" t="s">
        <v>8462</v>
      </c>
      <c r="J132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t="s">
        <v>2004</v>
      </c>
      <c r="E133" t="s">
        <v>8</v>
      </c>
      <c r="I133" t="s">
        <v>8757</v>
      </c>
      <c r="J133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t="s">
        <v>2004</v>
      </c>
      <c r="E134" t="s">
        <v>8</v>
      </c>
      <c r="I134" t="s">
        <v>8760</v>
      </c>
      <c r="J134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t="s">
        <v>2004</v>
      </c>
      <c r="E135" t="s">
        <v>8</v>
      </c>
      <c r="I135" t="s">
        <v>8763</v>
      </c>
      <c r="J135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t="s">
        <v>2004</v>
      </c>
      <c r="E136" t="s">
        <v>8</v>
      </c>
      <c r="I136" t="s">
        <v>8766</v>
      </c>
      <c r="J136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t="s">
        <v>2004</v>
      </c>
      <c r="E137" t="s">
        <v>8</v>
      </c>
      <c r="I137" t="s">
        <v>8769</v>
      </c>
      <c r="J137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t="s">
        <v>2004</v>
      </c>
      <c r="E138" t="s">
        <v>8</v>
      </c>
      <c r="I138" t="s">
        <v>8772</v>
      </c>
      <c r="J13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t="s">
        <v>2004</v>
      </c>
      <c r="E139" t="s">
        <v>8</v>
      </c>
      <c r="I139" t="s">
        <v>8775</v>
      </c>
      <c r="J13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t="s">
        <v>4</v>
      </c>
      <c r="E140" t="s">
        <v>5480</v>
      </c>
      <c r="F140" t="s">
        <v>9190</v>
      </c>
      <c r="I140" t="s">
        <v>9147</v>
      </c>
      <c r="J14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t="s">
        <v>4</v>
      </c>
      <c r="E141" t="s">
        <v>8</v>
      </c>
      <c r="I141" t="s">
        <v>9150</v>
      </c>
      <c r="J141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t="s">
        <v>4</v>
      </c>
      <c r="E142" t="s">
        <v>12</v>
      </c>
      <c r="I142" t="s">
        <v>9153</v>
      </c>
      <c r="J142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t="s">
        <v>4</v>
      </c>
      <c r="E143" t="s">
        <v>9211</v>
      </c>
      <c r="I143" t="s">
        <v>9156</v>
      </c>
      <c r="J143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t="s">
        <v>4</v>
      </c>
      <c r="E144" t="s">
        <v>8</v>
      </c>
      <c r="I144" t="s">
        <v>9159</v>
      </c>
      <c r="J144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t="s">
        <v>4</v>
      </c>
      <c r="E145" t="s">
        <v>12</v>
      </c>
      <c r="I145" t="s">
        <v>9162</v>
      </c>
      <c r="J145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t="s">
        <v>4</v>
      </c>
      <c r="E146" t="s">
        <v>12</v>
      </c>
      <c r="I146" t="s">
        <v>9165</v>
      </c>
      <c r="J146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t="s">
        <v>4</v>
      </c>
      <c r="E147" t="s">
        <v>8</v>
      </c>
      <c r="I147" t="s">
        <v>9315</v>
      </c>
      <c r="J147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t="s">
        <v>4</v>
      </c>
      <c r="E148" t="s">
        <v>12</v>
      </c>
      <c r="I148" t="s">
        <v>9318</v>
      </c>
      <c r="J14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t="s">
        <v>4</v>
      </c>
      <c r="E149" t="s">
        <v>8</v>
      </c>
      <c r="I149" t="s">
        <v>9321</v>
      </c>
      <c r="J14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t="s">
        <v>4</v>
      </c>
      <c r="E150" t="s">
        <v>12</v>
      </c>
      <c r="I150" t="s">
        <v>9543</v>
      </c>
      <c r="J15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t="s">
        <v>4</v>
      </c>
      <c r="E151" t="s">
        <v>12</v>
      </c>
      <c r="I151" t="s">
        <v>9546</v>
      </c>
      <c r="J151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t="s">
        <v>2004</v>
      </c>
      <c r="E152" t="s">
        <v>8</v>
      </c>
      <c r="I152" t="s">
        <v>9671</v>
      </c>
      <c r="J152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t="s">
        <v>2004</v>
      </c>
      <c r="E153" t="s">
        <v>8</v>
      </c>
      <c r="I153" t="s">
        <v>9674</v>
      </c>
      <c r="J153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t="s">
        <v>9876</v>
      </c>
      <c r="E154" t="s">
        <v>9201</v>
      </c>
      <c r="I154" t="s">
        <v>9852</v>
      </c>
      <c r="J154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t="s">
        <v>9876</v>
      </c>
      <c r="E155" t="s">
        <v>9201</v>
      </c>
      <c r="H155" t="s">
        <v>2936</v>
      </c>
      <c r="I155" t="s">
        <v>9855</v>
      </c>
      <c r="J155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t="s">
        <v>9876</v>
      </c>
      <c r="E156" t="s">
        <v>9201</v>
      </c>
      <c r="H156" t="s">
        <v>2936</v>
      </c>
      <c r="I156" t="s">
        <v>9858</v>
      </c>
      <c r="J156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t="s">
        <v>9914</v>
      </c>
      <c r="E157" t="s">
        <v>4247</v>
      </c>
      <c r="H157" t="s">
        <v>2936</v>
      </c>
      <c r="I157" t="s">
        <v>9861</v>
      </c>
      <c r="J157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t="s">
        <v>9876</v>
      </c>
      <c r="E158" t="s">
        <v>9201</v>
      </c>
      <c r="H158" t="s">
        <v>2936</v>
      </c>
      <c r="I158" t="s">
        <v>9864</v>
      </c>
      <c r="J15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t="s">
        <v>4</v>
      </c>
      <c r="E159" t="s">
        <v>8</v>
      </c>
      <c r="I159" t="s">
        <v>9867</v>
      </c>
      <c r="J15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t="s">
        <v>4</v>
      </c>
      <c r="E160" t="s">
        <v>8</v>
      </c>
      <c r="I160" t="s">
        <v>10104</v>
      </c>
      <c r="J16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t="s">
        <v>9876</v>
      </c>
      <c r="E161" t="s">
        <v>9201</v>
      </c>
      <c r="I161" t="s">
        <v>10107</v>
      </c>
      <c r="J161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t="s">
        <v>9876</v>
      </c>
      <c r="E162" t="s">
        <v>9201</v>
      </c>
      <c r="I162" t="s">
        <v>10110</v>
      </c>
      <c r="J162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t="s">
        <v>4</v>
      </c>
      <c r="E163" t="s">
        <v>8</v>
      </c>
      <c r="I163" t="s">
        <v>10424</v>
      </c>
      <c r="J163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t="s">
        <v>4</v>
      </c>
      <c r="E164" t="s">
        <v>8</v>
      </c>
      <c r="H164" t="s">
        <v>2936</v>
      </c>
      <c r="I164" t="s">
        <v>10427</v>
      </c>
      <c r="J164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t="s">
        <v>4</v>
      </c>
      <c r="E165" t="s">
        <v>8</v>
      </c>
      <c r="H165" t="s">
        <v>2936</v>
      </c>
      <c r="I165" t="s">
        <v>10430</v>
      </c>
      <c r="J165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t="s">
        <v>2004</v>
      </c>
      <c r="E166" t="s">
        <v>8</v>
      </c>
      <c r="I166" t="s">
        <v>10479</v>
      </c>
      <c r="J166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t="s">
        <v>2004</v>
      </c>
      <c r="E167" t="s">
        <v>8</v>
      </c>
      <c r="I167" t="s">
        <v>10482</v>
      </c>
      <c r="J167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t="s">
        <v>2004</v>
      </c>
      <c r="E168" t="s">
        <v>8</v>
      </c>
      <c r="I168" t="s">
        <v>10618</v>
      </c>
      <c r="J16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t="s">
        <v>9914</v>
      </c>
      <c r="E169" t="s">
        <v>4247</v>
      </c>
      <c r="I169" t="s">
        <v>10621</v>
      </c>
      <c r="J16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t="s">
        <v>9876</v>
      </c>
      <c r="E170" t="s">
        <v>9201</v>
      </c>
      <c r="I170" t="s">
        <v>10860</v>
      </c>
      <c r="J17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t="s">
        <v>9876</v>
      </c>
      <c r="E171" t="s">
        <v>9201</v>
      </c>
      <c r="H171" t="s">
        <v>2936</v>
      </c>
      <c r="I171" t="s">
        <v>10863</v>
      </c>
      <c r="J171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t="s">
        <v>9876</v>
      </c>
      <c r="E172" t="s">
        <v>9201</v>
      </c>
      <c r="H172" t="s">
        <v>2936</v>
      </c>
      <c r="I172" t="s">
        <v>10866</v>
      </c>
      <c r="J172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t="s">
        <v>9876</v>
      </c>
      <c r="E173" t="s">
        <v>9201</v>
      </c>
      <c r="H173" t="s">
        <v>2936</v>
      </c>
      <c r="I173" t="s">
        <v>10869</v>
      </c>
      <c r="J173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t="s">
        <v>11009</v>
      </c>
      <c r="E174" t="s">
        <v>9201</v>
      </c>
      <c r="I174" t="s">
        <v>10995</v>
      </c>
      <c r="J174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t="s">
        <v>4</v>
      </c>
      <c r="E175" t="s">
        <v>8</v>
      </c>
      <c r="I175" t="s">
        <v>10998</v>
      </c>
      <c r="J175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t="s">
        <v>2004</v>
      </c>
      <c r="E176" t="s">
        <v>8</v>
      </c>
      <c r="H176" t="s">
        <v>2014</v>
      </c>
      <c r="I176" t="s">
        <v>11118</v>
      </c>
      <c r="J176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t="s">
        <v>2004</v>
      </c>
      <c r="E177" t="s">
        <v>8</v>
      </c>
      <c r="H177" t="s">
        <v>2014</v>
      </c>
      <c r="I177" t="s">
        <v>11121</v>
      </c>
      <c r="J177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t="s">
        <v>4</v>
      </c>
      <c r="E178" t="s">
        <v>8</v>
      </c>
      <c r="I178" t="s">
        <v>11379</v>
      </c>
      <c r="J178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t="s">
        <v>9876</v>
      </c>
      <c r="E179" t="s">
        <v>5137</v>
      </c>
      <c r="I179" t="s">
        <v>11382</v>
      </c>
      <c r="J179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t="s">
        <v>9876</v>
      </c>
      <c r="E180" t="s">
        <v>5137</v>
      </c>
      <c r="I180" t="s">
        <v>11385</v>
      </c>
      <c r="J18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t="s">
        <v>9876</v>
      </c>
      <c r="E181" t="s">
        <v>5137</v>
      </c>
      <c r="I181" t="s">
        <v>11388</v>
      </c>
      <c r="J181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t="s">
        <v>9914</v>
      </c>
      <c r="E182" t="s">
        <v>4247</v>
      </c>
      <c r="I182" t="s">
        <v>11547</v>
      </c>
      <c r="J182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t="s">
        <v>2004</v>
      </c>
      <c r="E183" t="s">
        <v>8</v>
      </c>
      <c r="I183" t="s">
        <v>11550</v>
      </c>
      <c r="J183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t="s">
        <v>4</v>
      </c>
      <c r="E184" t="s">
        <v>8</v>
      </c>
      <c r="I184" t="s">
        <v>11553</v>
      </c>
      <c r="J184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t="s">
        <v>9876</v>
      </c>
      <c r="E185" t="s">
        <v>5137</v>
      </c>
      <c r="I185" t="s">
        <v>11556</v>
      </c>
      <c r="J185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t="s">
        <v>4</v>
      </c>
      <c r="E186" t="s">
        <v>8</v>
      </c>
      <c r="I186" t="s">
        <v>11559</v>
      </c>
      <c r="J186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t="s">
        <v>2004</v>
      </c>
      <c r="E187" t="s">
        <v>8</v>
      </c>
      <c r="I187" t="s">
        <v>11754</v>
      </c>
      <c r="J187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t="s">
        <v>9876</v>
      </c>
      <c r="E188" t="s">
        <v>5137</v>
      </c>
      <c r="I188" t="s">
        <v>11757</v>
      </c>
      <c r="J188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t="s">
        <v>9876</v>
      </c>
      <c r="E189" t="s">
        <v>5137</v>
      </c>
      <c r="I189" t="s">
        <v>11760</v>
      </c>
      <c r="J189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t="s">
        <v>4</v>
      </c>
      <c r="E190" t="s">
        <v>8</v>
      </c>
      <c r="I190" t="s">
        <v>11763</v>
      </c>
      <c r="J19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t="s">
        <v>4</v>
      </c>
      <c r="E191" t="s">
        <v>8</v>
      </c>
      <c r="I191" t="s">
        <v>11820</v>
      </c>
      <c r="J191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t="s">
        <v>4</v>
      </c>
      <c r="E192" t="s">
        <v>8</v>
      </c>
      <c r="H192" t="s">
        <v>2936</v>
      </c>
      <c r="I192" t="s">
        <v>11823</v>
      </c>
      <c r="J192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t="s">
        <v>4</v>
      </c>
      <c r="E193" t="s">
        <v>2932</v>
      </c>
      <c r="I193" t="s">
        <v>11826</v>
      </c>
      <c r="J193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t="s">
        <v>4</v>
      </c>
      <c r="E194" t="s">
        <v>2932</v>
      </c>
      <c r="I194" t="s">
        <v>11829</v>
      </c>
      <c r="J194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t="s">
        <v>11961</v>
      </c>
      <c r="I195" t="s">
        <v>11832</v>
      </c>
      <c r="J195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t="s">
        <v>4</v>
      </c>
      <c r="E196" t="s">
        <v>8</v>
      </c>
      <c r="I196" t="s">
        <v>11835</v>
      </c>
      <c r="J196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t="s">
        <v>2004</v>
      </c>
      <c r="E197" t="s">
        <v>8</v>
      </c>
      <c r="I197" t="s">
        <v>11838</v>
      </c>
      <c r="J197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t="s">
        <v>4</v>
      </c>
      <c r="E198" t="s">
        <v>11963</v>
      </c>
      <c r="I198" t="s">
        <v>11841</v>
      </c>
      <c r="J198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t="s">
        <v>4</v>
      </c>
      <c r="E199" t="s">
        <v>11963</v>
      </c>
      <c r="H199" t="s">
        <v>2936</v>
      </c>
      <c r="I199" t="s">
        <v>11844</v>
      </c>
      <c r="J199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t="s">
        <v>4</v>
      </c>
      <c r="E200" t="s">
        <v>12027</v>
      </c>
      <c r="I200" t="s">
        <v>11965</v>
      </c>
      <c r="J20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t="s">
        <v>2004</v>
      </c>
      <c r="E201" t="s">
        <v>8</v>
      </c>
      <c r="I201" t="s">
        <v>11968</v>
      </c>
      <c r="J201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t="s">
        <v>4</v>
      </c>
      <c r="E202" t="s">
        <v>10638</v>
      </c>
      <c r="I202" t="s">
        <v>12043</v>
      </c>
      <c r="J202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t="s">
        <v>4</v>
      </c>
      <c r="E203" t="s">
        <v>12061</v>
      </c>
      <c r="H203" t="s">
        <v>2936</v>
      </c>
      <c r="I203" t="s">
        <v>12046</v>
      </c>
      <c r="J203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t="s">
        <v>12</v>
      </c>
      <c r="I204" t="s">
        <v>12049</v>
      </c>
      <c r="J204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t="s">
        <v>4</v>
      </c>
      <c r="E205" t="s">
        <v>8</v>
      </c>
      <c r="H205" t="s">
        <v>2936</v>
      </c>
      <c r="I205" t="s">
        <v>12052</v>
      </c>
      <c r="J205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</sheetData>
  <conditionalFormatting sqref="D206:D216 E206:E219 G2:H205 D2:E205">
    <cfRule type="containsText" dxfId="737" priority="14" operator="containsText" text="Выезд с территории">
      <formula>NOT(ISERROR(SEARCH("Выезд с территории",D2)))</formula>
    </cfRule>
  </conditionalFormatting>
  <conditionalFormatting sqref="F2:F205">
    <cfRule type="notContainsText" dxfId="736" priority="13" operator="notContains" text="порожний">
      <formula>ISERROR(SEARCH("порожний",F2))</formula>
    </cfRule>
  </conditionalFormatting>
  <conditionalFormatting sqref="E2:E219">
    <cfRule type="containsText" dxfId="735" priority="11" operator="containsText" text="Газель базы">
      <formula>NOT(ISERROR(SEARCH("Газель базы",E2)))</formula>
    </cfRule>
    <cfRule type="containsText" dxfId="734" priority="12" operator="containsText" text="Погрузчик базы">
      <formula>NOT(ISERROR(SEARCH("Погрузчик базы",E2)))</formula>
    </cfRule>
  </conditionalFormatting>
  <conditionalFormatting sqref="E2:E219">
    <cfRule type="containsText" dxfId="733" priority="10" operator="containsText" text="Трактор базы">
      <formula>NOT(ISERROR(SEARCH("Трактор базы",E2)))</formula>
    </cfRule>
  </conditionalFormatting>
  <conditionalFormatting sqref="A2:C205">
    <cfRule type="expression" dxfId="732" priority="9">
      <formula>$A2="пн"</formula>
    </cfRule>
  </conditionalFormatting>
  <conditionalFormatting sqref="A2:C207">
    <cfRule type="expression" dxfId="731" priority="3">
      <formula>$A2="вс"</formula>
    </cfRule>
    <cfRule type="expression" dxfId="730" priority="4">
      <formula>$A2="сб"</formula>
    </cfRule>
    <cfRule type="expression" dxfId="729" priority="5">
      <formula>$A2="пт"</formula>
    </cfRule>
    <cfRule type="expression" dxfId="728" priority="6">
      <formula>$A2="чт"</formula>
    </cfRule>
    <cfRule type="expression" dxfId="727" priority="7">
      <formula>$A2="ср"</formula>
    </cfRule>
    <cfRule type="expression" dxfId="726" priority="8">
      <formula>$A2="вт"</formula>
    </cfRule>
  </conditionalFormatting>
  <conditionalFormatting sqref="D2:D216">
    <cfRule type="containsText" dxfId="7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6">
    <cfRule type="containsText" dxfId="7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78"/>
  <sheetViews>
    <sheetView zoomScale="90" zoomScaleNormal="90" workbookViewId="0">
      <pane ySplit="1" topLeftCell="A155" activePane="bottomLeft" state="frozen"/>
      <selection pane="bottomLeft" activeCell="D181" sqref="D1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t="s">
        <v>6191</v>
      </c>
      <c r="E50" t="s">
        <v>5480</v>
      </c>
      <c r="F50" t="s">
        <v>6182</v>
      </c>
      <c r="I50" t="s">
        <v>5666</v>
      </c>
      <c r="J5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t="s">
        <v>6191</v>
      </c>
      <c r="E51" t="s">
        <v>5480</v>
      </c>
      <c r="F51" t="s">
        <v>6182</v>
      </c>
      <c r="H51" t="s">
        <v>2936</v>
      </c>
      <c r="I51" t="s">
        <v>5669</v>
      </c>
      <c r="J51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t="s">
        <v>4</v>
      </c>
      <c r="E52" t="s">
        <v>8</v>
      </c>
      <c r="I52" t="s">
        <v>5672</v>
      </c>
      <c r="J52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t="s">
        <v>4</v>
      </c>
      <c r="E53" t="s">
        <v>8</v>
      </c>
      <c r="I53" t="s">
        <v>5675</v>
      </c>
      <c r="J53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t="s">
        <v>4</v>
      </c>
      <c r="E54" t="s">
        <v>8</v>
      </c>
      <c r="I54" t="s">
        <v>5678</v>
      </c>
      <c r="J54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t="s">
        <v>2014</v>
      </c>
      <c r="I55" t="s">
        <v>5681</v>
      </c>
      <c r="J55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t="s">
        <v>6191</v>
      </c>
      <c r="E56" t="s">
        <v>5480</v>
      </c>
      <c r="F56" t="s">
        <v>6172</v>
      </c>
      <c r="I56" t="s">
        <v>5990</v>
      </c>
      <c r="J56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t="s">
        <v>4</v>
      </c>
      <c r="E57" t="s">
        <v>8</v>
      </c>
      <c r="I57" t="s">
        <v>5993</v>
      </c>
      <c r="J57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t="s">
        <v>4</v>
      </c>
      <c r="E58" t="s">
        <v>8</v>
      </c>
      <c r="I58" t="s">
        <v>5996</v>
      </c>
      <c r="J5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t="s">
        <v>4</v>
      </c>
      <c r="E59" t="s">
        <v>6167</v>
      </c>
      <c r="I59" t="s">
        <v>5999</v>
      </c>
      <c r="J5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t="s">
        <v>4</v>
      </c>
      <c r="E60" t="s">
        <v>8</v>
      </c>
      <c r="I60" t="s">
        <v>6002</v>
      </c>
      <c r="J6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t="s">
        <v>2004</v>
      </c>
      <c r="E61" t="s">
        <v>8</v>
      </c>
      <c r="I61" t="s">
        <v>6255</v>
      </c>
      <c r="J61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t="s">
        <v>289</v>
      </c>
      <c r="E62" t="s">
        <v>5480</v>
      </c>
      <c r="F62" t="s">
        <v>528</v>
      </c>
      <c r="I62" t="s">
        <v>6515</v>
      </c>
      <c r="J62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t="s">
        <v>289</v>
      </c>
      <c r="E63" t="s">
        <v>5480</v>
      </c>
      <c r="F63" t="s">
        <v>528</v>
      </c>
      <c r="I63" t="s">
        <v>6518</v>
      </c>
      <c r="J63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t="s">
        <v>289</v>
      </c>
      <c r="E64" t="s">
        <v>5480</v>
      </c>
      <c r="F64" t="s">
        <v>1621</v>
      </c>
      <c r="I64" t="s">
        <v>6521</v>
      </c>
      <c r="J64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t="s">
        <v>533</v>
      </c>
      <c r="E65" t="s">
        <v>531</v>
      </c>
      <c r="F65" t="s">
        <v>58</v>
      </c>
      <c r="I65" t="s">
        <v>6644</v>
      </c>
      <c r="J65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t="s">
        <v>533</v>
      </c>
      <c r="E66" t="s">
        <v>531</v>
      </c>
      <c r="F66" t="s">
        <v>58</v>
      </c>
      <c r="I66" t="s">
        <v>6647</v>
      </c>
      <c r="J66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t="s">
        <v>533</v>
      </c>
      <c r="E67" t="s">
        <v>531</v>
      </c>
      <c r="F67" t="s">
        <v>58</v>
      </c>
      <c r="I67" t="s">
        <v>6650</v>
      </c>
      <c r="J67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t="s">
        <v>4</v>
      </c>
      <c r="E68" t="s">
        <v>8</v>
      </c>
      <c r="I68" t="s">
        <v>6653</v>
      </c>
      <c r="J6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t="s">
        <v>289</v>
      </c>
      <c r="E69" t="s">
        <v>5480</v>
      </c>
      <c r="F69" t="s">
        <v>528</v>
      </c>
      <c r="I69" t="s">
        <v>6829</v>
      </c>
      <c r="J6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t="s">
        <v>289</v>
      </c>
      <c r="E70" t="s">
        <v>5480</v>
      </c>
      <c r="F70" t="s">
        <v>528</v>
      </c>
      <c r="H70" t="s">
        <v>2936</v>
      </c>
      <c r="I70" t="s">
        <v>6832</v>
      </c>
      <c r="J7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t="s">
        <v>158</v>
      </c>
      <c r="E71" t="s">
        <v>5480</v>
      </c>
      <c r="F71" t="s">
        <v>528</v>
      </c>
      <c r="H71" t="s">
        <v>5102</v>
      </c>
      <c r="I71" t="s">
        <v>6835</v>
      </c>
      <c r="J71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t="s">
        <v>289</v>
      </c>
      <c r="E72" t="s">
        <v>5480</v>
      </c>
      <c r="F72" t="s">
        <v>528</v>
      </c>
      <c r="I72" t="s">
        <v>6838</v>
      </c>
      <c r="J72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t="s">
        <v>158</v>
      </c>
      <c r="E73" t="s">
        <v>5480</v>
      </c>
      <c r="F73" t="s">
        <v>528</v>
      </c>
      <c r="H73" t="s">
        <v>5102</v>
      </c>
      <c r="I73" t="s">
        <v>6841</v>
      </c>
      <c r="J73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t="s">
        <v>4223</v>
      </c>
      <c r="E74" t="s">
        <v>5480</v>
      </c>
      <c r="F74" t="s">
        <v>6872</v>
      </c>
      <c r="H74" t="s">
        <v>6531</v>
      </c>
      <c r="I74" t="s">
        <v>6844</v>
      </c>
      <c r="J74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t="s">
        <v>4223</v>
      </c>
      <c r="E75" t="s">
        <v>5480</v>
      </c>
      <c r="F75" t="s">
        <v>6872</v>
      </c>
      <c r="H75" t="s">
        <v>2936</v>
      </c>
      <c r="I75" t="s">
        <v>6847</v>
      </c>
      <c r="J75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t="s">
        <v>158</v>
      </c>
      <c r="E76" t="s">
        <v>5480</v>
      </c>
      <c r="F76" t="s">
        <v>6872</v>
      </c>
      <c r="H76" t="s">
        <v>5102</v>
      </c>
      <c r="I76" t="s">
        <v>6850</v>
      </c>
      <c r="J76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t="s">
        <v>4</v>
      </c>
      <c r="E77" t="s">
        <v>6873</v>
      </c>
      <c r="H77" t="s">
        <v>6531</v>
      </c>
      <c r="I77" t="s">
        <v>6853</v>
      </c>
      <c r="J77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t="s">
        <v>4</v>
      </c>
      <c r="E78" t="s">
        <v>2932</v>
      </c>
      <c r="I78" t="s">
        <v>6856</v>
      </c>
      <c r="J7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t="s">
        <v>4</v>
      </c>
      <c r="E79" t="s">
        <v>6874</v>
      </c>
      <c r="I79" t="s">
        <v>6859</v>
      </c>
      <c r="J7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t="s">
        <v>4</v>
      </c>
      <c r="E80" t="s">
        <v>8</v>
      </c>
      <c r="I80" t="s">
        <v>6862</v>
      </c>
      <c r="J8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t="s">
        <v>2004</v>
      </c>
      <c r="E81" t="s">
        <v>8</v>
      </c>
      <c r="I81" t="s">
        <v>7163</v>
      </c>
      <c r="J81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t="s">
        <v>2004</v>
      </c>
      <c r="E82" t="s">
        <v>8</v>
      </c>
      <c r="I82" t="s">
        <v>7157</v>
      </c>
      <c r="J82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t="s">
        <v>2004</v>
      </c>
      <c r="E83" t="s">
        <v>8</v>
      </c>
      <c r="I83" t="s">
        <v>7211</v>
      </c>
      <c r="J83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t="s">
        <v>2004</v>
      </c>
      <c r="E84" t="s">
        <v>8</v>
      </c>
      <c r="I84" t="s">
        <v>7311</v>
      </c>
      <c r="J84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t="s">
        <v>2004</v>
      </c>
      <c r="E85" t="s">
        <v>8</v>
      </c>
      <c r="I85" t="s">
        <v>7314</v>
      </c>
      <c r="J85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t="s">
        <v>4223</v>
      </c>
      <c r="E86" t="s">
        <v>5480</v>
      </c>
      <c r="F86" t="s">
        <v>60</v>
      </c>
      <c r="I86" t="s">
        <v>7679</v>
      </c>
      <c r="J86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t="s">
        <v>2004</v>
      </c>
      <c r="E87" t="s">
        <v>8</v>
      </c>
      <c r="I87" t="s">
        <v>7682</v>
      </c>
      <c r="J87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t="s">
        <v>4</v>
      </c>
      <c r="E88" t="s">
        <v>4193</v>
      </c>
      <c r="H88" t="s">
        <v>7718</v>
      </c>
      <c r="I88" t="s">
        <v>7685</v>
      </c>
      <c r="J8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t="s">
        <v>4223</v>
      </c>
      <c r="E89" t="s">
        <v>5480</v>
      </c>
      <c r="F89" t="s">
        <v>7713</v>
      </c>
      <c r="I89" t="s">
        <v>7688</v>
      </c>
      <c r="J8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t="s">
        <v>4223</v>
      </c>
      <c r="E90" t="s">
        <v>5480</v>
      </c>
      <c r="F90" t="s">
        <v>7719</v>
      </c>
      <c r="I90" t="s">
        <v>7691</v>
      </c>
      <c r="J9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t="s">
        <v>4223</v>
      </c>
      <c r="E91" t="s">
        <v>5480</v>
      </c>
      <c r="F91" t="s">
        <v>60</v>
      </c>
      <c r="I91" t="s">
        <v>7792</v>
      </c>
      <c r="J91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t="s">
        <v>4223</v>
      </c>
      <c r="E92" t="s">
        <v>5480</v>
      </c>
      <c r="F92" t="s">
        <v>60</v>
      </c>
      <c r="I92" t="s">
        <v>7795</v>
      </c>
      <c r="J92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t="s">
        <v>4223</v>
      </c>
      <c r="E93" t="s">
        <v>5480</v>
      </c>
      <c r="F93" t="s">
        <v>7719</v>
      </c>
      <c r="I93" t="s">
        <v>7798</v>
      </c>
      <c r="J93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t="s">
        <v>4</v>
      </c>
      <c r="E94" t="s">
        <v>4193</v>
      </c>
      <c r="H94" t="s">
        <v>7718</v>
      </c>
      <c r="I94" t="s">
        <v>7801</v>
      </c>
      <c r="J94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t="s">
        <v>4</v>
      </c>
      <c r="E95" t="s">
        <v>8</v>
      </c>
      <c r="H95" t="s">
        <v>2936</v>
      </c>
      <c r="I95" t="s">
        <v>7804</v>
      </c>
      <c r="J95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t="s">
        <v>4</v>
      </c>
      <c r="E96" t="s">
        <v>8</v>
      </c>
      <c r="H96" t="s">
        <v>2936</v>
      </c>
      <c r="I96" t="s">
        <v>7807</v>
      </c>
      <c r="J96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t="s">
        <v>4223</v>
      </c>
      <c r="E97" t="s">
        <v>5480</v>
      </c>
      <c r="F97" t="s">
        <v>7714</v>
      </c>
      <c r="I97" t="s">
        <v>7810</v>
      </c>
      <c r="J97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t="s">
        <v>4223</v>
      </c>
      <c r="E98" t="s">
        <v>5480</v>
      </c>
      <c r="F98" t="s">
        <v>60</v>
      </c>
      <c r="I98" t="s">
        <v>7813</v>
      </c>
      <c r="J9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t="s">
        <v>4</v>
      </c>
      <c r="E99" t="s">
        <v>8</v>
      </c>
      <c r="I99" t="s">
        <v>7816</v>
      </c>
      <c r="J9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t="s">
        <v>4</v>
      </c>
      <c r="E100" t="s">
        <v>8</v>
      </c>
      <c r="I100" t="s">
        <v>7983</v>
      </c>
      <c r="J10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t="s">
        <v>4</v>
      </c>
      <c r="E101" t="s">
        <v>8</v>
      </c>
      <c r="I101" t="s">
        <v>7986</v>
      </c>
      <c r="J101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t="s">
        <v>4</v>
      </c>
      <c r="E102" t="s">
        <v>8</v>
      </c>
      <c r="I102" t="s">
        <v>7989</v>
      </c>
      <c r="J102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t="s">
        <v>533</v>
      </c>
      <c r="E103" t="s">
        <v>531</v>
      </c>
      <c r="F103" t="s">
        <v>8361</v>
      </c>
      <c r="I103" t="s">
        <v>8273</v>
      </c>
      <c r="J103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t="s">
        <v>2004</v>
      </c>
      <c r="E104" t="s">
        <v>8</v>
      </c>
      <c r="I104" t="s">
        <v>8276</v>
      </c>
      <c r="J104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t="s">
        <v>2004</v>
      </c>
      <c r="E105" t="s">
        <v>8</v>
      </c>
      <c r="I105" t="s">
        <v>8279</v>
      </c>
      <c r="J105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t="s">
        <v>2004</v>
      </c>
      <c r="E106" t="s">
        <v>8</v>
      </c>
      <c r="I106" t="s">
        <v>8282</v>
      </c>
      <c r="J106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t="s">
        <v>2004</v>
      </c>
      <c r="E107" t="s">
        <v>8</v>
      </c>
      <c r="I107" t="s">
        <v>8465</v>
      </c>
      <c r="J107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t="s">
        <v>2004</v>
      </c>
      <c r="E108" t="s">
        <v>8</v>
      </c>
      <c r="I108" t="s">
        <v>8468</v>
      </c>
      <c r="J10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t="s">
        <v>2004</v>
      </c>
      <c r="E109" t="s">
        <v>8</v>
      </c>
      <c r="I109" t="s">
        <v>8471</v>
      </c>
      <c r="J10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t="s">
        <v>2004</v>
      </c>
      <c r="E110" t="s">
        <v>8</v>
      </c>
      <c r="I110" t="s">
        <v>8778</v>
      </c>
      <c r="J1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t="s">
        <v>2004</v>
      </c>
      <c r="E111" t="s">
        <v>8</v>
      </c>
      <c r="I111" t="s">
        <v>8781</v>
      </c>
      <c r="J111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t="s">
        <v>2004</v>
      </c>
      <c r="E112" t="s">
        <v>8</v>
      </c>
      <c r="I112" t="s">
        <v>8784</v>
      </c>
      <c r="J112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t="s">
        <v>2004</v>
      </c>
      <c r="E113" t="s">
        <v>8</v>
      </c>
      <c r="I113" t="s">
        <v>8787</v>
      </c>
      <c r="J113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t="s">
        <v>2004</v>
      </c>
      <c r="E114" t="s">
        <v>8</v>
      </c>
      <c r="I114" t="s">
        <v>8790</v>
      </c>
      <c r="J114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t="s">
        <v>2004</v>
      </c>
      <c r="E115" t="s">
        <v>8</v>
      </c>
      <c r="I115" t="s">
        <v>8793</v>
      </c>
      <c r="J115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t="s">
        <v>2004</v>
      </c>
      <c r="E116" t="s">
        <v>8</v>
      </c>
      <c r="I116" t="s">
        <v>8796</v>
      </c>
      <c r="J116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t="s">
        <v>4</v>
      </c>
      <c r="E117" t="s">
        <v>8045</v>
      </c>
      <c r="I117" t="s">
        <v>9168</v>
      </c>
      <c r="J117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t="s">
        <v>7171</v>
      </c>
      <c r="E118" t="s">
        <v>5480</v>
      </c>
      <c r="F118" t="s">
        <v>9202</v>
      </c>
      <c r="I118" t="s">
        <v>9171</v>
      </c>
      <c r="J11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t="s">
        <v>4</v>
      </c>
      <c r="E119" t="s">
        <v>8</v>
      </c>
      <c r="I119" t="s">
        <v>9174</v>
      </c>
      <c r="J11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t="s">
        <v>4</v>
      </c>
      <c r="E120" t="s">
        <v>9212</v>
      </c>
      <c r="I120" t="s">
        <v>9177</v>
      </c>
      <c r="J12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t="s">
        <v>4</v>
      </c>
      <c r="E121" t="s">
        <v>9212</v>
      </c>
      <c r="I121" t="s">
        <v>9180</v>
      </c>
      <c r="J121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t="s">
        <v>4</v>
      </c>
      <c r="E122" t="s">
        <v>8</v>
      </c>
      <c r="I122" t="s">
        <v>9183</v>
      </c>
      <c r="J122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t="s">
        <v>4</v>
      </c>
      <c r="E123" t="s">
        <v>8045</v>
      </c>
      <c r="I123" t="s">
        <v>9324</v>
      </c>
      <c r="J123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t="s">
        <v>4</v>
      </c>
      <c r="E124" t="s">
        <v>8045</v>
      </c>
      <c r="I124" t="s">
        <v>9327</v>
      </c>
      <c r="J124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t="s">
        <v>4</v>
      </c>
      <c r="E125" t="s">
        <v>8045</v>
      </c>
      <c r="I125" t="s">
        <v>9330</v>
      </c>
      <c r="J125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t="s">
        <v>4</v>
      </c>
      <c r="E126" t="s">
        <v>8</v>
      </c>
      <c r="I126" t="s">
        <v>9333</v>
      </c>
      <c r="J126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t="s">
        <v>4</v>
      </c>
      <c r="E127" t="s">
        <v>8</v>
      </c>
      <c r="I127" t="s">
        <v>9549</v>
      </c>
      <c r="J127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t="s">
        <v>4</v>
      </c>
      <c r="E128" t="s">
        <v>8</v>
      </c>
      <c r="I128" t="s">
        <v>9552</v>
      </c>
      <c r="J12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t="s">
        <v>4</v>
      </c>
      <c r="E129" t="s">
        <v>9212</v>
      </c>
      <c r="I129" t="s">
        <v>9555</v>
      </c>
      <c r="J12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t="s">
        <v>4</v>
      </c>
      <c r="E130" t="s">
        <v>9212</v>
      </c>
      <c r="I130" t="s">
        <v>9558</v>
      </c>
      <c r="J13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t="s">
        <v>4</v>
      </c>
      <c r="E131" t="s">
        <v>9212</v>
      </c>
      <c r="I131" t="s">
        <v>9561</v>
      </c>
      <c r="J131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t="s">
        <v>4</v>
      </c>
      <c r="E132" t="s">
        <v>9212</v>
      </c>
      <c r="I132" t="s">
        <v>9564</v>
      </c>
      <c r="J132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t="s">
        <v>4</v>
      </c>
      <c r="E133" t="s">
        <v>8</v>
      </c>
      <c r="I133" t="s">
        <v>9567</v>
      </c>
      <c r="J133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t="s">
        <v>2004</v>
      </c>
      <c r="E134" t="s">
        <v>8</v>
      </c>
      <c r="I134" t="s">
        <v>9677</v>
      </c>
      <c r="J134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t="s">
        <v>2004</v>
      </c>
      <c r="E135" t="s">
        <v>8</v>
      </c>
      <c r="I135" t="s">
        <v>9680</v>
      </c>
      <c r="J135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t="s">
        <v>2004</v>
      </c>
      <c r="E136" t="s">
        <v>8</v>
      </c>
      <c r="I136" t="s">
        <v>9870</v>
      </c>
      <c r="J136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t="s">
        <v>2004</v>
      </c>
      <c r="E137" t="s">
        <v>8</v>
      </c>
      <c r="I137" t="s">
        <v>9873</v>
      </c>
      <c r="J137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t="s">
        <v>2004</v>
      </c>
      <c r="E138" t="s">
        <v>8</v>
      </c>
      <c r="I138" t="s">
        <v>10113</v>
      </c>
      <c r="J13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t="s">
        <v>7171</v>
      </c>
      <c r="E139" t="s">
        <v>5480</v>
      </c>
      <c r="F139" t="s">
        <v>9202</v>
      </c>
      <c r="I139" t="s">
        <v>10116</v>
      </c>
      <c r="J13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t="s">
        <v>4</v>
      </c>
      <c r="E140" t="s">
        <v>8</v>
      </c>
      <c r="I140" t="s">
        <v>10119</v>
      </c>
      <c r="J14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t="s">
        <v>4</v>
      </c>
      <c r="E141" t="s">
        <v>8</v>
      </c>
      <c r="I141" t="s">
        <v>10433</v>
      </c>
      <c r="J141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t="s">
        <v>4</v>
      </c>
      <c r="E142" t="s">
        <v>8</v>
      </c>
      <c r="H142" t="s">
        <v>2936</v>
      </c>
      <c r="I142" t="s">
        <v>10436</v>
      </c>
      <c r="J142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t="s">
        <v>4</v>
      </c>
      <c r="E143" t="s">
        <v>8</v>
      </c>
      <c r="H143" t="s">
        <v>2936</v>
      </c>
      <c r="I143" t="s">
        <v>10439</v>
      </c>
      <c r="J143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t="s">
        <v>2004</v>
      </c>
      <c r="E144" t="s">
        <v>8</v>
      </c>
      <c r="I144" t="s">
        <v>10485</v>
      </c>
      <c r="J144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t="s">
        <v>2004</v>
      </c>
      <c r="E145" t="s">
        <v>8</v>
      </c>
      <c r="I145" t="s">
        <v>10488</v>
      </c>
      <c r="J145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t="s">
        <v>2004</v>
      </c>
      <c r="E146" t="s">
        <v>8</v>
      </c>
      <c r="I146" t="s">
        <v>10624</v>
      </c>
      <c r="J146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t="s">
        <v>2004</v>
      </c>
      <c r="E147" t="s">
        <v>8</v>
      </c>
      <c r="I147" t="s">
        <v>10627</v>
      </c>
      <c r="J147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t="s">
        <v>2004</v>
      </c>
      <c r="E148" t="s">
        <v>8</v>
      </c>
      <c r="I148" t="s">
        <v>10872</v>
      </c>
      <c r="J14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t="s">
        <v>2004</v>
      </c>
      <c r="E149" t="s">
        <v>8</v>
      </c>
      <c r="I149" t="s">
        <v>10875</v>
      </c>
      <c r="J14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t="s">
        <v>2004</v>
      </c>
      <c r="E150" t="s">
        <v>8</v>
      </c>
      <c r="I150" t="s">
        <v>11001</v>
      </c>
      <c r="J15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t="s">
        <v>2014</v>
      </c>
      <c r="I151" t="s">
        <v>11055</v>
      </c>
      <c r="J151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t="s">
        <v>2004</v>
      </c>
      <c r="E152" t="s">
        <v>8</v>
      </c>
      <c r="I152" t="s">
        <v>11058</v>
      </c>
      <c r="J152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t="s">
        <v>2004</v>
      </c>
      <c r="E153" t="s">
        <v>8</v>
      </c>
      <c r="I153" t="s">
        <v>11391</v>
      </c>
      <c r="J153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t="s">
        <v>4</v>
      </c>
      <c r="E154" t="s">
        <v>8</v>
      </c>
      <c r="I154" t="s">
        <v>11394</v>
      </c>
      <c r="J154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t="s">
        <v>159</v>
      </c>
      <c r="E155" t="s">
        <v>11424</v>
      </c>
      <c r="I155" t="s">
        <v>11397</v>
      </c>
      <c r="J155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t="s">
        <v>4</v>
      </c>
      <c r="E156" t="s">
        <v>8</v>
      </c>
      <c r="I156" t="s">
        <v>11400</v>
      </c>
      <c r="J156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t="s">
        <v>4</v>
      </c>
      <c r="E157" t="s">
        <v>8</v>
      </c>
      <c r="I157" t="s">
        <v>11403</v>
      </c>
      <c r="J157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t="s">
        <v>11425</v>
      </c>
      <c r="I158" t="s">
        <v>11406</v>
      </c>
      <c r="J158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t="s">
        <v>4</v>
      </c>
      <c r="E159" t="s">
        <v>11426</v>
      </c>
      <c r="I159" t="s">
        <v>11409</v>
      </c>
      <c r="J159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t="s">
        <v>4</v>
      </c>
      <c r="E160" t="s">
        <v>11424</v>
      </c>
      <c r="I160" t="s">
        <v>11562</v>
      </c>
      <c r="J16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t="s">
        <v>4</v>
      </c>
      <c r="E161" t="s">
        <v>11659</v>
      </c>
      <c r="I161" t="s">
        <v>11565</v>
      </c>
      <c r="J161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t="s">
        <v>11660</v>
      </c>
      <c r="I162" t="s">
        <v>11568</v>
      </c>
      <c r="J162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t="s">
        <v>4</v>
      </c>
      <c r="E163" t="s">
        <v>8</v>
      </c>
      <c r="I163" t="s">
        <v>11571</v>
      </c>
      <c r="J163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t="s">
        <v>2004</v>
      </c>
      <c r="E164" t="s">
        <v>8</v>
      </c>
      <c r="I164" t="s">
        <v>11766</v>
      </c>
      <c r="J164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t="s">
        <v>2004</v>
      </c>
      <c r="E165" t="s">
        <v>8</v>
      </c>
      <c r="I165" t="s">
        <v>11769</v>
      </c>
      <c r="J165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t="s">
        <v>4</v>
      </c>
      <c r="E166" t="s">
        <v>8</v>
      </c>
      <c r="I166" t="s">
        <v>11847</v>
      </c>
      <c r="J166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t="s">
        <v>4</v>
      </c>
      <c r="E167" t="s">
        <v>8</v>
      </c>
      <c r="I167" t="s">
        <v>11850</v>
      </c>
      <c r="J167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t="s">
        <v>159</v>
      </c>
      <c r="E168" t="s">
        <v>11958</v>
      </c>
      <c r="I168" t="s">
        <v>11853</v>
      </c>
      <c r="J168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t="s">
        <v>4</v>
      </c>
      <c r="E169" t="s">
        <v>8</v>
      </c>
      <c r="I169" t="s">
        <v>11856</v>
      </c>
      <c r="J169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t="s">
        <v>6171</v>
      </c>
      <c r="E170" t="s">
        <v>4193</v>
      </c>
      <c r="I170" t="s">
        <v>11859</v>
      </c>
      <c r="J17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t="s">
        <v>11957</v>
      </c>
      <c r="E171" t="s">
        <v>4193</v>
      </c>
      <c r="I171" t="s">
        <v>11862</v>
      </c>
      <c r="J171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t="s">
        <v>4</v>
      </c>
      <c r="E172" t="s">
        <v>8</v>
      </c>
      <c r="I172" t="s">
        <v>11865</v>
      </c>
      <c r="J172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t="s">
        <v>651</v>
      </c>
      <c r="E173" t="s">
        <v>86</v>
      </c>
      <c r="I173" t="s">
        <v>11868</v>
      </c>
      <c r="J173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t="s">
        <v>651</v>
      </c>
      <c r="E174" t="s">
        <v>86</v>
      </c>
      <c r="H174" t="s">
        <v>2936</v>
      </c>
      <c r="I174" t="s">
        <v>11870</v>
      </c>
      <c r="J174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t="s">
        <v>11964</v>
      </c>
      <c r="E175" t="s">
        <v>86</v>
      </c>
      <c r="I175" t="s">
        <v>11873</v>
      </c>
      <c r="J175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t="s">
        <v>651</v>
      </c>
      <c r="E176" t="s">
        <v>86</v>
      </c>
      <c r="I176" t="s">
        <v>11971</v>
      </c>
      <c r="J176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t="s">
        <v>2004</v>
      </c>
      <c r="E177" t="s">
        <v>8</v>
      </c>
      <c r="I177" t="s">
        <v>11974</v>
      </c>
      <c r="J177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t="s">
        <v>2004</v>
      </c>
      <c r="E178" t="s">
        <v>8</v>
      </c>
      <c r="I178" t="s">
        <v>12055</v>
      </c>
      <c r="J178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</sheetData>
  <conditionalFormatting sqref="D179:D189 E179:E192 G2:H178 D2:E178">
    <cfRule type="containsText" dxfId="723" priority="14" operator="containsText" text="Выезд с территории">
      <formula>NOT(ISERROR(SEARCH("Выезд с территории",D2)))</formula>
    </cfRule>
  </conditionalFormatting>
  <conditionalFormatting sqref="F2:F178">
    <cfRule type="notContainsText" dxfId="722" priority="13" operator="notContains" text="порожний">
      <formula>ISERROR(SEARCH("порожний",F2))</formula>
    </cfRule>
  </conditionalFormatting>
  <conditionalFormatting sqref="E2:E192">
    <cfRule type="containsText" dxfId="721" priority="11" operator="containsText" text="Газель базы">
      <formula>NOT(ISERROR(SEARCH("Газель базы",E2)))</formula>
    </cfRule>
    <cfRule type="containsText" dxfId="720" priority="12" operator="containsText" text="Погрузчик базы">
      <formula>NOT(ISERROR(SEARCH("Погрузчик базы",E2)))</formula>
    </cfRule>
  </conditionalFormatting>
  <conditionalFormatting sqref="E2:E192">
    <cfRule type="containsText" dxfId="719" priority="10" operator="containsText" text="Трактор базы">
      <formula>NOT(ISERROR(SEARCH("Трактор базы",E2)))</formula>
    </cfRule>
  </conditionalFormatting>
  <conditionalFormatting sqref="A2:C178">
    <cfRule type="expression" dxfId="718" priority="9">
      <formula>$A2="пн"</formula>
    </cfRule>
  </conditionalFormatting>
  <conditionalFormatting sqref="A2:C180">
    <cfRule type="expression" dxfId="717" priority="3">
      <formula>$A2="вс"</formula>
    </cfRule>
    <cfRule type="expression" dxfId="716" priority="4">
      <formula>$A2="сб"</formula>
    </cfRule>
    <cfRule type="expression" dxfId="715" priority="5">
      <formula>$A2="пт"</formula>
    </cfRule>
    <cfRule type="expression" dxfId="714" priority="6">
      <formula>$A2="чт"</formula>
    </cfRule>
    <cfRule type="expression" dxfId="713" priority="7">
      <formula>$A2="ср"</formula>
    </cfRule>
    <cfRule type="expression" dxfId="712" priority="8">
      <formula>$A2="вт"</formula>
    </cfRule>
  </conditionalFormatting>
  <conditionalFormatting sqref="D2:D189">
    <cfRule type="containsText" dxfId="7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7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tabSelected="1"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10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10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s="9" t="s">
        <v>12174</v>
      </c>
      <c r="E2" s="9" t="s">
        <v>12175</v>
      </c>
      <c r="F2" s="9"/>
      <c r="G2" s="10" t="str" cm="1">
        <f t="array" ref="G2">IF(D2="Время ухода с рабочего места",
   C2-
   LOOKUP(2,1/
      ((D$1:D1="Время прихода на рабочее место")*
       (E$1:E1=E2)*
       (B$1:B1=B2)),
   C$1:C1),
"")</f>
        <v/>
      </c>
      <c r="H2" s="9"/>
      <c r="I2" s="9" t="s">
        <v>12093</v>
      </c>
      <c r="J2" s="9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s="9" t="s">
        <v>12174</v>
      </c>
      <c r="E3" s="9" t="s">
        <v>12176</v>
      </c>
      <c r="F3" s="9"/>
      <c r="G3" s="10" t="str" cm="1">
        <f t="array" ref="G3">IF(D3="Время ухода с рабочего места",
   C3-
   LOOKUP(2,1/
      ((D$1:D2="Время прихода на рабочее место")*
       (E$1:E2=E3)*
       (B$1:B2=B3)),
   C$1:C2),
"")</f>
        <v/>
      </c>
      <c r="H3" s="9"/>
      <c r="I3" s="9" t="s">
        <v>12095</v>
      </c>
      <c r="J3" s="9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s="9" t="s">
        <v>12177</v>
      </c>
      <c r="E4" s="9" t="s">
        <v>12178</v>
      </c>
      <c r="F4" s="9"/>
      <c r="G4" s="10" t="str" cm="1">
        <f t="array" ref="G4">IF(D4="Время ухода с рабочего места",
   C4-
   LOOKUP(2,1/
      ((D$1:D3="Время прихода на рабочее место")*
       (E$1:E3=E4)*
       (B$1:B3=B4)),
   C$1:C3),
"")</f>
        <v/>
      </c>
      <c r="H4" s="9"/>
      <c r="I4" s="9" t="s">
        <v>12097</v>
      </c>
      <c r="J4" s="9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s="9" t="s">
        <v>12177</v>
      </c>
      <c r="E5" s="9" t="s">
        <v>12178</v>
      </c>
      <c r="F5" s="9"/>
      <c r="G5" s="10" t="str" cm="1">
        <f t="array" ref="G5">IF(D5="Время ухода с рабочего места",
   C5-
   LOOKUP(2,1/
      ((D$1:D4="Время прихода на рабочее место")*
       (E$1:E4=E5)*
       (B$1:B4=B5)),
   C$1:C4),
"")</f>
        <v/>
      </c>
      <c r="H5" s="9"/>
      <c r="I5" s="9" t="s">
        <v>12099</v>
      </c>
      <c r="J5" s="9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s="9" t="s">
        <v>12179</v>
      </c>
      <c r="E6" s="9" t="s">
        <v>12176</v>
      </c>
      <c r="F6" s="9"/>
      <c r="G6" s="10" cm="1">
        <f t="array" ref="G6">IF(D6="Время ухода с рабочего места",
   C6-
   LOOKUP(2,1/
      ((D$1:D5="Время прихода на рабочее место")*
       (E$1:E5=E6)*
       (B$1:B5=B6)),
   C$1:C5),
"")</f>
        <v>6.5439814814814867E-2</v>
      </c>
      <c r="H6" s="9"/>
      <c r="I6" s="9" t="s">
        <v>12101</v>
      </c>
      <c r="J6" s="9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s="9" t="s">
        <v>12179</v>
      </c>
      <c r="E7" s="9" t="s">
        <v>12175</v>
      </c>
      <c r="F7" s="9"/>
      <c r="G7" s="10" cm="1">
        <f t="array" ref="G7">IF(D7="Время ухода с рабочего места",
   C7-
   LOOKUP(2,1/
      ((D$1:D6="Время прихода на рабочее место")*
       (E$1:E6=E7)*
       (B$1:B6=B7)),
   C$1:C6),
"")</f>
        <v>6.7407407407407416E-2</v>
      </c>
      <c r="H7" s="9"/>
      <c r="I7" s="9" t="s">
        <v>12101</v>
      </c>
      <c r="J7" s="9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s="9" t="s">
        <v>12174</v>
      </c>
      <c r="E8" s="9" t="s">
        <v>12175</v>
      </c>
      <c r="F8" s="9"/>
      <c r="G8" s="10" t="str" cm="1">
        <f t="array" ref="G8">IF(D8="Время ухода с рабочего места",
   C8-
   LOOKUP(2,1/
      ((D$1:D7="Время прихода на рабочее место")*
       (E$1:E7=E8)*
       (B$1:B7=B8)),
   C$1:C7),
"")</f>
        <v/>
      </c>
      <c r="H8" s="9"/>
      <c r="I8" s="9" t="s">
        <v>12103</v>
      </c>
      <c r="J8" s="9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s="9" t="s">
        <v>12177</v>
      </c>
      <c r="E9" s="9" t="s">
        <v>12175</v>
      </c>
      <c r="F9" s="9"/>
      <c r="G9" s="10" t="str" cm="1">
        <f t="array" ref="G9">IF(D9="Время ухода с рабочего места",
   C9-
   LOOKUP(2,1/
      ((D$1:D8="Время прихода на рабочее место")*
       (E$1:E8=E9)*
       (B$1:B8=B9)),
   C$1:C8),
"")</f>
        <v/>
      </c>
      <c r="H9" s="9"/>
      <c r="I9" s="9" t="s">
        <v>12105</v>
      </c>
      <c r="J9" s="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s="9" t="s">
        <v>12174</v>
      </c>
      <c r="E10" s="9" t="s">
        <v>12176</v>
      </c>
      <c r="F10" s="9"/>
      <c r="G10" s="10" t="str" cm="1">
        <f t="array" ref="G10">IF(D10="Время ухода с рабочего места",
   C10-
   LOOKUP(2,1/
      ((D$1:D9="Время прихода на рабочее место")*
       (E$1:E9=E10)*
       (B$1:B9=B10)),
   C$1:C9),
"")</f>
        <v/>
      </c>
      <c r="H10" s="9"/>
      <c r="I10" s="9" t="s">
        <v>12107</v>
      </c>
      <c r="J10" s="9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s="9" t="s">
        <v>12177</v>
      </c>
      <c r="E11" s="9" t="s">
        <v>12178</v>
      </c>
      <c r="F11" s="9"/>
      <c r="G11" s="10" t="str" cm="1">
        <f t="array" ref="G11">IF(D11="Время ухода с рабочего места",
   C11-
   LOOKUP(2,1/
      ((D$1:D10="Время прихода на рабочее место")*
       (E$1:E10=E11)*
       (B$1:B10=B11)),
   C$1:C10),
"")</f>
        <v/>
      </c>
      <c r="H11" s="9"/>
      <c r="I11" s="9" t="s">
        <v>12109</v>
      </c>
      <c r="J11" s="9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s="9" t="s">
        <v>12179</v>
      </c>
      <c r="E12" s="9" t="s">
        <v>12176</v>
      </c>
      <c r="F12" s="9"/>
      <c r="G12" s="10" cm="1">
        <f t="array" ref="G12">IF(D12="Время ухода с рабочего места",
   C12-
   LOOKUP(2,1/
      ((D$1:D11="Время прихода на рабочее место")*
       (E$1:E11=E12)*
       (B$1:B11=B12)),
   C$1:C11),
"")</f>
        <v>1.780092592592597E-2</v>
      </c>
      <c r="H12" s="9"/>
      <c r="I12" s="9" t="s">
        <v>12111</v>
      </c>
      <c r="J12" s="9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s="9" t="s">
        <v>12174</v>
      </c>
      <c r="E13" s="9" t="s">
        <v>12176</v>
      </c>
      <c r="F13" s="9"/>
      <c r="G13" s="10" t="str" cm="1">
        <f t="array" ref="G13">IF(D13="Время ухода с рабочего места",
   C13-
   LOOKUP(2,1/
      ((D$1:D12="Время прихода на рабочее место")*
       (E$1:E12=E13)*
       (B$1:B12=B13)),
   C$1:C12),
"")</f>
        <v/>
      </c>
      <c r="H13" s="9"/>
      <c r="I13" s="9" t="s">
        <v>12113</v>
      </c>
      <c r="J13" s="9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s="9" t="s">
        <v>12177</v>
      </c>
      <c r="E14" s="9" t="s">
        <v>12178</v>
      </c>
      <c r="F14" s="9"/>
      <c r="G14" s="10" t="str" cm="1">
        <f t="array" ref="G14">IF(D14="Время ухода с рабочего места",
   C14-
   LOOKUP(2,1/
      ((D$1:D13="Время прихода на рабочее место")*
       (E$1:E13=E14)*
       (B$1:B13=B14)),
   C$1:C13),
"")</f>
        <v/>
      </c>
      <c r="H14" s="9"/>
      <c r="I14" s="9" t="s">
        <v>12115</v>
      </c>
      <c r="J14" s="9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s="9" t="s">
        <v>12179</v>
      </c>
      <c r="E15" s="9" t="s">
        <v>12176</v>
      </c>
      <c r="F15" s="9"/>
      <c r="G15" s="10" cm="1">
        <f t="array" ref="G15">IF(D15="Время ухода с рабочего места",
   C15-
   LOOKUP(2,1/
      ((D$1:D14="Время прихода на рабочее место")*
       (E$1:E14=E15)*
       (B$1:B14=B15)),
   C$1:C14),
"")</f>
        <v>1.8333333333333257E-2</v>
      </c>
      <c r="H15" s="9"/>
      <c r="I15" s="9" t="s">
        <v>12117</v>
      </c>
      <c r="J15" s="9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s="9" t="s">
        <v>12174</v>
      </c>
      <c r="E16" s="9" t="s">
        <v>12176</v>
      </c>
      <c r="F16" s="9"/>
      <c r="G16" s="10" t="str" cm="1">
        <f t="array" ref="G16">IF(D16="Время ухода с рабочего места",
   C16-
   LOOKUP(2,1/
      ((D$1:D15="Время прихода на рабочее место")*
       (E$1:E15=E16)*
       (B$1:B15=B16)),
   C$1:C15),
"")</f>
        <v/>
      </c>
      <c r="H16" s="9"/>
      <c r="I16" s="9" t="s">
        <v>12119</v>
      </c>
      <c r="J16" s="9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s="9" t="s">
        <v>12177</v>
      </c>
      <c r="E17" s="9" t="s">
        <v>12178</v>
      </c>
      <c r="F17" s="9"/>
      <c r="G17" s="10" t="str" cm="1">
        <f t="array" ref="G17">IF(D17="Время ухода с рабочего места",
   C17-
   LOOKUP(2,1/
      ((D$1:D16="Время прихода на рабочее место")*
       (E$1:E16=E17)*
       (B$1:B16=B17)),
   C$1:C16),
"")</f>
        <v/>
      </c>
      <c r="H17" s="9"/>
      <c r="I17" s="9" t="s">
        <v>12121</v>
      </c>
      <c r="J17" s="9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s="9" t="s">
        <v>12179</v>
      </c>
      <c r="E18" s="9" t="s">
        <v>12176</v>
      </c>
      <c r="F18" s="9"/>
      <c r="G18" s="10" cm="1">
        <f t="array" ref="G18">IF(D18="Время ухода с рабочего места",
   C18-
   LOOKUP(2,1/
      ((D$1:D17="Время прихода на рабочее место")*
       (E$1:E17=E18)*
       (B$1:B17=B18)),
   C$1:C17),
"")</f>
        <v>1.9976851851851829E-2</v>
      </c>
      <c r="H18" s="9"/>
      <c r="I18" s="9" t="s">
        <v>12123</v>
      </c>
      <c r="J18" s="9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s="9" t="s">
        <v>12179</v>
      </c>
      <c r="E19" s="9" t="s">
        <v>12175</v>
      </c>
      <c r="F19" s="9"/>
      <c r="G19" s="10" cm="1">
        <f t="array" ref="G19">IF(D19="Время ухода с рабочего места",
   C19-
   LOOKUP(2,1/
      ((D$1:D18="Время прихода на рабочее место")*
       (E$1:E18=E19)*
       (B$1:B18=B19)),
   C$1:C18),
"")</f>
        <v>6.1967592592592546E-2</v>
      </c>
      <c r="H19" s="9" t="s">
        <v>12181</v>
      </c>
      <c r="I19" s="9" t="s">
        <v>12072</v>
      </c>
      <c r="J19" s="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s="9" t="s">
        <v>12174</v>
      </c>
      <c r="E20" s="9" t="s">
        <v>12178</v>
      </c>
      <c r="F20" s="9"/>
      <c r="G20" s="10" t="str" cm="1">
        <f t="array" ref="G20">IF(D20="Время ухода с рабочего места",
   C20-
   LOOKUP(2,1/
      ((D$1:D19="Время прихода на рабочее место")*
       (E$1:E19=E20)*
       (B$1:B19=B20)),
   C$1:C19),
"")</f>
        <v/>
      </c>
      <c r="H20" s="9"/>
      <c r="I20" s="9" t="s">
        <v>12125</v>
      </c>
      <c r="J20" s="9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s="9" t="s">
        <v>12177</v>
      </c>
      <c r="E21" s="9" t="s">
        <v>12178</v>
      </c>
      <c r="F21" s="9"/>
      <c r="G21" s="10" t="str" cm="1">
        <f t="array" ref="G21">IF(D21="Время ухода с рабочего места",
   C21-
   LOOKUP(2,1/
      ((D$1:D20="Время прихода на рабочее место")*
       (E$1:E20=E21)*
       (B$1:B20=B21)),
   C$1:C20),
"")</f>
        <v/>
      </c>
      <c r="H21" s="9"/>
      <c r="I21" s="9" t="s">
        <v>12127</v>
      </c>
      <c r="J21" s="9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s="9" t="s">
        <v>12179</v>
      </c>
      <c r="E22" s="9" t="s">
        <v>12176</v>
      </c>
      <c r="F22" s="9"/>
      <c r="G22" s="10" cm="1">
        <f t="array" ref="G22">IF(D22="Время ухода с рабочего места",
   C22-
   LOOKUP(2,1/
      ((D$1:D21="Время прихода на рабочее место")*
       (E$1:E21=E22)*
       (B$1:B21=B22)),
   C$1:C21),
"")</f>
        <v>0.12179398148148146</v>
      </c>
      <c r="H22" s="9"/>
      <c r="I22" s="9" t="s">
        <v>12129</v>
      </c>
      <c r="J22" s="9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s="9" t="s">
        <v>12174</v>
      </c>
      <c r="E23" s="9" t="s">
        <v>12176</v>
      </c>
      <c r="F23" s="9"/>
      <c r="G23" s="10" t="str" cm="1">
        <f t="array" ref="G23">IF(D23="Время ухода с рабочего места",
   C23-
   LOOKUP(2,1/
      ((D$1:D22="Время прихода на рабочее место")*
       (E$1:E22=E23)*
       (B$1:B22=B23)),
   C$1:C22),
"")</f>
        <v/>
      </c>
      <c r="H23" s="9" t="s">
        <v>12180</v>
      </c>
      <c r="I23" s="9" t="s">
        <v>12131</v>
      </c>
      <c r="J23" s="9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s="9" t="s">
        <v>12177</v>
      </c>
      <c r="E24" s="9" t="s">
        <v>12178</v>
      </c>
      <c r="F24" s="9"/>
      <c r="G24" s="10" t="str" cm="1">
        <f t="array" ref="G24">IF(D24="Время ухода с рабочего места",
   C24-
   LOOKUP(2,1/
      ((D$1:D23="Время прихода на рабочее место")*
       (E$1:E23=E24)*
       (B$1:B23=B24)),
   C$1:C23),
"")</f>
        <v/>
      </c>
      <c r="H24" s="9"/>
      <c r="I24" s="9" t="s">
        <v>12133</v>
      </c>
      <c r="J24" s="9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s="9" t="s">
        <v>12179</v>
      </c>
      <c r="E25" s="9" t="s">
        <v>12176</v>
      </c>
      <c r="F25" s="9"/>
      <c r="G25" s="10" cm="1">
        <f t="array" ref="G25">IF(D25="Время ухода с рабочего места",
   C25-
   LOOKUP(2,1/
      ((D$1:D24="Время прихода на рабочее место")*
       (E$1:E24=E25)*
       (B$1:B24=B25)),
   C$1:C24),
"")</f>
        <v>6.0416666666666674E-2</v>
      </c>
      <c r="H25" s="9"/>
      <c r="I25" s="9" t="s">
        <v>12135</v>
      </c>
      <c r="J25" s="9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s="9" t="s">
        <v>12177</v>
      </c>
      <c r="E26" s="9" t="s">
        <v>12175</v>
      </c>
      <c r="F26" s="9"/>
      <c r="G26" s="10" t="str" cm="1">
        <f t="array" ref="G26">IF(D26="Время ухода с рабочего места",
   C26-
   LOOKUP(2,1/
      ((D$1:D25="Время прихода на рабочее место")*
       (E$1:E25=E26)*
       (B$1:B25=B26)),
   C$1:C25),
"")</f>
        <v/>
      </c>
      <c r="H26" s="9"/>
      <c r="I26" s="9" t="s">
        <v>12137</v>
      </c>
      <c r="J26" s="9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s="9" t="s">
        <v>12179</v>
      </c>
      <c r="E27" s="9" t="s">
        <v>12175</v>
      </c>
      <c r="F27" s="9"/>
      <c r="G27" s="10" cm="1">
        <f t="array" ref="G27">IF(D27="Время ухода с рабочего места",
   C27-
   LOOKUP(2,1/
      ((D$1:D26="Время прихода на рабочее место")*
       (E$1:E26=E27)*
       (B$1:B26=B27)),
   C$1:C26),
"")</f>
        <v>0.23019675925925931</v>
      </c>
      <c r="H27" s="9"/>
      <c r="I27" s="9" t="s">
        <v>12139</v>
      </c>
      <c r="J27" s="9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s="9" t="s">
        <v>12174</v>
      </c>
      <c r="E28" s="9" t="s">
        <v>12175</v>
      </c>
      <c r="F28" s="9"/>
      <c r="G28" s="10" t="str" cm="1">
        <f t="array" ref="G28">IF(D28="Время ухода с рабочего места",
   C28-
   LOOKUP(2,1/
      ((D$1:D27="Время прихода на рабочее место")*
       (E$1:E27=E28)*
       (B$1:B27=B28)),
   C$1:C27),
"")</f>
        <v/>
      </c>
      <c r="H28" s="9"/>
      <c r="I28" s="9" t="s">
        <v>12141</v>
      </c>
      <c r="J28" s="9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s="9" t="s">
        <v>12177</v>
      </c>
      <c r="E29" s="9" t="s">
        <v>12175</v>
      </c>
      <c r="F29" s="9"/>
      <c r="G29" s="10" t="str" cm="1">
        <f t="array" ref="G29">IF(D29="Время ухода с рабочего места",
   C29-
   LOOKUP(2,1/
      ((D$1:D28="Время прихода на рабочее место")*
       (E$1:E28=E29)*
       (B$1:B28=B29)),
   C$1:C28),
"")</f>
        <v/>
      </c>
      <c r="H29" s="9"/>
      <c r="I29" s="9" t="s">
        <v>12143</v>
      </c>
      <c r="J29" s="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s="9" t="s">
        <v>12179</v>
      </c>
      <c r="E30" s="9" t="s">
        <v>12175</v>
      </c>
      <c r="F30" s="9"/>
      <c r="G30" s="10" cm="1">
        <f t="array" ref="G30">IF(D30="Время ухода с рабочего места",
   C30-
   LOOKUP(2,1/
      ((D$1:D29="Время прихода на рабочее место")*
       (E$1:E29=E30)*
       (B$1:B29=B30)),
   C$1:C29),
"")</f>
        <v>0.14769675925925924</v>
      </c>
      <c r="H30" s="9"/>
      <c r="I30" s="9" t="s">
        <v>12146</v>
      </c>
      <c r="J30" s="9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s="9" t="s">
        <v>12174</v>
      </c>
      <c r="E31" s="9" t="s">
        <v>12175</v>
      </c>
      <c r="F31" s="9"/>
      <c r="G31" s="10" t="str" cm="1">
        <f t="array" ref="G31">IF(D31="Время ухода с рабочего места",
   C31-
   LOOKUP(2,1/
      ((D$1:D30="Время прихода на рабочее место")*
       (E$1:E30=E31)*
       (B$1:B30=B31)),
   C$1:C30),
"")</f>
        <v/>
      </c>
      <c r="H31" s="9"/>
      <c r="I31" s="9" t="s">
        <v>12149</v>
      </c>
      <c r="J31" s="9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s="9" t="s">
        <v>12177</v>
      </c>
      <c r="E32" s="9" t="s">
        <v>12175</v>
      </c>
      <c r="F32" s="9"/>
      <c r="G32" s="10" t="str" cm="1">
        <f t="array" ref="G32">IF(D32="Время ухода с рабочего места",
   C32-
   LOOKUP(2,1/
      ((D$1:D31="Время прихода на рабочее место")*
       (E$1:E31=E32)*
       (B$1:B31=B32)),
   C$1:C31),
"")</f>
        <v/>
      </c>
      <c r="H32" s="9"/>
      <c r="I32" s="9" t="s">
        <v>12152</v>
      </c>
      <c r="J32" s="9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s="9" t="s">
        <v>12182</v>
      </c>
      <c r="E33" s="9" t="s">
        <v>12175</v>
      </c>
      <c r="F33" s="9"/>
      <c r="G33" s="10" t="str" cm="1">
        <f t="array" ref="G33">IF(D33="Время ухода с рабочего места",
   C33-
   LOOKUP(2,1/
      ((D$1:D32="Время прихода на рабочее место")*
       (E$1:E32=E33)*
       (B$1:B32=B33)),
   C$1:C32),
"")</f>
        <v/>
      </c>
      <c r="H33" s="9"/>
      <c r="I33" s="9" t="s">
        <v>12155</v>
      </c>
      <c r="J33" s="9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s="9" t="s">
        <v>12</v>
      </c>
      <c r="E34" s="9" t="s">
        <v>12175</v>
      </c>
      <c r="F34" s="9"/>
      <c r="G34" s="10" t="str" cm="1">
        <f t="array" ref="G34">IF(D34="Время ухода с рабочего места",
   C34-
   LOOKUP(2,1/
      ((D$1:D33="Время прихода на рабочее место")*
       (E$1:E33=E34)*
       (B$1:B33=B34)),
   C$1:C33),
"")</f>
        <v/>
      </c>
      <c r="H34" s="9"/>
      <c r="I34" s="9" t="s">
        <v>12158</v>
      </c>
      <c r="J34" s="9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s="9" t="s">
        <v>12183</v>
      </c>
      <c r="E35" s="9" t="s">
        <v>12175</v>
      </c>
      <c r="F35" s="9"/>
      <c r="G35" s="10" t="str" cm="1">
        <f t="array" ref="G35">IF(D35="Время ухода с рабочего места",
   C35-
   LOOKUP(2,1/
      ((D$1:D34="Время прихода на рабочее место")*
       (E$1:E34=E35)*
       (B$1:B34=B35)),
   C$1:C34),
"")</f>
        <v/>
      </c>
      <c r="H35" s="9"/>
      <c r="I35" s="9" t="s">
        <v>12161</v>
      </c>
      <c r="J35" s="9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s="9" t="s">
        <v>12179</v>
      </c>
      <c r="E36" s="9" t="s">
        <v>12175</v>
      </c>
      <c r="F36" s="9"/>
      <c r="G36" s="10" cm="1">
        <f t="array" ref="G36">IF(D36="Время ухода с рабочего места",
   C36-
   LOOKUP(2,1/
      ((D$1:D35="Время прихода на рабочее место")*
       (E$1:E35=E36)*
       (B$1:B35=B36)),
   C$1:C35),
"")</f>
        <v>5.6435185185185088E-2</v>
      </c>
      <c r="H36" s="9"/>
      <c r="I36" s="9" t="s">
        <v>12164</v>
      </c>
      <c r="J36" s="9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s="9" t="s">
        <v>12174</v>
      </c>
      <c r="E37" s="9" t="s">
        <v>12175</v>
      </c>
      <c r="F37" s="9"/>
      <c r="G37" s="10" t="str" cm="1">
        <f t="array" ref="G37">IF(D37="Время ухода с рабочего места",
   C37-
   LOOKUP(2,1/
      ((D$1:D36="Время прихода на рабочее место")*
       (E$1:E36=E37)*
       (B$1:B36=B37)),
   C$1:C36),
"")</f>
        <v/>
      </c>
      <c r="H37" s="9"/>
      <c r="I37" s="9" t="s">
        <v>12166</v>
      </c>
      <c r="J37" s="9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s="9" t="s">
        <v>12183</v>
      </c>
      <c r="E38" s="9" t="s">
        <v>12175</v>
      </c>
      <c r="F38" s="9"/>
      <c r="G38" s="10" t="str" cm="1">
        <f t="array" ref="G38">IF(D38="Время ухода с рабочего места",
   C38-
   LOOKUP(2,1/
      ((D$1:D37="Время прихода на рабочее место")*
       (E$1:E37=E38)*
       (B$1:B37=B38)),
   C$1:C37),
"")</f>
        <v/>
      </c>
      <c r="H38" s="9"/>
      <c r="I38" s="9" t="s">
        <v>12169</v>
      </c>
      <c r="J38" s="9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s="9" t="s">
        <v>12179</v>
      </c>
      <c r="E39" s="9" t="s">
        <v>12175</v>
      </c>
      <c r="F39" s="9"/>
      <c r="G39" s="10" cm="1">
        <f t="array" ref="G39">IF(D39="Время ухода с рабочего места",
   C39-
   LOOKUP(2,1/
      ((D$1:D38="Время прихода на рабочее место")*
       (E$1:E38=E39)*
       (B$1:B38=B39)),
   C$1:C38),
"")</f>
        <v>4.8437499999999911E-2</v>
      </c>
      <c r="H39" s="9"/>
      <c r="I39" s="9" t="s">
        <v>12171</v>
      </c>
      <c r="J39" s="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709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708" priority="13" operator="notContains" text="порожний">
      <formula>ISERROR(SEARCH("порожний",F2))</formula>
    </cfRule>
  </conditionalFormatting>
  <conditionalFormatting sqref="E2:E53">
    <cfRule type="containsText" dxfId="707" priority="11" operator="containsText" text="Газель базы">
      <formula>NOT(ISERROR(SEARCH("Газель базы",E2)))</formula>
    </cfRule>
    <cfRule type="containsText" dxfId="706" priority="12" operator="containsText" text="Погрузчик базы">
      <formula>NOT(ISERROR(SEARCH("Погрузчик базы",E2)))</formula>
    </cfRule>
  </conditionalFormatting>
  <conditionalFormatting sqref="E2:E53">
    <cfRule type="containsText" dxfId="705" priority="10" operator="containsText" text="Трактор базы">
      <formula>NOT(ISERROR(SEARCH("Трактор базы",E2)))</formula>
    </cfRule>
  </conditionalFormatting>
  <conditionalFormatting sqref="A2:C39">
    <cfRule type="expression" dxfId="704" priority="9">
      <formula>$A2="пн"</formula>
    </cfRule>
  </conditionalFormatting>
  <conditionalFormatting sqref="A2:C41">
    <cfRule type="expression" dxfId="703" priority="3">
      <formula>$A2="вс"</formula>
    </cfRule>
    <cfRule type="expression" dxfId="702" priority="4">
      <formula>$A2="сб"</formula>
    </cfRule>
    <cfRule type="expression" dxfId="701" priority="5">
      <formula>$A2="пт"</formula>
    </cfRule>
    <cfRule type="expression" dxfId="700" priority="6">
      <formula>$A2="чт"</formula>
    </cfRule>
    <cfRule type="expression" dxfId="699" priority="7">
      <formula>$A2="ср"</formula>
    </cfRule>
    <cfRule type="expression" dxfId="698" priority="8">
      <formula>$A2="вт"</formula>
    </cfRule>
  </conditionalFormatting>
  <conditionalFormatting sqref="D2:D50">
    <cfRule type="containsText" dxfId="6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6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872"/>
  <sheetViews>
    <sheetView topLeftCell="A3835" zoomScale="90" zoomScaleNormal="90" workbookViewId="0">
      <selection activeCell="C3851" sqref="C385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2965</v>
      </c>
      <c r="F895" t="s">
        <v>2833</v>
      </c>
      <c r="G895" s="1" t="s">
        <v>1603</v>
      </c>
    </row>
    <row r="896" spans="1:7" x14ac:dyDescent="0.25">
      <c r="A896" t="s">
        <v>2965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x14ac:dyDescent="0.25">
      <c r="A1029" t="s">
        <v>2004</v>
      </c>
      <c r="F1029" t="s">
        <v>3351</v>
      </c>
      <c r="G1029" t="s">
        <v>91</v>
      </c>
    </row>
    <row r="1030" spans="1:7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x14ac:dyDescent="0.25">
      <c r="A1033" t="s">
        <v>2004</v>
      </c>
      <c r="F1033" t="s">
        <v>3363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x14ac:dyDescent="0.25">
      <c r="A1035" t="s">
        <v>2004</v>
      </c>
      <c r="F1035" t="s">
        <v>3369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x14ac:dyDescent="0.25">
      <c r="A1080" t="s">
        <v>4212</v>
      </c>
      <c r="F1080" t="s">
        <v>4213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x14ac:dyDescent="0.25">
      <c r="A1299" t="s">
        <v>7</v>
      </c>
      <c r="F1299" t="s">
        <v>4127</v>
      </c>
      <c r="G1299" t="s">
        <v>1934</v>
      </c>
    </row>
    <row r="1300" spans="1:7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x14ac:dyDescent="0.25">
      <c r="A1322" t="s">
        <v>2004</v>
      </c>
      <c r="F1322" t="s">
        <v>4258</v>
      </c>
      <c r="G1322" t="s">
        <v>1103</v>
      </c>
    </row>
    <row r="1323" spans="1:7" x14ac:dyDescent="0.25">
      <c r="A1323" t="s">
        <v>2004</v>
      </c>
      <c r="F1323" t="s">
        <v>4261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x14ac:dyDescent="0.25">
      <c r="A1326" t="s">
        <v>2004</v>
      </c>
      <c r="F1326" t="s">
        <v>4270</v>
      </c>
      <c r="G1326" t="s">
        <v>1105</v>
      </c>
    </row>
    <row r="1327" spans="1:7" x14ac:dyDescent="0.25">
      <c r="A1327" t="s">
        <v>2004</v>
      </c>
      <c r="F1327" t="s">
        <v>4273</v>
      </c>
      <c r="G1327" t="s">
        <v>1106</v>
      </c>
    </row>
    <row r="1328" spans="1:7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x14ac:dyDescent="0.25">
      <c r="A1330" t="s">
        <v>2004</v>
      </c>
      <c r="F1330" t="s">
        <v>4282</v>
      </c>
      <c r="G1330" t="s">
        <v>1100</v>
      </c>
    </row>
    <row r="1331" spans="1:7" x14ac:dyDescent="0.25">
      <c r="A1331" t="s">
        <v>2004</v>
      </c>
      <c r="F1331" t="s">
        <v>4285</v>
      </c>
      <c r="G1331" s="1" t="s">
        <v>1603</v>
      </c>
    </row>
    <row r="1332" spans="1:7" x14ac:dyDescent="0.25">
      <c r="A1332" t="s">
        <v>2004</v>
      </c>
      <c r="F1332" t="s">
        <v>4288</v>
      </c>
      <c r="G1332" t="s">
        <v>1817</v>
      </c>
    </row>
    <row r="1333" spans="1:7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x14ac:dyDescent="0.25">
      <c r="A1341" t="s">
        <v>2004</v>
      </c>
      <c r="F1341" t="s">
        <v>4420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x14ac:dyDescent="0.25">
      <c r="A1350" t="s">
        <v>2004</v>
      </c>
      <c r="F1350" t="s">
        <v>4447</v>
      </c>
      <c r="G1350" t="s">
        <v>1102</v>
      </c>
    </row>
    <row r="1351" spans="1:7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x14ac:dyDescent="0.25">
      <c r="A1384" t="s">
        <v>2004</v>
      </c>
      <c r="F1384" t="s">
        <v>4399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x14ac:dyDescent="0.25">
      <c r="A1391" t="s">
        <v>2004</v>
      </c>
      <c r="F1391" t="s">
        <v>4573</v>
      </c>
      <c r="G1391" t="s">
        <v>91</v>
      </c>
    </row>
    <row r="1392" spans="1:7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x14ac:dyDescent="0.25">
      <c r="A1423" t="s">
        <v>5105</v>
      </c>
      <c r="F1423" t="s">
        <v>4534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x14ac:dyDescent="0.25">
      <c r="A1430" t="s">
        <v>2004</v>
      </c>
      <c r="F1430" t="s">
        <v>4555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x14ac:dyDescent="0.25">
      <c r="A1471" t="s">
        <v>5134</v>
      </c>
      <c r="F1471" t="s">
        <v>5068</v>
      </c>
      <c r="G1471" t="s">
        <v>1107</v>
      </c>
    </row>
    <row r="1472" spans="1:7" x14ac:dyDescent="0.25">
      <c r="A1472" t="s">
        <v>2004</v>
      </c>
      <c r="F1472" t="s">
        <v>5071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x14ac:dyDescent="0.25">
      <c r="A1573" t="s">
        <v>2004</v>
      </c>
      <c r="F1573" t="s">
        <v>4900</v>
      </c>
      <c r="G1573" t="s">
        <v>1817</v>
      </c>
    </row>
    <row r="1574" spans="1:7" x14ac:dyDescent="0.25">
      <c r="A1574" t="s">
        <v>2004</v>
      </c>
      <c r="F1574" t="s">
        <v>4903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x14ac:dyDescent="0.25">
      <c r="A1577" t="s">
        <v>2004</v>
      </c>
      <c r="F1577" t="s">
        <v>4912</v>
      </c>
      <c r="G1577" t="s">
        <v>1817</v>
      </c>
    </row>
    <row r="1578" spans="1:7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x14ac:dyDescent="0.25">
      <c r="A1579" t="s">
        <v>2004</v>
      </c>
      <c r="F1579" t="s">
        <v>4918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x14ac:dyDescent="0.25">
      <c r="A1608" t="s">
        <v>2004</v>
      </c>
      <c r="F1608" t="s">
        <v>5196</v>
      </c>
      <c r="G1608" t="s">
        <v>1103</v>
      </c>
    </row>
    <row r="1609" spans="1:7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x14ac:dyDescent="0.25">
      <c r="A1621" t="s">
        <v>2004</v>
      </c>
      <c r="F1621" t="s">
        <v>5229</v>
      </c>
      <c r="G1621" t="s">
        <v>1107</v>
      </c>
    </row>
    <row r="1622" spans="1:7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x14ac:dyDescent="0.25">
      <c r="A1678" t="s">
        <v>2004</v>
      </c>
      <c r="F1678" t="s">
        <v>5279</v>
      </c>
      <c r="G1678" t="s">
        <v>91</v>
      </c>
    </row>
    <row r="1679" spans="1:7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x14ac:dyDescent="0.25">
      <c r="A1691" t="s">
        <v>5136</v>
      </c>
      <c r="F1691" t="s">
        <v>5337</v>
      </c>
      <c r="G1691" t="s">
        <v>1100</v>
      </c>
    </row>
    <row r="1692" spans="1:7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x14ac:dyDescent="0.25">
      <c r="A1798" t="s">
        <v>794</v>
      </c>
      <c r="F1798" t="s">
        <v>5723</v>
      </c>
      <c r="G1798" t="s">
        <v>796</v>
      </c>
    </row>
    <row r="1799" spans="1:7" x14ac:dyDescent="0.25">
      <c r="A1799" t="s">
        <v>794</v>
      </c>
      <c r="F1799" t="s">
        <v>5726</v>
      </c>
      <c r="G1799" t="s">
        <v>796</v>
      </c>
    </row>
    <row r="1800" spans="1:7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x14ac:dyDescent="0.25">
      <c r="A1818" t="s">
        <v>6178</v>
      </c>
      <c r="F1818" t="s">
        <v>5590</v>
      </c>
      <c r="G1818" t="s">
        <v>1100</v>
      </c>
    </row>
    <row r="1819" spans="1:7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x14ac:dyDescent="0.25">
      <c r="A1824" t="s">
        <v>6178</v>
      </c>
      <c r="F1824" t="s">
        <v>5608</v>
      </c>
      <c r="G1824" t="s">
        <v>1100</v>
      </c>
    </row>
    <row r="1825" spans="1:7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x14ac:dyDescent="0.25">
      <c r="A1988" t="s">
        <v>4212</v>
      </c>
      <c r="F1988" t="s">
        <v>6330</v>
      </c>
      <c r="G1988" t="s">
        <v>1107</v>
      </c>
    </row>
    <row r="1989" spans="1:7" x14ac:dyDescent="0.25">
      <c r="A1989" t="s">
        <v>4212</v>
      </c>
      <c r="F1989" t="s">
        <v>6333</v>
      </c>
      <c r="G1989" t="s">
        <v>1107</v>
      </c>
    </row>
    <row r="1990" spans="1:7" x14ac:dyDescent="0.25">
      <c r="A1990" t="s">
        <v>4212</v>
      </c>
      <c r="F1990" t="s">
        <v>6336</v>
      </c>
      <c r="G1990" t="s">
        <v>1107</v>
      </c>
    </row>
    <row r="1991" spans="1:7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x14ac:dyDescent="0.25">
      <c r="A2091" t="s">
        <v>2004</v>
      </c>
      <c r="F2091" t="s">
        <v>6664</v>
      </c>
      <c r="G2091" t="s">
        <v>1102</v>
      </c>
    </row>
    <row r="2092" spans="1:7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x14ac:dyDescent="0.25">
      <c r="A2093" t="s">
        <v>6865</v>
      </c>
      <c r="F2093" t="s">
        <v>6670</v>
      </c>
      <c r="G2093" t="s">
        <v>1102</v>
      </c>
    </row>
    <row r="2094" spans="1:7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x14ac:dyDescent="0.25">
      <c r="A2161" t="s">
        <v>2004</v>
      </c>
      <c r="F2161" t="s">
        <v>6899</v>
      </c>
      <c r="G2161" t="s">
        <v>1102</v>
      </c>
    </row>
    <row r="2162" spans="1:7" x14ac:dyDescent="0.25">
      <c r="A2162" t="s">
        <v>2004</v>
      </c>
      <c r="F2162" t="s">
        <v>6902</v>
      </c>
      <c r="G2162" t="s">
        <v>1102</v>
      </c>
    </row>
    <row r="2163" spans="1:7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x14ac:dyDescent="0.25">
      <c r="A2184" t="s">
        <v>4212</v>
      </c>
      <c r="F2184" t="s">
        <v>7160</v>
      </c>
      <c r="G2184" t="s">
        <v>1107</v>
      </c>
    </row>
    <row r="2185" spans="1:7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x14ac:dyDescent="0.25">
      <c r="A2188" t="s">
        <v>7166</v>
      </c>
      <c r="F2188" t="s">
        <v>6938</v>
      </c>
      <c r="G2188" t="s">
        <v>796</v>
      </c>
    </row>
    <row r="2189" spans="1:7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x14ac:dyDescent="0.25">
      <c r="A2257" t="s">
        <v>2004</v>
      </c>
      <c r="F2257" t="s">
        <v>7175</v>
      </c>
      <c r="G2257" t="s">
        <v>1102</v>
      </c>
    </row>
    <row r="2258" spans="1:7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x14ac:dyDescent="0.25">
      <c r="A2338" t="s">
        <v>2004</v>
      </c>
      <c r="F2338" t="s">
        <v>7418</v>
      </c>
      <c r="G2338" t="s">
        <v>1102</v>
      </c>
    </row>
    <row r="2339" spans="1:7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x14ac:dyDescent="0.25">
      <c r="A2548" t="s">
        <v>2004</v>
      </c>
      <c r="F2548" t="s">
        <v>8072</v>
      </c>
      <c r="G2548" t="s">
        <v>1102</v>
      </c>
    </row>
    <row r="2549" spans="1:7" x14ac:dyDescent="0.25">
      <c r="A2549" t="s">
        <v>2004</v>
      </c>
      <c r="F2549" t="s">
        <v>8075</v>
      </c>
      <c r="G2549" t="s">
        <v>1102</v>
      </c>
    </row>
    <row r="2550" spans="1:7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x14ac:dyDescent="0.25">
      <c r="A2579" t="s">
        <v>7166</v>
      </c>
      <c r="F2579" t="s">
        <v>8144</v>
      </c>
      <c r="G2579" t="s">
        <v>796</v>
      </c>
    </row>
    <row r="2580" spans="1:7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x14ac:dyDescent="0.25">
      <c r="A2640" t="s">
        <v>2004</v>
      </c>
      <c r="F2640" t="s">
        <v>8372</v>
      </c>
      <c r="G2640" t="s">
        <v>1102</v>
      </c>
    </row>
    <row r="2641" spans="1:7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x14ac:dyDescent="0.25">
      <c r="A2643" t="s">
        <v>2004</v>
      </c>
      <c r="F2643" t="s">
        <v>8381</v>
      </c>
      <c r="G2643" t="s">
        <v>1102</v>
      </c>
    </row>
    <row r="2644" spans="1:7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x14ac:dyDescent="0.25">
      <c r="A2680" t="s">
        <v>2004</v>
      </c>
      <c r="F2680" t="s">
        <v>8505</v>
      </c>
      <c r="G2680" t="s">
        <v>1102</v>
      </c>
    </row>
    <row r="2681" spans="1:7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x14ac:dyDescent="0.25">
      <c r="A2683" t="s">
        <v>2004</v>
      </c>
      <c r="F2683" t="s">
        <v>8514</v>
      </c>
      <c r="G2683" t="s">
        <v>1102</v>
      </c>
    </row>
    <row r="2684" spans="1:7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x14ac:dyDescent="0.25">
      <c r="A2694" t="s">
        <v>2004</v>
      </c>
      <c r="F2694" t="s">
        <v>8547</v>
      </c>
      <c r="G2694" t="s">
        <v>1102</v>
      </c>
    </row>
    <row r="2695" spans="1:7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x14ac:dyDescent="0.25">
      <c r="A2921" t="s">
        <v>2004</v>
      </c>
      <c r="F2921" t="s">
        <v>9249</v>
      </c>
      <c r="G2921" t="s">
        <v>1102</v>
      </c>
    </row>
    <row r="2922" spans="1:7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x14ac:dyDescent="0.25">
      <c r="A3038" t="s">
        <v>2004</v>
      </c>
      <c r="F3038" t="s">
        <v>9609</v>
      </c>
      <c r="G3038" t="s">
        <v>1102</v>
      </c>
    </row>
    <row r="3039" spans="1:7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x14ac:dyDescent="0.25">
      <c r="A3072" t="s">
        <v>2004</v>
      </c>
      <c r="F3072" t="s">
        <v>9708</v>
      </c>
      <c r="G3072" t="s">
        <v>1102</v>
      </c>
    </row>
    <row r="3073" spans="1:7" x14ac:dyDescent="0.25">
      <c r="A3073" t="s">
        <v>2004</v>
      </c>
      <c r="F3073" t="s">
        <v>9711</v>
      </c>
      <c r="G3073" t="s">
        <v>1102</v>
      </c>
    </row>
    <row r="3074" spans="1:7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x14ac:dyDescent="0.25">
      <c r="A3145" t="s">
        <v>2004</v>
      </c>
      <c r="F3145" t="s">
        <v>9927</v>
      </c>
      <c r="G3145" t="s">
        <v>1102</v>
      </c>
    </row>
    <row r="3146" spans="1:7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x14ac:dyDescent="0.25">
      <c r="A3316" t="s">
        <v>2004</v>
      </c>
      <c r="F3316" t="s">
        <v>10452</v>
      </c>
      <c r="G3316" t="s">
        <v>1102</v>
      </c>
    </row>
    <row r="3317" spans="1:7" x14ac:dyDescent="0.25">
      <c r="A3317" t="s">
        <v>2004</v>
      </c>
      <c r="F3317" t="s">
        <v>10455</v>
      </c>
      <c r="G3317" t="s">
        <v>1102</v>
      </c>
    </row>
    <row r="3318" spans="1:7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x14ac:dyDescent="0.25">
      <c r="A3343" t="s">
        <v>2004</v>
      </c>
      <c r="F3343" t="s">
        <v>10534</v>
      </c>
      <c r="G3343" t="s">
        <v>1102</v>
      </c>
    </row>
    <row r="3344" spans="1:7" x14ac:dyDescent="0.25">
      <c r="A3344" t="s">
        <v>2004</v>
      </c>
      <c r="F3344" t="s">
        <v>10537</v>
      </c>
      <c r="G3344" t="s">
        <v>1102</v>
      </c>
    </row>
    <row r="3345" spans="1:7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x14ac:dyDescent="0.25">
      <c r="A3379" t="s">
        <v>2004</v>
      </c>
      <c r="F3379" t="s">
        <v>10716</v>
      </c>
      <c r="G3379" t="s">
        <v>1102</v>
      </c>
    </row>
    <row r="3380" spans="1:7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x14ac:dyDescent="0.25">
      <c r="A3502" t="s">
        <v>2004</v>
      </c>
      <c r="F3502" t="s">
        <v>11019</v>
      </c>
      <c r="G3502" t="s">
        <v>1102</v>
      </c>
    </row>
    <row r="3503" spans="1:7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x14ac:dyDescent="0.25">
      <c r="A3535" t="s">
        <v>11138</v>
      </c>
      <c r="F3535" t="s">
        <v>11135</v>
      </c>
      <c r="G3535" t="s">
        <v>1817</v>
      </c>
    </row>
    <row r="3536" spans="1:7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x14ac:dyDescent="0.25">
      <c r="A3540" t="s">
        <v>2004</v>
      </c>
      <c r="F3540" t="s">
        <v>11145</v>
      </c>
      <c r="G3540" t="s">
        <v>1102</v>
      </c>
    </row>
    <row r="3541" spans="1:7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x14ac:dyDescent="0.25">
      <c r="A3633" t="s">
        <v>2004</v>
      </c>
      <c r="F3633" t="s">
        <v>11448</v>
      </c>
      <c r="G3633" t="s">
        <v>1102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x14ac:dyDescent="0.25">
      <c r="A3640" t="s">
        <v>2004</v>
      </c>
      <c r="F3640" t="s">
        <v>11469</v>
      </c>
      <c r="G3640" t="s">
        <v>1102</v>
      </c>
    </row>
    <row r="3641" spans="1:7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x14ac:dyDescent="0.25">
      <c r="A3709" t="s">
        <v>2004</v>
      </c>
      <c r="F3709" t="s">
        <v>11688</v>
      </c>
      <c r="G3709" t="s">
        <v>1102</v>
      </c>
    </row>
    <row r="3710" spans="1:7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x14ac:dyDescent="0.25">
      <c r="A3767" t="s">
        <v>11960</v>
      </c>
      <c r="F3767" t="s">
        <v>11936</v>
      </c>
      <c r="G3767" t="s">
        <v>1106</v>
      </c>
    </row>
    <row r="3768" spans="1:7" x14ac:dyDescent="0.25">
      <c r="A3768" t="s">
        <v>11961</v>
      </c>
      <c r="F3768" t="s">
        <v>11939</v>
      </c>
      <c r="G3768" t="s">
        <v>1106</v>
      </c>
    </row>
    <row r="3769" spans="1:7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x14ac:dyDescent="0.25">
      <c r="A3778" t="s">
        <v>11961</v>
      </c>
      <c r="F3778" t="s">
        <v>11796</v>
      </c>
      <c r="G3778" t="s">
        <v>1107</v>
      </c>
    </row>
    <row r="3779" spans="1:7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x14ac:dyDescent="0.25">
      <c r="A3790" t="s">
        <v>11961</v>
      </c>
      <c r="F3790" t="s">
        <v>11832</v>
      </c>
      <c r="G3790" t="s">
        <v>1934</v>
      </c>
    </row>
    <row r="3791" spans="1:7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x14ac:dyDescent="0.25">
      <c r="A3832" t="s">
        <v>12</v>
      </c>
      <c r="F3832" t="s">
        <v>12049</v>
      </c>
      <c r="G3832" t="s">
        <v>1934</v>
      </c>
    </row>
    <row r="3833" spans="1:7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x14ac:dyDescent="0.25">
      <c r="A3835" t="s">
        <v>12174</v>
      </c>
      <c r="B3835" t="s">
        <v>12175</v>
      </c>
      <c r="D3835" s="10"/>
      <c r="F3835" s="9" t="s">
        <v>12093</v>
      </c>
      <c r="G3835" t="s">
        <v>12173</v>
      </c>
    </row>
    <row r="3836" spans="1:7" x14ac:dyDescent="0.25">
      <c r="A3836" t="s">
        <v>12174</v>
      </c>
      <c r="B3836" t="s">
        <v>12176</v>
      </c>
      <c r="D3836" s="10"/>
      <c r="F3836" s="9" t="s">
        <v>12095</v>
      </c>
      <c r="G3836" t="s">
        <v>12173</v>
      </c>
    </row>
    <row r="3837" spans="1:7" x14ac:dyDescent="0.25">
      <c r="A3837" t="s">
        <v>12177</v>
      </c>
      <c r="B3837" t="s">
        <v>12178</v>
      </c>
      <c r="D3837" s="10"/>
      <c r="F3837" s="9" t="s">
        <v>12097</v>
      </c>
      <c r="G3837" t="s">
        <v>12173</v>
      </c>
    </row>
    <row r="3838" spans="1:7" x14ac:dyDescent="0.25">
      <c r="A3838" t="s">
        <v>12177</v>
      </c>
      <c r="B3838" t="s">
        <v>12178</v>
      </c>
      <c r="D3838" s="10"/>
      <c r="F3838" s="9" t="s">
        <v>12099</v>
      </c>
      <c r="G3838" t="s">
        <v>12173</v>
      </c>
    </row>
    <row r="3839" spans="1:7" x14ac:dyDescent="0.25">
      <c r="A3839" t="s">
        <v>12179</v>
      </c>
      <c r="B3839" t="s">
        <v>12175</v>
      </c>
      <c r="D3839" s="10"/>
      <c r="F3839" s="9" t="s">
        <v>12101</v>
      </c>
      <c r="G3839" t="s">
        <v>12173</v>
      </c>
    </row>
    <row r="3840" spans="1:7" x14ac:dyDescent="0.25">
      <c r="A3840" t="s">
        <v>12179</v>
      </c>
      <c r="B3840" t="s">
        <v>12176</v>
      </c>
      <c r="D3840" s="10"/>
      <c r="F3840" s="9" t="s">
        <v>12101</v>
      </c>
      <c r="G3840" t="s">
        <v>12173</v>
      </c>
    </row>
    <row r="3841" spans="1:7" x14ac:dyDescent="0.25">
      <c r="A3841" t="s">
        <v>12174</v>
      </c>
      <c r="B3841" t="s">
        <v>12175</v>
      </c>
      <c r="D3841" s="10"/>
      <c r="F3841" s="9" t="s">
        <v>12103</v>
      </c>
      <c r="G3841" t="s">
        <v>12173</v>
      </c>
    </row>
    <row r="3842" spans="1:7" x14ac:dyDescent="0.25">
      <c r="A3842" t="s">
        <v>12177</v>
      </c>
      <c r="B3842" t="s">
        <v>12175</v>
      </c>
      <c r="D3842" s="10"/>
      <c r="F3842" s="9" t="s">
        <v>12105</v>
      </c>
      <c r="G3842" t="s">
        <v>12173</v>
      </c>
    </row>
    <row r="3843" spans="1:7" x14ac:dyDescent="0.25">
      <c r="A3843" t="s">
        <v>12174</v>
      </c>
      <c r="B3843" t="s">
        <v>12176</v>
      </c>
      <c r="D3843" s="10"/>
      <c r="F3843" s="9" t="s">
        <v>12107</v>
      </c>
      <c r="G3843" t="s">
        <v>12173</v>
      </c>
    </row>
    <row r="3844" spans="1:7" x14ac:dyDescent="0.25">
      <c r="A3844" t="s">
        <v>12177</v>
      </c>
      <c r="B3844" t="s">
        <v>12178</v>
      </c>
      <c r="D3844" s="10"/>
      <c r="F3844" s="9" t="s">
        <v>12109</v>
      </c>
      <c r="G3844" t="s">
        <v>12173</v>
      </c>
    </row>
    <row r="3845" spans="1:7" x14ac:dyDescent="0.25">
      <c r="A3845" t="s">
        <v>12179</v>
      </c>
      <c r="B3845" t="s">
        <v>12176</v>
      </c>
      <c r="D3845" s="10"/>
      <c r="F3845" s="9" t="s">
        <v>12111</v>
      </c>
      <c r="G3845" t="s">
        <v>12173</v>
      </c>
    </row>
    <row r="3846" spans="1:7" x14ac:dyDescent="0.25">
      <c r="A3846" t="s">
        <v>12174</v>
      </c>
      <c r="B3846" t="s">
        <v>12176</v>
      </c>
      <c r="D3846" s="10"/>
      <c r="F3846" s="9" t="s">
        <v>12113</v>
      </c>
      <c r="G3846" t="s">
        <v>12173</v>
      </c>
    </row>
    <row r="3847" spans="1:7" x14ac:dyDescent="0.25">
      <c r="A3847" t="s">
        <v>12177</v>
      </c>
      <c r="B3847" t="s">
        <v>12178</v>
      </c>
      <c r="D3847" s="10"/>
      <c r="F3847" s="9" t="s">
        <v>12115</v>
      </c>
      <c r="G3847" t="s">
        <v>12173</v>
      </c>
    </row>
    <row r="3848" spans="1:7" x14ac:dyDescent="0.25">
      <c r="A3848" t="s">
        <v>12179</v>
      </c>
      <c r="B3848" t="s">
        <v>12176</v>
      </c>
      <c r="D3848" s="10"/>
      <c r="F3848" s="9" t="s">
        <v>12117</v>
      </c>
      <c r="G3848" t="s">
        <v>12173</v>
      </c>
    </row>
    <row r="3849" spans="1:7" x14ac:dyDescent="0.25">
      <c r="A3849" t="s">
        <v>12174</v>
      </c>
      <c r="B3849" t="s">
        <v>12176</v>
      </c>
      <c r="D3849" s="10"/>
      <c r="F3849" s="9" t="s">
        <v>12119</v>
      </c>
      <c r="G3849" t="s">
        <v>12173</v>
      </c>
    </row>
    <row r="3850" spans="1:7" x14ac:dyDescent="0.25">
      <c r="A3850" t="s">
        <v>12177</v>
      </c>
      <c r="B3850" t="s">
        <v>12178</v>
      </c>
      <c r="D3850" s="10"/>
      <c r="F3850" s="9" t="s">
        <v>12121</v>
      </c>
      <c r="G3850" t="s">
        <v>12173</v>
      </c>
    </row>
    <row r="3851" spans="1:7" x14ac:dyDescent="0.25">
      <c r="A3851" t="s">
        <v>12179</v>
      </c>
      <c r="B3851" t="s">
        <v>12176</v>
      </c>
      <c r="D3851" s="10"/>
      <c r="F3851" s="9" t="s">
        <v>12123</v>
      </c>
      <c r="G3851" t="s">
        <v>12173</v>
      </c>
    </row>
    <row r="3852" spans="1:7" x14ac:dyDescent="0.25">
      <c r="A3852" t="s">
        <v>12179</v>
      </c>
      <c r="B3852" t="s">
        <v>12175</v>
      </c>
      <c r="D3852" s="10"/>
      <c r="E3852" t="s">
        <v>12181</v>
      </c>
      <c r="F3852" s="9" t="s">
        <v>12072</v>
      </c>
      <c r="G3852" t="s">
        <v>12173</v>
      </c>
    </row>
    <row r="3853" spans="1:7" x14ac:dyDescent="0.25">
      <c r="A3853" t="s">
        <v>12174</v>
      </c>
      <c r="B3853" t="s">
        <v>12178</v>
      </c>
      <c r="D3853" s="10"/>
      <c r="F3853" s="9" t="s">
        <v>12125</v>
      </c>
      <c r="G3853" t="s">
        <v>12173</v>
      </c>
    </row>
    <row r="3854" spans="1:7" x14ac:dyDescent="0.25">
      <c r="A3854" t="s">
        <v>12177</v>
      </c>
      <c r="B3854" t="s">
        <v>12178</v>
      </c>
      <c r="D3854" s="10"/>
      <c r="F3854" s="9" t="s">
        <v>12127</v>
      </c>
      <c r="G3854" t="s">
        <v>12173</v>
      </c>
    </row>
    <row r="3855" spans="1:7" x14ac:dyDescent="0.25">
      <c r="A3855" t="s">
        <v>12179</v>
      </c>
      <c r="B3855" t="s">
        <v>12176</v>
      </c>
      <c r="D3855" s="10"/>
      <c r="F3855" s="9" t="s">
        <v>12129</v>
      </c>
      <c r="G3855" t="s">
        <v>12173</v>
      </c>
    </row>
    <row r="3856" spans="1:7" x14ac:dyDescent="0.25">
      <c r="A3856" t="s">
        <v>12174</v>
      </c>
      <c r="B3856" t="s">
        <v>12176</v>
      </c>
      <c r="D3856" s="10"/>
      <c r="E3856" t="s">
        <v>12180</v>
      </c>
      <c r="F3856" s="9" t="s">
        <v>12131</v>
      </c>
      <c r="G3856" t="s">
        <v>12173</v>
      </c>
    </row>
    <row r="3857" spans="1:7" x14ac:dyDescent="0.25">
      <c r="A3857" t="s">
        <v>12177</v>
      </c>
      <c r="B3857" t="s">
        <v>12178</v>
      </c>
      <c r="D3857" s="10"/>
      <c r="F3857" s="9" t="s">
        <v>12133</v>
      </c>
      <c r="G3857" t="s">
        <v>12173</v>
      </c>
    </row>
    <row r="3858" spans="1:7" x14ac:dyDescent="0.25">
      <c r="A3858" t="s">
        <v>12179</v>
      </c>
      <c r="B3858" t="s">
        <v>12176</v>
      </c>
      <c r="D3858" s="10"/>
      <c r="F3858" s="9" t="s">
        <v>12135</v>
      </c>
      <c r="G3858" t="s">
        <v>12173</v>
      </c>
    </row>
    <row r="3859" spans="1:7" x14ac:dyDescent="0.25">
      <c r="A3859" t="s">
        <v>12177</v>
      </c>
      <c r="B3859" t="s">
        <v>12175</v>
      </c>
      <c r="D3859" s="10"/>
      <c r="F3859" s="9" t="s">
        <v>12137</v>
      </c>
      <c r="G3859" t="s">
        <v>12173</v>
      </c>
    </row>
    <row r="3860" spans="1:7" x14ac:dyDescent="0.25">
      <c r="A3860" t="s">
        <v>12179</v>
      </c>
      <c r="B3860" t="s">
        <v>12175</v>
      </c>
      <c r="D3860" s="10"/>
      <c r="F3860" s="9" t="s">
        <v>12139</v>
      </c>
      <c r="G3860" t="s">
        <v>12173</v>
      </c>
    </row>
    <row r="3861" spans="1:7" x14ac:dyDescent="0.25">
      <c r="A3861" t="s">
        <v>12174</v>
      </c>
      <c r="B3861" t="s">
        <v>12175</v>
      </c>
      <c r="D3861" s="10"/>
      <c r="F3861" s="9" t="s">
        <v>12141</v>
      </c>
      <c r="G3861" t="s">
        <v>12173</v>
      </c>
    </row>
    <row r="3862" spans="1:7" x14ac:dyDescent="0.25">
      <c r="A3862" t="s">
        <v>12177</v>
      </c>
      <c r="B3862" t="s">
        <v>12175</v>
      </c>
      <c r="D3862" s="10"/>
      <c r="F3862" s="9" t="s">
        <v>12143</v>
      </c>
      <c r="G3862" t="s">
        <v>12173</v>
      </c>
    </row>
    <row r="3863" spans="1:7" x14ac:dyDescent="0.25">
      <c r="A3863" t="s">
        <v>12179</v>
      </c>
      <c r="B3863" t="s">
        <v>12175</v>
      </c>
      <c r="D3863" s="10"/>
      <c r="F3863" s="9" t="s">
        <v>12146</v>
      </c>
      <c r="G3863" t="s">
        <v>12173</v>
      </c>
    </row>
    <row r="3864" spans="1:7" x14ac:dyDescent="0.25">
      <c r="A3864" t="s">
        <v>12174</v>
      </c>
      <c r="B3864" t="s">
        <v>12175</v>
      </c>
      <c r="D3864" s="10"/>
      <c r="F3864" s="9" t="s">
        <v>12149</v>
      </c>
      <c r="G3864" t="s">
        <v>12173</v>
      </c>
    </row>
    <row r="3865" spans="1:7" x14ac:dyDescent="0.25">
      <c r="A3865" t="s">
        <v>12177</v>
      </c>
      <c r="B3865" t="s">
        <v>12175</v>
      </c>
      <c r="D3865" s="10"/>
      <c r="F3865" s="9" t="s">
        <v>12152</v>
      </c>
      <c r="G3865" t="s">
        <v>12173</v>
      </c>
    </row>
    <row r="3866" spans="1:7" x14ac:dyDescent="0.25">
      <c r="A3866" t="s">
        <v>12182</v>
      </c>
      <c r="B3866" t="s">
        <v>12175</v>
      </c>
      <c r="D3866" s="10"/>
      <c r="F3866" s="9" t="s">
        <v>12155</v>
      </c>
      <c r="G3866" t="s">
        <v>12173</v>
      </c>
    </row>
    <row r="3867" spans="1:7" x14ac:dyDescent="0.25">
      <c r="A3867" t="s">
        <v>12</v>
      </c>
      <c r="B3867" t="s">
        <v>12175</v>
      </c>
      <c r="D3867" s="10"/>
      <c r="F3867" s="9" t="s">
        <v>12158</v>
      </c>
      <c r="G3867" t="s">
        <v>12173</v>
      </c>
    </row>
    <row r="3868" spans="1:7" x14ac:dyDescent="0.25">
      <c r="A3868" t="s">
        <v>12183</v>
      </c>
      <c r="B3868" t="s">
        <v>12175</v>
      </c>
      <c r="D3868" s="10"/>
      <c r="F3868" s="9" t="s">
        <v>12161</v>
      </c>
      <c r="G3868" t="s">
        <v>12173</v>
      </c>
    </row>
    <row r="3869" spans="1:7" x14ac:dyDescent="0.25">
      <c r="A3869" t="s">
        <v>12179</v>
      </c>
      <c r="B3869" t="s">
        <v>12175</v>
      </c>
      <c r="D3869" s="10"/>
      <c r="F3869" s="9" t="s">
        <v>12164</v>
      </c>
      <c r="G3869" t="s">
        <v>12173</v>
      </c>
    </row>
    <row r="3870" spans="1:7" x14ac:dyDescent="0.25">
      <c r="A3870" t="s">
        <v>12174</v>
      </c>
      <c r="B3870" t="s">
        <v>12175</v>
      </c>
      <c r="D3870" s="10"/>
      <c r="F3870" s="9" t="s">
        <v>12166</v>
      </c>
      <c r="G3870" t="s">
        <v>12173</v>
      </c>
    </row>
    <row r="3871" spans="1:7" x14ac:dyDescent="0.25">
      <c r="A3871" t="s">
        <v>12183</v>
      </c>
      <c r="B3871" t="s">
        <v>12175</v>
      </c>
      <c r="D3871" s="10"/>
      <c r="F3871" s="9" t="s">
        <v>12169</v>
      </c>
      <c r="G3871" t="s">
        <v>12173</v>
      </c>
    </row>
    <row r="3872" spans="1:7" x14ac:dyDescent="0.25">
      <c r="A3872" t="s">
        <v>12179</v>
      </c>
      <c r="B3872" t="s">
        <v>12175</v>
      </c>
      <c r="D3872" s="10"/>
      <c r="F3872" s="9" t="s">
        <v>12171</v>
      </c>
      <c r="G3872" t="s">
        <v>12173</v>
      </c>
    </row>
  </sheetData>
  <phoneticPr fontId="2" type="noConversion"/>
  <conditionalFormatting sqref="C2:C11 C14 C16:C18 C23:C24">
    <cfRule type="notContainsText" dxfId="695" priority="553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694" priority="55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93" priority="551" operator="notContains" text="порожний">
      <formula>ISERROR(SEARCH("порожний",C12))</formula>
    </cfRule>
  </conditionalFormatting>
  <conditionalFormatting sqref="B12:B14">
    <cfRule type="containsText" dxfId="692" priority="550" operator="containsText" text="Выезд с территории">
      <formula>NOT(ISERROR(SEARCH("Выезд с территории",B12)))</formula>
    </cfRule>
  </conditionalFormatting>
  <conditionalFormatting sqref="C15">
    <cfRule type="notContainsText" dxfId="691" priority="549" operator="notContains" text="порожний">
      <formula>ISERROR(SEARCH("порожний",C15))</formula>
    </cfRule>
  </conditionalFormatting>
  <conditionalFormatting sqref="C19:C22">
    <cfRule type="notContainsText" dxfId="690" priority="548" operator="notContains" text="порожний">
      <formula>ISERROR(SEARCH("порожний",C19))</formula>
    </cfRule>
  </conditionalFormatting>
  <conditionalFormatting sqref="C25">
    <cfRule type="notContainsText" dxfId="689" priority="547" operator="notContains" text="порожний">
      <formula>ISERROR(SEARCH("порожний",C25))</formula>
    </cfRule>
  </conditionalFormatting>
  <conditionalFormatting sqref="C26:C27">
    <cfRule type="notContainsText" dxfId="688" priority="546" operator="notContains" text="порожний">
      <formula>ISERROR(SEARCH("порожний",C26))</formula>
    </cfRule>
  </conditionalFormatting>
  <conditionalFormatting sqref="C29">
    <cfRule type="notContainsText" dxfId="687" priority="545" operator="notContains" text="порожний">
      <formula>ISERROR(SEARCH("порожний",C29))</formula>
    </cfRule>
  </conditionalFormatting>
  <conditionalFormatting sqref="C39">
    <cfRule type="notContainsText" dxfId="686" priority="540" operator="notContains" text="порожний">
      <formula>ISERROR(SEARCH("порожний",C39))</formula>
    </cfRule>
  </conditionalFormatting>
  <conditionalFormatting sqref="C32">
    <cfRule type="notContainsText" dxfId="685" priority="544" operator="notContains" text="порожний">
      <formula>ISERROR(SEARCH("порожний",C32))</formula>
    </cfRule>
  </conditionalFormatting>
  <conditionalFormatting sqref="C34">
    <cfRule type="notContainsText" dxfId="684" priority="543" operator="notContains" text="порожний">
      <formula>ISERROR(SEARCH("порожний",C34))</formula>
    </cfRule>
  </conditionalFormatting>
  <conditionalFormatting sqref="C36">
    <cfRule type="notContainsText" dxfId="683" priority="542" operator="notContains" text="порожний">
      <formula>ISERROR(SEARCH("порожний",C36))</formula>
    </cfRule>
  </conditionalFormatting>
  <conditionalFormatting sqref="C38">
    <cfRule type="notContainsText" dxfId="682" priority="541" operator="notContains" text="порожний">
      <formula>ISERROR(SEARCH("порожний",C38))</formula>
    </cfRule>
  </conditionalFormatting>
  <conditionalFormatting sqref="E147">
    <cfRule type="containsText" dxfId="681" priority="53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80" priority="538" operator="notContains" text="порожний">
      <formula>ISERROR(SEARCH("порожний",C581))</formula>
    </cfRule>
  </conditionalFormatting>
  <conditionalFormatting sqref="C586">
    <cfRule type="notContainsText" dxfId="679" priority="537" operator="notContains" text="порожний">
      <formula>ISERROR(SEARCH("порожний",C586))</formula>
    </cfRule>
  </conditionalFormatting>
  <conditionalFormatting sqref="B609">
    <cfRule type="containsText" dxfId="678" priority="536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77" priority="534" operator="containsText" text="Газель базы">
      <formula>NOT(ISERROR(SEARCH("Газель базы",B609)))</formula>
    </cfRule>
    <cfRule type="containsText" dxfId="676" priority="535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75" priority="533" operator="containsText" text="Трактор базы">
      <formula>NOT(ISERROR(SEARCH("Трактор базы",B609)))</formula>
    </cfRule>
  </conditionalFormatting>
  <conditionalFormatting sqref="B614">
    <cfRule type="containsText" dxfId="674" priority="529" operator="containsText" text="Трактор базы">
      <formula>NOT(ISERROR(SEARCH("Трактор базы",B614)))</formula>
    </cfRule>
  </conditionalFormatting>
  <conditionalFormatting sqref="B614">
    <cfRule type="containsText" dxfId="673" priority="532" operator="containsText" text="Выезд с территории">
      <formula>NOT(ISERROR(SEARCH("Выезд с территории",B614)))</formula>
    </cfRule>
  </conditionalFormatting>
  <conditionalFormatting sqref="B614">
    <cfRule type="containsText" dxfId="672" priority="530" operator="containsText" text="Газель базы">
      <formula>NOT(ISERROR(SEARCH("Газель базы",B614)))</formula>
    </cfRule>
    <cfRule type="containsText" dxfId="671" priority="531" operator="containsText" text="Погрузчик базы">
      <formula>NOT(ISERROR(SEARCH("Погрузчик базы",B614)))</formula>
    </cfRule>
  </conditionalFormatting>
  <conditionalFormatting sqref="C649">
    <cfRule type="notContainsText" dxfId="670" priority="528" operator="notContains" text="порожний">
      <formula>ISERROR(SEARCH("порожний",C649))</formula>
    </cfRule>
  </conditionalFormatting>
  <conditionalFormatting sqref="C655">
    <cfRule type="notContainsText" dxfId="669" priority="525" operator="notContains" text="порожний">
      <formula>ISERROR(SEARCH("порожний",C655))</formula>
    </cfRule>
  </conditionalFormatting>
  <conditionalFormatting sqref="C650">
    <cfRule type="notContainsText" dxfId="668" priority="527" operator="notContains" text="порожний">
      <formula>ISERROR(SEARCH("порожний",C650))</formula>
    </cfRule>
  </conditionalFormatting>
  <conditionalFormatting sqref="C654">
    <cfRule type="notContainsText" dxfId="667" priority="526" operator="notContains" text="порожний">
      <formula>ISERROR(SEARCH("порожний",C654))</formula>
    </cfRule>
  </conditionalFormatting>
  <conditionalFormatting sqref="A663:A666 A668:A670 A695 A697:A701 A825 A3437">
    <cfRule type="containsText" dxfId="666" priority="52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65" priority="52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64" priority="52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63" priority="51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62" priority="52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61" priority="52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60" priority="50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59" priority="518" operator="containsText" text="Выезд с территории">
      <formula>NOT(ISERROR(SEARCH("Выезд с территории",A681)))</formula>
    </cfRule>
  </conditionalFormatting>
  <conditionalFormatting sqref="A681">
    <cfRule type="containsText" dxfId="658" priority="51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57" priority="51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56" priority="512" operator="containsText" text="Трактор базы">
      <formula>NOT(ISERROR(SEARCH("Трактор базы",B682)))</formula>
    </cfRule>
  </conditionalFormatting>
  <conditionalFormatting sqref="B682">
    <cfRule type="containsText" dxfId="655" priority="515" operator="containsText" text="Выезд с территории">
      <formula>NOT(ISERROR(SEARCH("Выезд с территории",B682)))</formula>
    </cfRule>
  </conditionalFormatting>
  <conditionalFormatting sqref="B682">
    <cfRule type="containsText" dxfId="654" priority="513" operator="containsText" text="Газель базы">
      <formula>NOT(ISERROR(SEARCH("Газель базы",B682)))</formula>
    </cfRule>
    <cfRule type="containsText" dxfId="653" priority="514" operator="containsText" text="Погрузчик базы">
      <formula>NOT(ISERROR(SEARCH("Погрузчик базы",B682)))</formula>
    </cfRule>
  </conditionalFormatting>
  <conditionalFormatting sqref="A684:A687">
    <cfRule type="containsText" dxfId="652" priority="51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51" priority="51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50" priority="50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49" priority="50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48" priority="50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47" priority="49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46" priority="499" operator="containsText" text="Выезд с территории">
      <formula>NOT(ISERROR(SEARCH("Выезд с территории",A824)))</formula>
    </cfRule>
  </conditionalFormatting>
  <conditionalFormatting sqref="A824">
    <cfRule type="containsText" dxfId="645" priority="49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44" priority="49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43" priority="491" operator="containsText" text="Газель базы">
      <formula>NOT(ISERROR(SEARCH("Газель базы",B846)))</formula>
    </cfRule>
    <cfRule type="containsText" dxfId="642" priority="492" operator="containsText" text="Погрузчик базы">
      <formula>NOT(ISERROR(SEARCH("Погрузчик базы",B846)))</formula>
    </cfRule>
  </conditionalFormatting>
  <conditionalFormatting sqref="B846:B850">
    <cfRule type="containsText" dxfId="641" priority="490" operator="containsText" text="Трактор базы">
      <formula>NOT(ISERROR(SEARCH("Трактор базы",B846)))</formula>
    </cfRule>
  </conditionalFormatting>
  <conditionalFormatting sqref="A916:A917">
    <cfRule type="containsText" dxfId="640" priority="48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39" priority="48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38" priority="487" operator="containsText" text="Газель базы">
      <formula>NOT(ISERROR(SEARCH("Газель базы",B916)))</formula>
    </cfRule>
    <cfRule type="containsText" dxfId="637" priority="488" operator="containsText" text="Погрузчик базы">
      <formula>NOT(ISERROR(SEARCH("Погрузчик базы",B916)))</formula>
    </cfRule>
  </conditionalFormatting>
  <conditionalFormatting sqref="B916:B917">
    <cfRule type="containsText" dxfId="636" priority="486" operator="containsText" text="Трактор базы">
      <formula>NOT(ISERROR(SEARCH("Трактор базы",B916)))</formula>
    </cfRule>
  </conditionalFormatting>
  <conditionalFormatting sqref="A916:A917">
    <cfRule type="containsText" dxfId="635" priority="48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34" priority="483" operator="containsText" text="Выезд с территории">
      <formula>NOT(ISERROR(SEARCH("Выезд с территории",E916)))</formula>
    </cfRule>
  </conditionalFormatting>
  <conditionalFormatting sqref="A932">
    <cfRule type="containsText" dxfId="633" priority="46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32" priority="48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31" priority="480" operator="containsText" text="Газель базы">
      <formula>NOT(ISERROR(SEARCH("Газель базы",B918)))</formula>
    </cfRule>
    <cfRule type="containsText" dxfId="630" priority="481" operator="containsText" text="Погрузчик базы">
      <formula>NOT(ISERROR(SEARCH("Погрузчик базы",B918)))</formula>
    </cfRule>
  </conditionalFormatting>
  <conditionalFormatting sqref="B918:B924">
    <cfRule type="containsText" dxfId="629" priority="479" operator="containsText" text="Трактор базы">
      <formula>NOT(ISERROR(SEARCH("Трактор базы",B918)))</formula>
    </cfRule>
  </conditionalFormatting>
  <conditionalFormatting sqref="A918">
    <cfRule type="containsText" dxfId="628" priority="47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27" priority="47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26" priority="47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25" priority="47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24" priority="474" operator="containsText" text="Газель базы">
      <formula>NOT(ISERROR(SEARCH("Газель базы",B926)))</formula>
    </cfRule>
    <cfRule type="containsText" dxfId="623" priority="475" operator="containsText" text="Погрузчик базы">
      <formula>NOT(ISERROR(SEARCH("Погрузчик базы",B926)))</formula>
    </cfRule>
  </conditionalFormatting>
  <conditionalFormatting sqref="B926:B928">
    <cfRule type="containsText" dxfId="622" priority="473" operator="containsText" text="Трактор базы">
      <formula>NOT(ISERROR(SEARCH("Трактор базы",B926)))</formula>
    </cfRule>
  </conditionalFormatting>
  <conditionalFormatting sqref="A926:A928">
    <cfRule type="containsText" dxfId="621" priority="47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20" priority="470" operator="containsText" text="Выезд с территории">
      <formula>NOT(ISERROR(SEARCH("Выезд с территории",E926)))</formula>
    </cfRule>
  </conditionalFormatting>
  <conditionalFormatting sqref="A930">
    <cfRule type="containsText" dxfId="619" priority="46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18" priority="469" operator="containsText" text="Выезд с территории">
      <formula>NOT(ISERROR(SEARCH("Выезд с территории",A930)))</formula>
    </cfRule>
  </conditionalFormatting>
  <conditionalFormatting sqref="B930">
    <cfRule type="containsText" dxfId="617" priority="467" operator="containsText" text="Газель базы">
      <formula>NOT(ISERROR(SEARCH("Газель базы",B930)))</formula>
    </cfRule>
    <cfRule type="containsText" dxfId="616" priority="468" operator="containsText" text="Погрузчик базы">
      <formula>NOT(ISERROR(SEARCH("Погрузчик базы",B930)))</formula>
    </cfRule>
  </conditionalFormatting>
  <conditionalFormatting sqref="B930">
    <cfRule type="containsText" dxfId="615" priority="466" operator="containsText" text="Трактор базы">
      <formula>NOT(ISERROR(SEARCH("Трактор базы",B930)))</formula>
    </cfRule>
  </conditionalFormatting>
  <conditionalFormatting sqref="A930">
    <cfRule type="containsText" dxfId="614" priority="46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13" priority="463" operator="containsText" text="Выезд с территории">
      <formula>NOT(ISERROR(SEARCH("Выезд с территории",E930)))</formula>
    </cfRule>
  </conditionalFormatting>
  <conditionalFormatting sqref="A932">
    <cfRule type="containsText" dxfId="612" priority="462" operator="containsText" text="Выезд с территории">
      <formula>NOT(ISERROR(SEARCH("Выезд с территории",A932)))</formula>
    </cfRule>
  </conditionalFormatting>
  <conditionalFormatting sqref="A932">
    <cfRule type="containsText" dxfId="611" priority="46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10" priority="45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09" priority="45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08" priority="45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07" priority="45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06" priority="455" operator="notContains" text="порожний">
      <formula>ISERROR(SEARCH("порожний",C954))</formula>
    </cfRule>
  </conditionalFormatting>
  <conditionalFormatting sqref="B954:B956">
    <cfRule type="containsText" dxfId="605" priority="453" operator="containsText" text="Газель базы">
      <formula>NOT(ISERROR(SEARCH("Газель базы",B954)))</formula>
    </cfRule>
    <cfRule type="containsText" dxfId="604" priority="454" operator="containsText" text="Погрузчик базы">
      <formula>NOT(ISERROR(SEARCH("Погрузчик базы",B954)))</formula>
    </cfRule>
  </conditionalFormatting>
  <conditionalFormatting sqref="B954:B956">
    <cfRule type="containsText" dxfId="603" priority="452" operator="containsText" text="Трактор базы">
      <formula>NOT(ISERROR(SEARCH("Трактор базы",B954)))</formula>
    </cfRule>
  </conditionalFormatting>
  <conditionalFormatting sqref="A954:A956">
    <cfRule type="containsText" dxfId="602" priority="45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01" priority="45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00" priority="448" operator="notContains" text="порожний">
      <formula>ISERROR(SEARCH("порожний",C995))</formula>
    </cfRule>
  </conditionalFormatting>
  <conditionalFormatting sqref="C987">
    <cfRule type="notContainsText" dxfId="599" priority="449" operator="notContains" text="порожний">
      <formula>ISERROR(SEARCH("порожний",C987))</formula>
    </cfRule>
  </conditionalFormatting>
  <conditionalFormatting sqref="B999">
    <cfRule type="containsText" dxfId="598" priority="447" operator="containsText" text="Выезд с территории">
      <formula>NOT(ISERROR(SEARCH("Выезд с территории",B999)))</formula>
    </cfRule>
  </conditionalFormatting>
  <conditionalFormatting sqref="B999">
    <cfRule type="containsText" dxfId="597" priority="445" operator="containsText" text="Газель базы">
      <formula>NOT(ISERROR(SEARCH("Газель базы",B999)))</formula>
    </cfRule>
    <cfRule type="containsText" dxfId="596" priority="446" operator="containsText" text="Погрузчик базы">
      <formula>NOT(ISERROR(SEARCH("Погрузчик базы",B999)))</formula>
    </cfRule>
  </conditionalFormatting>
  <conditionalFormatting sqref="B999">
    <cfRule type="containsText" dxfId="595" priority="444" operator="containsText" text="Трактор базы">
      <formula>NOT(ISERROR(SEARCH("Трактор базы",B999)))</formula>
    </cfRule>
  </conditionalFormatting>
  <conditionalFormatting sqref="B1019:B1022">
    <cfRule type="containsText" dxfId="594" priority="440" operator="containsText" text="Трактор базы">
      <formula>NOT(ISERROR(SEARCH("Трактор базы",B1019)))</formula>
    </cfRule>
  </conditionalFormatting>
  <conditionalFormatting sqref="B1019:B1022">
    <cfRule type="containsText" dxfId="593" priority="44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92" priority="441" operator="containsText" text="Газель базы">
      <formula>NOT(ISERROR(SEARCH("Газель базы",B1019)))</formula>
    </cfRule>
    <cfRule type="containsText" dxfId="591" priority="442" operator="containsText" text="Погрузчик базы">
      <formula>NOT(ISERROR(SEARCH("Погрузчик базы",B1019)))</formula>
    </cfRule>
  </conditionalFormatting>
  <conditionalFormatting sqref="C966">
    <cfRule type="notContainsText" dxfId="590" priority="439" operator="notContains" text="порожний">
      <formula>ISERROR(SEARCH("порожний",C966))</formula>
    </cfRule>
  </conditionalFormatting>
  <conditionalFormatting sqref="A1029">
    <cfRule type="containsText" dxfId="589" priority="43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88" priority="43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87" priority="43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86" priority="43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85" priority="433" operator="containsText" text="Газель базы">
      <formula>NOT(ISERROR(SEARCH("Газель базы",B1030)))</formula>
    </cfRule>
    <cfRule type="containsText" dxfId="584" priority="434" operator="containsText" text="Погрузчик базы">
      <formula>NOT(ISERROR(SEARCH("Погрузчик базы",B1030)))</formula>
    </cfRule>
  </conditionalFormatting>
  <conditionalFormatting sqref="B1030">
    <cfRule type="containsText" dxfId="583" priority="432" operator="containsText" text="Трактор базы">
      <formula>NOT(ISERROR(SEARCH("Трактор базы",B1030)))</formula>
    </cfRule>
  </conditionalFormatting>
  <conditionalFormatting sqref="A1035">
    <cfRule type="containsText" dxfId="582" priority="42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81" priority="42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80" priority="43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79" priority="43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78" priority="42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77" priority="42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76" priority="42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75" priority="423" operator="containsText" text="Газель базы">
      <formula>NOT(ISERROR(SEARCH("Газель базы",B1138)))</formula>
    </cfRule>
    <cfRule type="containsText" dxfId="574" priority="424" operator="containsText" text="Погрузчик базы">
      <formula>NOT(ISERROR(SEARCH("Погрузчик базы",B1138)))</formula>
    </cfRule>
  </conditionalFormatting>
  <conditionalFormatting sqref="B1138:B1161">
    <cfRule type="containsText" dxfId="573" priority="422" operator="containsText" text="Трактор базы">
      <formula>NOT(ISERROR(SEARCH("Трактор базы",B1138)))</formula>
    </cfRule>
  </conditionalFormatting>
  <conditionalFormatting sqref="B1258:B1262">
    <cfRule type="containsText" dxfId="572" priority="406" operator="containsText" text="Трактор базы">
      <formula>NOT(ISERROR(SEARCH("Трактор базы",B1258)))</formula>
    </cfRule>
  </conditionalFormatting>
  <conditionalFormatting sqref="B1244:B1252">
    <cfRule type="containsText" dxfId="571" priority="42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70" priority="419" operator="containsText" text="Газель базы">
      <formula>NOT(ISERROR(SEARCH("Газель базы",B1244)))</formula>
    </cfRule>
    <cfRule type="containsText" dxfId="569" priority="420" operator="containsText" text="Погрузчик базы">
      <formula>NOT(ISERROR(SEARCH("Погрузчик базы",B1244)))</formula>
    </cfRule>
  </conditionalFormatting>
  <conditionalFormatting sqref="B1244:B1252">
    <cfRule type="containsText" dxfId="568" priority="418" operator="containsText" text="Трактор базы">
      <formula>NOT(ISERROR(SEARCH("Трактор базы",B1244)))</formula>
    </cfRule>
  </conditionalFormatting>
  <conditionalFormatting sqref="B1253:B1256">
    <cfRule type="containsText" dxfId="567" priority="41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66" priority="415" operator="containsText" text="Газель базы">
      <formula>NOT(ISERROR(SEARCH("Газель базы",B1253)))</formula>
    </cfRule>
    <cfRule type="containsText" dxfId="565" priority="416" operator="containsText" text="Погрузчик базы">
      <formula>NOT(ISERROR(SEARCH("Погрузчик базы",B1253)))</formula>
    </cfRule>
  </conditionalFormatting>
  <conditionalFormatting sqref="B1253:B1256">
    <cfRule type="containsText" dxfId="564" priority="414" operator="containsText" text="Трактор базы">
      <formula>NOT(ISERROR(SEARCH("Трактор базы",B1253)))</formula>
    </cfRule>
  </conditionalFormatting>
  <conditionalFormatting sqref="B1257">
    <cfRule type="containsText" dxfId="563" priority="41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62" priority="411" operator="containsText" text="Газель базы">
      <formula>NOT(ISERROR(SEARCH("Газель базы",B1257)))</formula>
    </cfRule>
    <cfRule type="containsText" dxfId="561" priority="412" operator="containsText" text="Погрузчик базы">
      <formula>NOT(ISERROR(SEARCH("Погрузчик базы",B1257)))</formula>
    </cfRule>
  </conditionalFormatting>
  <conditionalFormatting sqref="B1257">
    <cfRule type="containsText" dxfId="560" priority="410" operator="containsText" text="Трактор базы">
      <formula>NOT(ISERROR(SEARCH("Трактор базы",B1257)))</formula>
    </cfRule>
  </conditionalFormatting>
  <conditionalFormatting sqref="B1258:B1262">
    <cfRule type="containsText" dxfId="559" priority="40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58" priority="407" operator="containsText" text="Газель базы">
      <formula>NOT(ISERROR(SEARCH("Газель базы",B1258)))</formula>
    </cfRule>
    <cfRule type="containsText" dxfId="557" priority="408" operator="containsText" text="Погрузчик базы">
      <formula>NOT(ISERROR(SEARCH("Погрузчик базы",B1258)))</formula>
    </cfRule>
  </conditionalFormatting>
  <conditionalFormatting sqref="B1281:B1287">
    <cfRule type="containsText" dxfId="556" priority="40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55" priority="403" operator="containsText" text="Газель базы">
      <formula>NOT(ISERROR(SEARCH("Газель базы",B1281)))</formula>
    </cfRule>
    <cfRule type="containsText" dxfId="554" priority="404" operator="containsText" text="Погрузчик базы">
      <formula>NOT(ISERROR(SEARCH("Погрузчик базы",B1281)))</formula>
    </cfRule>
  </conditionalFormatting>
  <conditionalFormatting sqref="B1281:B1287">
    <cfRule type="containsText" dxfId="553" priority="402" operator="containsText" text="Трактор базы">
      <formula>NOT(ISERROR(SEARCH("Трактор базы",B1281)))</formula>
    </cfRule>
  </conditionalFormatting>
  <conditionalFormatting sqref="B1296">
    <cfRule type="containsText" dxfId="552" priority="398" operator="containsText" text="Трактор базы">
      <formula>NOT(ISERROR(SEARCH("Трактор базы",B1296)))</formula>
    </cfRule>
  </conditionalFormatting>
  <conditionalFormatting sqref="B1296">
    <cfRule type="containsText" dxfId="551" priority="40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50" priority="399" operator="containsText" text="Газель базы">
      <formula>NOT(ISERROR(SEARCH("Газель базы",B1296)))</formula>
    </cfRule>
    <cfRule type="containsText" dxfId="549" priority="400" operator="containsText" text="Погрузчик базы">
      <formula>NOT(ISERROR(SEARCH("Погрузчик базы",B1296)))</formula>
    </cfRule>
  </conditionalFormatting>
  <conditionalFormatting sqref="C1320:C1321">
    <cfRule type="notContainsText" dxfId="548" priority="396" operator="notContains" text="порожний">
      <formula>ISERROR(SEARCH("порожний",C1320))</formula>
    </cfRule>
  </conditionalFormatting>
  <conditionalFormatting sqref="A1323">
    <cfRule type="containsText" dxfId="547" priority="39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46" priority="39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45" priority="39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44" priority="39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43" priority="39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42" priority="39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41" priority="389" operator="notContains" text="порожний">
      <formula>ISERROR(SEARCH("порожний",C1336))</formula>
    </cfRule>
  </conditionalFormatting>
  <conditionalFormatting sqref="C1346">
    <cfRule type="notContainsText" dxfId="540" priority="388" operator="notContains" text="порожний">
      <formula>ISERROR(SEARCH("порожний",C1346))</formula>
    </cfRule>
  </conditionalFormatting>
  <conditionalFormatting sqref="A1391">
    <cfRule type="containsText" dxfId="539" priority="38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38" priority="38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37" priority="38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36" priority="37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35" priority="38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34" priority="38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33" priority="378" operator="notContains" text="порожний">
      <formula>ISERROR(SEARCH("порожний",C1606))</formula>
    </cfRule>
  </conditionalFormatting>
  <conditionalFormatting sqref="B1633:B1636">
    <cfRule type="containsText" dxfId="532" priority="37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31" priority="375" operator="containsText" text="Газель базы">
      <formula>NOT(ISERROR(SEARCH("Газель базы",B1633)))</formula>
    </cfRule>
    <cfRule type="containsText" dxfId="530" priority="376" operator="containsText" text="Погрузчик базы">
      <formula>NOT(ISERROR(SEARCH("Погрузчик базы",B1633)))</formula>
    </cfRule>
  </conditionalFormatting>
  <conditionalFormatting sqref="B1633:B1636">
    <cfRule type="containsText" dxfId="529" priority="374" operator="containsText" text="Трактор базы">
      <formula>NOT(ISERROR(SEARCH("Трактор базы",B1633)))</formula>
    </cfRule>
  </conditionalFormatting>
  <conditionalFormatting sqref="B1637:B1642">
    <cfRule type="containsText" dxfId="528" priority="37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27" priority="371" operator="containsText" text="Газель базы">
      <formula>NOT(ISERROR(SEARCH("Газель базы",B1637)))</formula>
    </cfRule>
    <cfRule type="containsText" dxfId="526" priority="372" operator="containsText" text="Погрузчик базы">
      <formula>NOT(ISERROR(SEARCH("Погрузчик базы",B1637)))</formula>
    </cfRule>
  </conditionalFormatting>
  <conditionalFormatting sqref="B1637:B1642">
    <cfRule type="containsText" dxfId="525" priority="370" operator="containsText" text="Трактор базы">
      <formula>NOT(ISERROR(SEARCH("Трактор базы",B1637)))</formula>
    </cfRule>
  </conditionalFormatting>
  <conditionalFormatting sqref="B1671:B1672">
    <cfRule type="containsText" dxfId="524" priority="366" operator="containsText" text="Трактор базы">
      <formula>NOT(ISERROR(SEARCH("Трактор базы",B1671)))</formula>
    </cfRule>
  </conditionalFormatting>
  <conditionalFormatting sqref="B1671:B1672">
    <cfRule type="containsText" dxfId="523" priority="36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22" priority="367" operator="containsText" text="Газель базы">
      <formula>NOT(ISERROR(SEARCH("Газель базы",B1671)))</formula>
    </cfRule>
    <cfRule type="containsText" dxfId="521" priority="368" operator="containsText" text="Погрузчик базы">
      <formula>NOT(ISERROR(SEARCH("Погрузчик базы",B1671)))</formula>
    </cfRule>
  </conditionalFormatting>
  <conditionalFormatting sqref="B1675">
    <cfRule type="containsText" dxfId="520" priority="362" operator="containsText" text="Трактор базы">
      <formula>NOT(ISERROR(SEARCH("Трактор базы",B1675)))</formula>
    </cfRule>
  </conditionalFormatting>
  <conditionalFormatting sqref="B1675">
    <cfRule type="containsText" dxfId="519" priority="36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18" priority="363" operator="containsText" text="Газель базы">
      <formula>NOT(ISERROR(SEARCH("Газель базы",B1675)))</formula>
    </cfRule>
    <cfRule type="containsText" dxfId="517" priority="364" operator="containsText" text="Погрузчик базы">
      <formula>NOT(ISERROR(SEARCH("Погрузчик базы",B1675)))</formula>
    </cfRule>
  </conditionalFormatting>
  <conditionalFormatting sqref="A1678">
    <cfRule type="containsText" dxfId="516" priority="35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15" priority="36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14" priority="36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13" priority="358" operator="notContains" text="порожний">
      <formula>ISERROR(SEARCH("порожний",C1723))</formula>
    </cfRule>
  </conditionalFormatting>
  <conditionalFormatting sqref="C1725:C1726">
    <cfRule type="notContainsText" dxfId="512" priority="357" operator="notContains" text="порожний">
      <formula>ISERROR(SEARCH("порожний",C1725))</formula>
    </cfRule>
  </conditionalFormatting>
  <conditionalFormatting sqref="C1727">
    <cfRule type="notContainsText" dxfId="511" priority="356" operator="notContains" text="порожний">
      <formula>ISERROR(SEARCH("порожний",C1727))</formula>
    </cfRule>
  </conditionalFormatting>
  <conditionalFormatting sqref="C1728">
    <cfRule type="notContainsText" dxfId="510" priority="355" operator="notContains" text="порожний">
      <formula>ISERROR(SEARCH("порожний",C1728))</formula>
    </cfRule>
  </conditionalFormatting>
  <conditionalFormatting sqref="B1732:B1733">
    <cfRule type="containsText" dxfId="509" priority="35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08" priority="352" operator="containsText" text="Газель базы">
      <formula>NOT(ISERROR(SEARCH("Газель базы",B1732)))</formula>
    </cfRule>
    <cfRule type="containsText" dxfId="507" priority="353" operator="containsText" text="Погрузчик базы">
      <formula>NOT(ISERROR(SEARCH("Погрузчик базы",B1732)))</formula>
    </cfRule>
  </conditionalFormatting>
  <conditionalFormatting sqref="B1732:B1733">
    <cfRule type="containsText" dxfId="506" priority="351" operator="containsText" text="Трактор базы">
      <formula>NOT(ISERROR(SEARCH("Трактор базы",B1732)))</formula>
    </cfRule>
  </conditionalFormatting>
  <conditionalFormatting sqref="B1734:B1735">
    <cfRule type="containsText" dxfId="505" priority="35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04" priority="348" operator="containsText" text="Газель базы">
      <formula>NOT(ISERROR(SEARCH("Газель базы",B1734)))</formula>
    </cfRule>
    <cfRule type="containsText" dxfId="503" priority="349" operator="containsText" text="Погрузчик базы">
      <formula>NOT(ISERROR(SEARCH("Погрузчик базы",B1734)))</formula>
    </cfRule>
  </conditionalFormatting>
  <conditionalFormatting sqref="B1734:B1735">
    <cfRule type="containsText" dxfId="502" priority="347" operator="containsText" text="Трактор базы">
      <formula>NOT(ISERROR(SEARCH("Трактор базы",B1734)))</formula>
    </cfRule>
  </conditionalFormatting>
  <conditionalFormatting sqref="B1762:B1764">
    <cfRule type="containsText" dxfId="501" priority="333" operator="containsText" text="Трактор базы">
      <formula>NOT(ISERROR(SEARCH("Трактор базы",B1762)))</formula>
    </cfRule>
  </conditionalFormatting>
  <conditionalFormatting sqref="B1740:B1741">
    <cfRule type="containsText" dxfId="500" priority="34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99" priority="344" operator="containsText" text="Газель базы">
      <formula>NOT(ISERROR(SEARCH("Газель базы",B1740)))</formula>
    </cfRule>
    <cfRule type="containsText" dxfId="498" priority="345" operator="containsText" text="Погрузчик базы">
      <formula>NOT(ISERROR(SEARCH("Погрузчик базы",B1740)))</formula>
    </cfRule>
  </conditionalFormatting>
  <conditionalFormatting sqref="B1740:B1741">
    <cfRule type="containsText" dxfId="497" priority="343" operator="containsText" text="Трактор базы">
      <formula>NOT(ISERROR(SEARCH("Трактор базы",B1740)))</formula>
    </cfRule>
  </conditionalFormatting>
  <conditionalFormatting sqref="A1755">
    <cfRule type="containsText" dxfId="496" priority="34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95" priority="34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94" priority="34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93" priority="33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92" priority="33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91" priority="33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90" priority="324" operator="containsText" text="Трактор базы">
      <formula>NOT(ISERROR(SEARCH("Трактор базы",B1773)))</formula>
    </cfRule>
  </conditionalFormatting>
  <conditionalFormatting sqref="B1762:B1764">
    <cfRule type="containsText" dxfId="489" priority="33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88" priority="334" operator="containsText" text="Газель базы">
      <formula>NOT(ISERROR(SEARCH("Газель базы",B1762)))</formula>
    </cfRule>
    <cfRule type="containsText" dxfId="487" priority="335" operator="containsText" text="Погрузчик базы">
      <formula>NOT(ISERROR(SEARCH("Погрузчик базы",B1762)))</formula>
    </cfRule>
  </conditionalFormatting>
  <conditionalFormatting sqref="B1776:B1777">
    <cfRule type="containsText" dxfId="486" priority="315" operator="containsText" text="Трактор базы">
      <formula>NOT(ISERROR(SEARCH("Трактор базы",B1776)))</formula>
    </cfRule>
  </conditionalFormatting>
  <conditionalFormatting sqref="B1770:B1771">
    <cfRule type="containsText" dxfId="485" priority="33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84" priority="330" operator="containsText" text="Газель базы">
      <formula>NOT(ISERROR(SEARCH("Газель базы",B1770)))</formula>
    </cfRule>
    <cfRule type="containsText" dxfId="483" priority="331" operator="containsText" text="Погрузчик базы">
      <formula>NOT(ISERROR(SEARCH("Погрузчик базы",B1770)))</formula>
    </cfRule>
  </conditionalFormatting>
  <conditionalFormatting sqref="B1770:B1771">
    <cfRule type="containsText" dxfId="482" priority="329" operator="containsText" text="Трактор базы">
      <formula>NOT(ISERROR(SEARCH("Трактор базы",B1770)))</formula>
    </cfRule>
  </conditionalFormatting>
  <conditionalFormatting sqref="B1773">
    <cfRule type="containsText" dxfId="481" priority="32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80" priority="327" operator="notContains" text="порожний">
      <formula>ISERROR(SEARCH("порожний",C1773))</formula>
    </cfRule>
  </conditionalFormatting>
  <conditionalFormatting sqref="B1773">
    <cfRule type="containsText" dxfId="479" priority="325" operator="containsText" text="Газель базы">
      <formula>NOT(ISERROR(SEARCH("Газель базы",B1773)))</formula>
    </cfRule>
    <cfRule type="containsText" dxfId="478" priority="326" operator="containsText" text="Погрузчик базы">
      <formula>NOT(ISERROR(SEARCH("Погрузчик базы",B1773)))</formula>
    </cfRule>
  </conditionalFormatting>
  <conditionalFormatting sqref="B1775">
    <cfRule type="containsText" dxfId="477" priority="319" operator="containsText" text="Трактор базы">
      <formula>NOT(ISERROR(SEARCH("Трактор базы",B1775)))</formula>
    </cfRule>
  </conditionalFormatting>
  <conditionalFormatting sqref="B1775">
    <cfRule type="containsText" dxfId="476" priority="32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75" priority="322" operator="notContains" text="порожний">
      <formula>ISERROR(SEARCH("порожний",C1775))</formula>
    </cfRule>
  </conditionalFormatting>
  <conditionalFormatting sqref="B1775">
    <cfRule type="containsText" dxfId="474" priority="320" operator="containsText" text="Газель базы">
      <formula>NOT(ISERROR(SEARCH("Газель базы",B1775)))</formula>
    </cfRule>
    <cfRule type="containsText" dxfId="473" priority="321" operator="containsText" text="Погрузчик базы">
      <formula>NOT(ISERROR(SEARCH("Погрузчик базы",B1775)))</formula>
    </cfRule>
  </conditionalFormatting>
  <conditionalFormatting sqref="B1776:B1777">
    <cfRule type="containsText" dxfId="472" priority="31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71" priority="316" operator="containsText" text="Газель базы">
      <formula>NOT(ISERROR(SEARCH("Газель базы",B1776)))</formula>
    </cfRule>
    <cfRule type="containsText" dxfId="470" priority="317" operator="containsText" text="Погрузчик базы">
      <formula>NOT(ISERROR(SEARCH("Погрузчик базы",B1776)))</formula>
    </cfRule>
  </conditionalFormatting>
  <conditionalFormatting sqref="B1891">
    <cfRule type="containsText" dxfId="469" priority="307" operator="containsText" text="Трактор базы">
      <formula>NOT(ISERROR(SEARCH("Трактор базы",B1891)))</formula>
    </cfRule>
  </conditionalFormatting>
  <conditionalFormatting sqref="B1889">
    <cfRule type="containsText" dxfId="468" priority="31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67" priority="312" operator="containsText" text="Газель базы">
      <formula>NOT(ISERROR(SEARCH("Газель базы",B1889)))</formula>
    </cfRule>
    <cfRule type="containsText" dxfId="466" priority="313" operator="containsText" text="Погрузчик базы">
      <formula>NOT(ISERROR(SEARCH("Погрузчик базы",B1889)))</formula>
    </cfRule>
  </conditionalFormatting>
  <conditionalFormatting sqref="B1889">
    <cfRule type="containsText" dxfId="465" priority="311" operator="containsText" text="Трактор базы">
      <formula>NOT(ISERROR(SEARCH("Трактор базы",B1889)))</formula>
    </cfRule>
  </conditionalFormatting>
  <conditionalFormatting sqref="B1891">
    <cfRule type="containsText" dxfId="464" priority="31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63" priority="308" operator="containsText" text="Газель базы">
      <formula>NOT(ISERROR(SEARCH("Газель базы",B1891)))</formula>
    </cfRule>
    <cfRule type="containsText" dxfId="462" priority="309" operator="containsText" text="Погрузчик базы">
      <formula>NOT(ISERROR(SEARCH("Погрузчик базы",B1891)))</formula>
    </cfRule>
  </conditionalFormatting>
  <conditionalFormatting sqref="B1920">
    <cfRule type="containsText" dxfId="461" priority="295" operator="containsText" text="Трактор базы">
      <formula>NOT(ISERROR(SEARCH("Трактор базы",B1920)))</formula>
    </cfRule>
  </conditionalFormatting>
  <conditionalFormatting sqref="B1904:B1914">
    <cfRule type="containsText" dxfId="460" priority="30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59" priority="304" operator="containsText" text="Газель базы">
      <formula>NOT(ISERROR(SEARCH("Газель базы",B1904)))</formula>
    </cfRule>
    <cfRule type="containsText" dxfId="458" priority="305" operator="containsText" text="Погрузчик базы">
      <formula>NOT(ISERROR(SEARCH("Погрузчик базы",B1904)))</formula>
    </cfRule>
  </conditionalFormatting>
  <conditionalFormatting sqref="B1904:B1914">
    <cfRule type="containsText" dxfId="457" priority="303" operator="containsText" text="Трактор базы">
      <formula>NOT(ISERROR(SEARCH("Трактор базы",B1904)))</formula>
    </cfRule>
  </conditionalFormatting>
  <conditionalFormatting sqref="B1915:B1919">
    <cfRule type="containsText" dxfId="456" priority="30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55" priority="300" operator="containsText" text="Газель базы">
      <formula>NOT(ISERROR(SEARCH("Газель базы",B1915)))</formula>
    </cfRule>
    <cfRule type="containsText" dxfId="454" priority="301" operator="containsText" text="Погрузчик базы">
      <formula>NOT(ISERROR(SEARCH("Погрузчик базы",B1915)))</formula>
    </cfRule>
  </conditionalFormatting>
  <conditionalFormatting sqref="B1915:B1919">
    <cfRule type="containsText" dxfId="453" priority="299" operator="containsText" text="Трактор базы">
      <formula>NOT(ISERROR(SEARCH("Трактор базы",B1915)))</formula>
    </cfRule>
  </conditionalFormatting>
  <conditionalFormatting sqref="B1920">
    <cfRule type="containsText" dxfId="452" priority="29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51" priority="296" operator="containsText" text="Газель базы">
      <formula>NOT(ISERROR(SEARCH("Газель базы",B1920)))</formula>
    </cfRule>
    <cfRule type="containsText" dxfId="450" priority="297" operator="containsText" text="Погрузчик базы">
      <formula>NOT(ISERROR(SEARCH("Погрузчик базы",B1920)))</formula>
    </cfRule>
  </conditionalFormatting>
  <conditionalFormatting sqref="B1939">
    <cfRule type="containsText" dxfId="449" priority="291" operator="containsText" text="Трактор базы">
      <formula>NOT(ISERROR(SEARCH("Трактор базы",B1939)))</formula>
    </cfRule>
  </conditionalFormatting>
  <conditionalFormatting sqref="B1939">
    <cfRule type="containsText" dxfId="448" priority="29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47" priority="292" operator="containsText" text="Газель базы">
      <formula>NOT(ISERROR(SEARCH("Газель базы",B1939)))</formula>
    </cfRule>
    <cfRule type="containsText" dxfId="446" priority="293" operator="containsText" text="Погрузчик базы">
      <formula>NOT(ISERROR(SEARCH("Погрузчик базы",B1939)))</formula>
    </cfRule>
  </conditionalFormatting>
  <conditionalFormatting sqref="A1943">
    <cfRule type="containsText" dxfId="445" priority="28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44" priority="29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43" priority="28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42" priority="272" operator="containsText" text="Трактор базы">
      <formula>NOT(ISERROR(SEARCH("Трактор базы",B1977)))</formula>
    </cfRule>
  </conditionalFormatting>
  <conditionalFormatting sqref="B1974">
    <cfRule type="containsText" dxfId="441" priority="28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40" priority="285" operator="containsText" text="Газель базы">
      <formula>NOT(ISERROR(SEARCH("Газель базы",B1974)))</formula>
    </cfRule>
    <cfRule type="containsText" dxfId="439" priority="286" operator="containsText" text="Погрузчик базы">
      <formula>NOT(ISERROR(SEARCH("Погрузчик базы",B1974)))</formula>
    </cfRule>
  </conditionalFormatting>
  <conditionalFormatting sqref="B1974">
    <cfRule type="containsText" dxfId="438" priority="284" operator="containsText" text="Трактор базы">
      <formula>NOT(ISERROR(SEARCH("Трактор базы",B1974)))</formula>
    </cfRule>
  </conditionalFormatting>
  <conditionalFormatting sqref="B1975">
    <cfRule type="containsText" dxfId="437" priority="28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36" priority="281" operator="containsText" text="Газель базы">
      <formula>NOT(ISERROR(SEARCH("Газель базы",B1975)))</formula>
    </cfRule>
    <cfRule type="containsText" dxfId="435" priority="282" operator="containsText" text="Погрузчик базы">
      <formula>NOT(ISERROR(SEARCH("Погрузчик базы",B1975)))</formula>
    </cfRule>
  </conditionalFormatting>
  <conditionalFormatting sqref="B1975">
    <cfRule type="containsText" dxfId="434" priority="280" operator="containsText" text="Трактор базы">
      <formula>NOT(ISERROR(SEARCH("Трактор базы",B1975)))</formula>
    </cfRule>
  </conditionalFormatting>
  <conditionalFormatting sqref="B1976">
    <cfRule type="containsText" dxfId="433" priority="27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32" priority="277" operator="containsText" text="Газель базы">
      <formula>NOT(ISERROR(SEARCH("Газель базы",B1976)))</formula>
    </cfRule>
    <cfRule type="containsText" dxfId="431" priority="278" operator="containsText" text="Погрузчик базы">
      <formula>NOT(ISERROR(SEARCH("Погрузчик базы",B1976)))</formula>
    </cfRule>
  </conditionalFormatting>
  <conditionalFormatting sqref="B1976">
    <cfRule type="containsText" dxfId="430" priority="276" operator="containsText" text="Трактор базы">
      <formula>NOT(ISERROR(SEARCH("Трактор базы",B1976)))</formula>
    </cfRule>
  </conditionalFormatting>
  <conditionalFormatting sqref="B1977">
    <cfRule type="containsText" dxfId="429" priority="27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28" priority="273" operator="containsText" text="Газель базы">
      <formula>NOT(ISERROR(SEARCH("Газель базы",B1977)))</formula>
    </cfRule>
    <cfRule type="containsText" dxfId="427" priority="274" operator="containsText" text="Погрузчик базы">
      <formula>NOT(ISERROR(SEARCH("Погрузчик базы",B1977)))</formula>
    </cfRule>
  </conditionalFormatting>
  <conditionalFormatting sqref="C1965">
    <cfRule type="notContainsText" dxfId="426" priority="271" operator="notContains" text="порожний">
      <formula>ISERROR(SEARCH("порожний",C1965))</formula>
    </cfRule>
  </conditionalFormatting>
  <conditionalFormatting sqref="B2042">
    <cfRule type="containsText" dxfId="425" priority="267" operator="containsText" text="Трактор базы">
      <formula>NOT(ISERROR(SEARCH("Трактор базы",B2042)))</formula>
    </cfRule>
  </conditionalFormatting>
  <conditionalFormatting sqref="B2042">
    <cfRule type="containsText" dxfId="424" priority="27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23" priority="268" operator="containsText" text="Газель базы">
      <formula>NOT(ISERROR(SEARCH("Газель базы",B2042)))</formula>
    </cfRule>
    <cfRule type="containsText" dxfId="422" priority="269" operator="containsText" text="Погрузчик базы">
      <formula>NOT(ISERROR(SEARCH("Погрузчик базы",B2042)))</formula>
    </cfRule>
  </conditionalFormatting>
  <conditionalFormatting sqref="C2050">
    <cfRule type="notContainsText" dxfId="421" priority="266" operator="notContains" text="порожний">
      <formula>ISERROR(SEARCH("порожний",C2050))</formula>
    </cfRule>
  </conditionalFormatting>
  <conditionalFormatting sqref="B2054">
    <cfRule type="containsText" dxfId="420" priority="26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19" priority="263" operator="containsText" text="Газель базы">
      <formula>NOT(ISERROR(SEARCH("Газель базы",B2054)))</formula>
    </cfRule>
    <cfRule type="containsText" dxfId="418" priority="264" operator="containsText" text="Погрузчик базы">
      <formula>NOT(ISERROR(SEARCH("Погрузчик базы",B2054)))</formula>
    </cfRule>
  </conditionalFormatting>
  <conditionalFormatting sqref="B2054">
    <cfRule type="containsText" dxfId="417" priority="262" operator="containsText" text="Трактор базы">
      <formula>NOT(ISERROR(SEARCH("Трактор базы",B2054)))</formula>
    </cfRule>
  </conditionalFormatting>
  <conditionalFormatting sqref="B2055">
    <cfRule type="containsText" dxfId="416" priority="258" operator="containsText" text="Трактор базы">
      <formula>NOT(ISERROR(SEARCH("Трактор базы",B2055)))</formula>
    </cfRule>
  </conditionalFormatting>
  <conditionalFormatting sqref="B2055">
    <cfRule type="containsText" dxfId="415" priority="26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14" priority="259" operator="containsText" text="Газель базы">
      <formula>NOT(ISERROR(SEARCH("Газель базы",B2055)))</formula>
    </cfRule>
    <cfRule type="containsText" dxfId="413" priority="260" operator="containsText" text="Погрузчик базы">
      <formula>NOT(ISERROR(SEARCH("Погрузчик базы",B2055)))</formula>
    </cfRule>
  </conditionalFormatting>
  <conditionalFormatting sqref="A2087:A2089">
    <cfRule type="containsText" dxfId="412" priority="25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11" priority="25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10" priority="256" operator="notContains" text="порожний">
      <formula>ISERROR(SEARCH("порожний",C2087))</formula>
    </cfRule>
  </conditionalFormatting>
  <conditionalFormatting sqref="B2087:B2089">
    <cfRule type="containsText" dxfId="409" priority="254" operator="containsText" text="Газель базы">
      <formula>NOT(ISERROR(SEARCH("Газель базы",B2087)))</formula>
    </cfRule>
    <cfRule type="containsText" dxfId="408" priority="255" operator="containsText" text="Погрузчик базы">
      <formula>NOT(ISERROR(SEARCH("Погрузчик базы",B2087)))</formula>
    </cfRule>
  </conditionalFormatting>
  <conditionalFormatting sqref="B2087:B2089">
    <cfRule type="containsText" dxfId="407" priority="253" operator="containsText" text="Трактор базы">
      <formula>NOT(ISERROR(SEARCH("Трактор базы",B2087)))</formula>
    </cfRule>
  </conditionalFormatting>
  <conditionalFormatting sqref="A2087:A2089">
    <cfRule type="containsText" dxfId="406" priority="25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05" priority="25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04" priority="248" operator="containsText" text="Газель базы">
      <formula>NOT(ISERROR(SEARCH("Газель базы",B2101)))</formula>
    </cfRule>
    <cfRule type="containsText" dxfId="403" priority="249" operator="containsText" text="Погрузчик базы">
      <formula>NOT(ISERROR(SEARCH("Погрузчик базы",B2101)))</formula>
    </cfRule>
  </conditionalFormatting>
  <conditionalFormatting sqref="B2101">
    <cfRule type="containsText" dxfId="402" priority="247" operator="containsText" text="Трактор базы">
      <formula>NOT(ISERROR(SEARCH("Трактор базы",B2101)))</formula>
    </cfRule>
  </conditionalFormatting>
  <conditionalFormatting sqref="B2102">
    <cfRule type="containsText" dxfId="401" priority="24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00" priority="244" operator="containsText" text="Газель базы">
      <formula>NOT(ISERROR(SEARCH("Газель базы",B2102)))</formula>
    </cfRule>
    <cfRule type="containsText" dxfId="399" priority="245" operator="containsText" text="Погрузчик базы">
      <formula>NOT(ISERROR(SEARCH("Погрузчик базы",B2102)))</formula>
    </cfRule>
  </conditionalFormatting>
  <conditionalFormatting sqref="B2102">
    <cfRule type="containsText" dxfId="398" priority="243" operator="containsText" text="Трактор базы">
      <formula>NOT(ISERROR(SEARCH("Трактор базы",B2102)))</formula>
    </cfRule>
  </conditionalFormatting>
  <conditionalFormatting sqref="B2103">
    <cfRule type="containsText" dxfId="397" priority="239" operator="containsText" text="Трактор базы">
      <formula>NOT(ISERROR(SEARCH("Трактор базы",B2103)))</formula>
    </cfRule>
  </conditionalFormatting>
  <conditionalFormatting sqref="B2103">
    <cfRule type="containsText" dxfId="396" priority="24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95" priority="240" operator="containsText" text="Газель базы">
      <formula>NOT(ISERROR(SEARCH("Газель базы",B2103)))</formula>
    </cfRule>
    <cfRule type="containsText" dxfId="394" priority="24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93" priority="23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92" priority="23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91" priority="23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90" priority="23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89" priority="233" operator="containsText" text="Газель базы">
      <formula>NOT(ISERROR(SEARCH("Газель базы",B2276)))</formula>
    </cfRule>
    <cfRule type="containsText" dxfId="388" priority="234" operator="containsText" text="Погрузчик базы">
      <formula>NOT(ISERROR(SEARCH("Погрузчик базы",B2276)))</formula>
    </cfRule>
  </conditionalFormatting>
  <conditionalFormatting sqref="B2276">
    <cfRule type="containsText" dxfId="387" priority="232" operator="containsText" text="Трактор базы">
      <formula>NOT(ISERROR(SEARCH("Трактор базы",B2276)))</formula>
    </cfRule>
  </conditionalFormatting>
  <conditionalFormatting sqref="B2277">
    <cfRule type="containsText" dxfId="386" priority="228" operator="containsText" text="Трактор базы">
      <formula>NOT(ISERROR(SEARCH("Трактор базы",B2277)))</formula>
    </cfRule>
  </conditionalFormatting>
  <conditionalFormatting sqref="B2277">
    <cfRule type="containsText" dxfId="385" priority="23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84" priority="229" operator="containsText" text="Газель базы">
      <formula>NOT(ISERROR(SEARCH("Газель базы",B2277)))</formula>
    </cfRule>
    <cfRule type="containsText" dxfId="383" priority="230" operator="containsText" text="Погрузчик базы">
      <formula>NOT(ISERROR(SEARCH("Погрузчик базы",B2277)))</formula>
    </cfRule>
  </conditionalFormatting>
  <conditionalFormatting sqref="A2279">
    <cfRule type="containsText" dxfId="382" priority="22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81" priority="22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80" priority="22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79" priority="22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78" priority="22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77" priority="22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76" priority="203" operator="containsText" text="Трактор базы">
      <formula>NOT(ISERROR(SEARCH("Трактор базы",B2382)))</formula>
    </cfRule>
  </conditionalFormatting>
  <conditionalFormatting sqref="B2348:B2349">
    <cfRule type="containsText" dxfId="375" priority="22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74" priority="219" operator="containsText" text="Газель базы">
      <formula>NOT(ISERROR(SEARCH("Газель базы",B2348)))</formula>
    </cfRule>
    <cfRule type="containsText" dxfId="373" priority="220" operator="containsText" text="Погрузчик базы">
      <formula>NOT(ISERROR(SEARCH("Погрузчик базы",B2348)))</formula>
    </cfRule>
  </conditionalFormatting>
  <conditionalFormatting sqref="B2348:B2349">
    <cfRule type="containsText" dxfId="372" priority="218" operator="containsText" text="Трактор базы">
      <formula>NOT(ISERROR(SEARCH("Трактор базы",B2348)))</formula>
    </cfRule>
  </conditionalFormatting>
  <conditionalFormatting sqref="A2350">
    <cfRule type="containsText" dxfId="371" priority="21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70" priority="21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69" priority="21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68" priority="21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67" priority="212" operator="containsText" text="Газель базы">
      <formula>NOT(ISERROR(SEARCH("Газель базы",B2352)))</formula>
    </cfRule>
    <cfRule type="containsText" dxfId="366" priority="213" operator="containsText" text="Погрузчик базы">
      <formula>NOT(ISERROR(SEARCH("Погрузчик базы",B2352)))</formula>
    </cfRule>
  </conditionalFormatting>
  <conditionalFormatting sqref="B2352:B2354">
    <cfRule type="containsText" dxfId="365" priority="211" operator="containsText" text="Трактор базы">
      <formula>NOT(ISERROR(SEARCH("Трактор базы",B2352)))</formula>
    </cfRule>
  </conditionalFormatting>
  <conditionalFormatting sqref="B2358">
    <cfRule type="containsText" dxfId="364" priority="21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63" priority="208" operator="containsText" text="Газель базы">
      <formula>NOT(ISERROR(SEARCH("Газель базы",B2358)))</formula>
    </cfRule>
    <cfRule type="containsText" dxfId="362" priority="209" operator="containsText" text="Погрузчик базы">
      <formula>NOT(ISERROR(SEARCH("Погрузчик базы",B2358)))</formula>
    </cfRule>
  </conditionalFormatting>
  <conditionalFormatting sqref="B2358">
    <cfRule type="containsText" dxfId="361" priority="207" operator="containsText" text="Трактор базы">
      <formula>NOT(ISERROR(SEARCH("Трактор базы",B2358)))</formula>
    </cfRule>
  </conditionalFormatting>
  <conditionalFormatting sqref="B2382">
    <cfRule type="containsText" dxfId="360" priority="20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59" priority="204" operator="containsText" text="Газель базы">
      <formula>NOT(ISERROR(SEARCH("Газель базы",B2382)))</formula>
    </cfRule>
    <cfRule type="containsText" dxfId="358" priority="205" operator="containsText" text="Погрузчик базы">
      <formula>NOT(ISERROR(SEARCH("Погрузчик базы",B2382)))</formula>
    </cfRule>
  </conditionalFormatting>
  <conditionalFormatting sqref="B2423:B2424">
    <cfRule type="containsText" dxfId="357" priority="20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56" priority="200" operator="containsText" text="Газель базы">
      <formula>NOT(ISERROR(SEARCH("Газель базы",B2423)))</formula>
    </cfRule>
    <cfRule type="containsText" dxfId="355" priority="201" operator="containsText" text="Погрузчик базы">
      <formula>NOT(ISERROR(SEARCH("Погрузчик базы",B2423)))</formula>
    </cfRule>
  </conditionalFormatting>
  <conditionalFormatting sqref="B2423:B2424">
    <cfRule type="containsText" dxfId="354" priority="199" operator="containsText" text="Трактор базы">
      <formula>NOT(ISERROR(SEARCH("Трактор базы",B2423)))</formula>
    </cfRule>
  </conditionalFormatting>
  <conditionalFormatting sqref="B2431">
    <cfRule type="containsText" dxfId="353" priority="19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52" priority="196" operator="containsText" text="Газель базы">
      <formula>NOT(ISERROR(SEARCH("Газель базы",B2431)))</formula>
    </cfRule>
    <cfRule type="containsText" dxfId="351" priority="197" operator="containsText" text="Погрузчик базы">
      <formula>NOT(ISERROR(SEARCH("Погрузчик базы",B2431)))</formula>
    </cfRule>
  </conditionalFormatting>
  <conditionalFormatting sqref="B2431">
    <cfRule type="containsText" dxfId="350" priority="195" operator="containsText" text="Трактор базы">
      <formula>NOT(ISERROR(SEARCH("Трактор базы",B2431)))</formula>
    </cfRule>
  </conditionalFormatting>
  <conditionalFormatting sqref="B2478">
    <cfRule type="containsText" dxfId="349" priority="183" operator="containsText" text="Трактор базы">
      <formula>NOT(ISERROR(SEARCH("Трактор базы",B2478)))</formula>
    </cfRule>
  </conditionalFormatting>
  <conditionalFormatting sqref="B2462:B2463">
    <cfRule type="containsText" dxfId="348" priority="19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47" priority="192" operator="containsText" text="Газель базы">
      <formula>NOT(ISERROR(SEARCH("Газель базы",B2462)))</formula>
    </cfRule>
    <cfRule type="containsText" dxfId="346" priority="193" operator="containsText" text="Погрузчик базы">
      <formula>NOT(ISERROR(SEARCH("Погрузчик базы",B2462)))</formula>
    </cfRule>
  </conditionalFormatting>
  <conditionalFormatting sqref="B2462:B2463">
    <cfRule type="containsText" dxfId="345" priority="191" operator="containsText" text="Трактор базы">
      <formula>NOT(ISERROR(SEARCH("Трактор базы",B2462)))</formula>
    </cfRule>
  </conditionalFormatting>
  <conditionalFormatting sqref="B2467">
    <cfRule type="containsText" dxfId="344" priority="19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43" priority="188" operator="containsText" text="Газель базы">
      <formula>NOT(ISERROR(SEARCH("Газель базы",B2467)))</formula>
    </cfRule>
    <cfRule type="containsText" dxfId="342" priority="189" operator="containsText" text="Погрузчик базы">
      <formula>NOT(ISERROR(SEARCH("Погрузчик базы",B2467)))</formula>
    </cfRule>
  </conditionalFormatting>
  <conditionalFormatting sqref="B2467">
    <cfRule type="containsText" dxfId="341" priority="187" operator="containsText" text="Трактор базы">
      <formula>NOT(ISERROR(SEARCH("Трактор базы",B2467)))</formula>
    </cfRule>
  </conditionalFormatting>
  <conditionalFormatting sqref="B2478">
    <cfRule type="containsText" dxfId="340" priority="18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39" priority="184" operator="containsText" text="Газель базы">
      <formula>NOT(ISERROR(SEARCH("Газель базы",B2478)))</formula>
    </cfRule>
    <cfRule type="containsText" dxfId="338" priority="185" operator="containsText" text="Погрузчик базы">
      <formula>NOT(ISERROR(SEARCH("Погрузчик базы",B2478)))</formula>
    </cfRule>
  </conditionalFormatting>
  <conditionalFormatting sqref="B2499">
    <cfRule type="containsText" dxfId="337" priority="171" operator="containsText" text="Трактор базы">
      <formula>NOT(ISERROR(SEARCH("Трактор базы",B2499)))</formula>
    </cfRule>
  </conditionalFormatting>
  <conditionalFormatting sqref="B2497">
    <cfRule type="containsText" dxfId="336" priority="18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35" priority="180" operator="containsText" text="Газель базы">
      <formula>NOT(ISERROR(SEARCH("Газель базы",B2497)))</formula>
    </cfRule>
    <cfRule type="containsText" dxfId="334" priority="181" operator="containsText" text="Погрузчик базы">
      <formula>NOT(ISERROR(SEARCH("Погрузчик базы",B2497)))</formula>
    </cfRule>
  </conditionalFormatting>
  <conditionalFormatting sqref="B2497">
    <cfRule type="containsText" dxfId="333" priority="179" operator="containsText" text="Трактор базы">
      <formula>NOT(ISERROR(SEARCH("Трактор базы",B2497)))</formula>
    </cfRule>
  </conditionalFormatting>
  <conditionalFormatting sqref="B2498">
    <cfRule type="containsText" dxfId="332" priority="17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31" priority="176" operator="containsText" text="Газель базы">
      <formula>NOT(ISERROR(SEARCH("Газель базы",B2498)))</formula>
    </cfRule>
    <cfRule type="containsText" dxfId="330" priority="177" operator="containsText" text="Погрузчик базы">
      <formula>NOT(ISERROR(SEARCH("Погрузчик базы",B2498)))</formula>
    </cfRule>
  </conditionalFormatting>
  <conditionalFormatting sqref="B2498">
    <cfRule type="containsText" dxfId="329" priority="175" operator="containsText" text="Трактор базы">
      <formula>NOT(ISERROR(SEARCH("Трактор базы",B2498)))</formula>
    </cfRule>
  </conditionalFormatting>
  <conditionalFormatting sqref="B2499">
    <cfRule type="containsText" dxfId="328" priority="17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27" priority="172" operator="containsText" text="Газель базы">
      <formula>NOT(ISERROR(SEARCH("Газель базы",B2499)))</formula>
    </cfRule>
    <cfRule type="containsText" dxfId="326" priority="173" operator="containsText" text="Погрузчик базы">
      <formula>NOT(ISERROR(SEARCH("Погрузчик базы",B2499)))</formula>
    </cfRule>
  </conditionalFormatting>
  <conditionalFormatting sqref="B2512:B2513">
    <cfRule type="containsText" dxfId="325" priority="145" operator="containsText" text="Трактор базы">
      <formula>NOT(ISERROR(SEARCH("Трактор базы",B2512)))</formula>
    </cfRule>
  </conditionalFormatting>
  <conditionalFormatting sqref="B2500">
    <cfRule type="containsText" dxfId="324" priority="17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23" priority="168" operator="containsText" text="Газель базы">
      <formula>NOT(ISERROR(SEARCH("Газель базы",B2500)))</formula>
    </cfRule>
    <cfRule type="containsText" dxfId="322" priority="169" operator="containsText" text="Погрузчик базы">
      <formula>NOT(ISERROR(SEARCH("Погрузчик базы",B2500)))</formula>
    </cfRule>
  </conditionalFormatting>
  <conditionalFormatting sqref="B2500">
    <cfRule type="containsText" dxfId="321" priority="167" operator="containsText" text="Трактор базы">
      <formula>NOT(ISERROR(SEARCH("Трактор базы",B2500)))</formula>
    </cfRule>
  </conditionalFormatting>
  <conditionalFormatting sqref="B2501">
    <cfRule type="containsText" dxfId="320" priority="16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19" priority="164" operator="containsText" text="Газель базы">
      <formula>NOT(ISERROR(SEARCH("Газель базы",B2501)))</formula>
    </cfRule>
    <cfRule type="containsText" dxfId="318" priority="165" operator="containsText" text="Погрузчик базы">
      <formula>NOT(ISERROR(SEARCH("Погрузчик базы",B2501)))</formula>
    </cfRule>
  </conditionalFormatting>
  <conditionalFormatting sqref="B2501">
    <cfRule type="containsText" dxfId="317" priority="163" operator="containsText" text="Трактор базы">
      <formula>NOT(ISERROR(SEARCH("Трактор базы",B2501)))</formula>
    </cfRule>
  </conditionalFormatting>
  <conditionalFormatting sqref="B2502">
    <cfRule type="containsText" dxfId="316" priority="159" operator="containsText" text="Трактор базы">
      <formula>NOT(ISERROR(SEARCH("Трактор базы",B2502)))</formula>
    </cfRule>
  </conditionalFormatting>
  <conditionalFormatting sqref="B2502">
    <cfRule type="containsText" dxfId="315" priority="16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14" priority="160" operator="containsText" text="Газель базы">
      <formula>NOT(ISERROR(SEARCH("Газель базы",B2502)))</formula>
    </cfRule>
    <cfRule type="containsText" dxfId="313" priority="161" operator="containsText" text="Погрузчик базы">
      <formula>NOT(ISERROR(SEARCH("Погрузчик базы",B2502)))</formula>
    </cfRule>
  </conditionalFormatting>
  <conditionalFormatting sqref="A2503:A2504">
    <cfRule type="containsText" dxfId="312" priority="15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11" priority="15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10" priority="15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09" priority="15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08" priority="15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07" priority="15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06" priority="15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05" priority="150" operator="containsText" text="Газель базы">
      <formula>NOT(ISERROR(SEARCH("Газель базы",B2509)))</formula>
    </cfRule>
    <cfRule type="containsText" dxfId="304" priority="151" operator="containsText" text="Погрузчик базы">
      <formula>NOT(ISERROR(SEARCH("Погрузчик базы",B2509)))</formula>
    </cfRule>
  </conditionalFormatting>
  <conditionalFormatting sqref="B2509">
    <cfRule type="containsText" dxfId="303" priority="149" operator="containsText" text="Трактор базы">
      <formula>NOT(ISERROR(SEARCH("Трактор базы",B2509)))</formula>
    </cfRule>
  </conditionalFormatting>
  <conditionalFormatting sqref="B2512:B2513">
    <cfRule type="containsText" dxfId="302" priority="14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01" priority="146" operator="containsText" text="Газель базы">
      <formula>NOT(ISERROR(SEARCH("Газель базы",B2512)))</formula>
    </cfRule>
    <cfRule type="containsText" dxfId="300" priority="147" operator="containsText" text="Погрузчик базы">
      <formula>NOT(ISERROR(SEARCH("Погрузчик базы",B2512)))</formula>
    </cfRule>
  </conditionalFormatting>
  <conditionalFormatting sqref="E2586">
    <cfRule type="containsText" dxfId="299" priority="14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98" priority="14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97" priority="14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96" priority="14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95" priority="14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94" priority="138" operator="containsText" text="Газель базы">
      <formula>NOT(ISERROR(SEARCH("Газель базы",B2810)))</formula>
    </cfRule>
    <cfRule type="containsText" dxfId="293" priority="139" operator="containsText" text="Погрузчик базы">
      <formula>NOT(ISERROR(SEARCH("Погрузчик базы",B2810)))</formula>
    </cfRule>
  </conditionalFormatting>
  <conditionalFormatting sqref="B2810:B2811">
    <cfRule type="containsText" dxfId="292" priority="137" operator="containsText" text="Трактор базы">
      <formula>NOT(ISERROR(SEARCH("Трактор базы",B2810)))</formula>
    </cfRule>
  </conditionalFormatting>
  <conditionalFormatting sqref="B2923:B2927">
    <cfRule type="containsText" dxfId="291" priority="133" operator="containsText" text="Трактор базы">
      <formula>NOT(ISERROR(SEARCH("Трактор базы",B2923)))</formula>
    </cfRule>
  </conditionalFormatting>
  <conditionalFormatting sqref="B2923:B2927">
    <cfRule type="containsText" dxfId="290" priority="13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89" priority="134" operator="containsText" text="Газель базы">
      <formula>NOT(ISERROR(SEARCH("Газель базы",B2923)))</formula>
    </cfRule>
    <cfRule type="containsText" dxfId="288" priority="135" operator="containsText" text="Погрузчик базы">
      <formula>NOT(ISERROR(SEARCH("Погрузчик базы",B2923)))</formula>
    </cfRule>
  </conditionalFormatting>
  <conditionalFormatting sqref="A2991">
    <cfRule type="containsText" dxfId="287" priority="13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86" priority="13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85" priority="13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84" priority="12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83" priority="127" operator="containsText" text="Газель базы">
      <formula>NOT(ISERROR(SEARCH("Газель базы",B2993)))</formula>
    </cfRule>
    <cfRule type="containsText" dxfId="282" priority="128" operator="containsText" text="Погрузчик базы">
      <formula>NOT(ISERROR(SEARCH("Погрузчик базы",B2993)))</formula>
    </cfRule>
  </conditionalFormatting>
  <conditionalFormatting sqref="B2993">
    <cfRule type="containsText" dxfId="281" priority="126" operator="containsText" text="Трактор базы">
      <formula>NOT(ISERROR(SEARCH("Трактор базы",B2993)))</formula>
    </cfRule>
  </conditionalFormatting>
  <conditionalFormatting sqref="B2995">
    <cfRule type="containsText" dxfId="280" priority="122" operator="containsText" text="Трактор базы">
      <formula>NOT(ISERROR(SEARCH("Трактор базы",B2995)))</formula>
    </cfRule>
  </conditionalFormatting>
  <conditionalFormatting sqref="B2995">
    <cfRule type="containsText" dxfId="279" priority="12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78" priority="123" operator="containsText" text="Газель базы">
      <formula>NOT(ISERROR(SEARCH("Газель базы",B2995)))</formula>
    </cfRule>
    <cfRule type="containsText" dxfId="277" priority="124" operator="containsText" text="Погрузчик базы">
      <formula>NOT(ISERROR(SEARCH("Погрузчик базы",B2995)))</formula>
    </cfRule>
  </conditionalFormatting>
  <conditionalFormatting sqref="A3008">
    <cfRule type="containsText" dxfId="276" priority="11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75" priority="12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74" priority="12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73" priority="11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72" priority="11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71" priority="11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70" priority="11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69" priority="11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68" priority="11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67" priority="109" operator="containsText" text="Трактор базы">
      <formula>NOT(ISERROR(SEARCH("Трактор базы",B3150)))</formula>
    </cfRule>
  </conditionalFormatting>
  <conditionalFormatting sqref="B3203">
    <cfRule type="containsText" dxfId="266" priority="101" operator="containsText" text="Трактор базы">
      <formula>NOT(ISERROR(SEARCH("Трактор базы",B3203)))</formula>
    </cfRule>
  </conditionalFormatting>
  <conditionalFormatting sqref="B3150:B3151">
    <cfRule type="containsText" dxfId="265" priority="11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64" priority="110" operator="containsText" text="Газель базы">
      <formula>NOT(ISERROR(SEARCH("Газель базы",B3150)))</formula>
    </cfRule>
    <cfRule type="containsText" dxfId="263" priority="111" operator="containsText" text="Погрузчик базы">
      <formula>NOT(ISERROR(SEARCH("Погрузчик базы",B3150)))</formula>
    </cfRule>
  </conditionalFormatting>
  <conditionalFormatting sqref="B3201">
    <cfRule type="containsText" dxfId="262" priority="105" operator="containsText" text="Трактор базы">
      <formula>NOT(ISERROR(SEARCH("Трактор базы",B3201)))</formula>
    </cfRule>
  </conditionalFormatting>
  <conditionalFormatting sqref="B3201">
    <cfRule type="containsText" dxfId="261" priority="10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60" priority="106" operator="containsText" text="Газель базы">
      <formula>NOT(ISERROR(SEARCH("Газель базы",B3201)))</formula>
    </cfRule>
    <cfRule type="containsText" dxfId="259" priority="107" operator="containsText" text="Погрузчик базы">
      <formula>NOT(ISERROR(SEARCH("Погрузчик базы",B3201)))</formula>
    </cfRule>
  </conditionalFormatting>
  <conditionalFormatting sqref="B3203">
    <cfRule type="containsText" dxfId="258" priority="10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57" priority="102" operator="containsText" text="Газель базы">
      <formula>NOT(ISERROR(SEARCH("Газель базы",B3203)))</formula>
    </cfRule>
    <cfRule type="containsText" dxfId="256" priority="103" operator="containsText" text="Погрузчик базы">
      <formula>NOT(ISERROR(SEARCH("Погрузчик базы",B3203)))</formula>
    </cfRule>
  </conditionalFormatting>
  <conditionalFormatting sqref="B3227:B3229">
    <cfRule type="containsText" dxfId="255" priority="10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54" priority="98" operator="containsText" text="Газель базы">
      <formula>NOT(ISERROR(SEARCH("Газель базы",B3227)))</formula>
    </cfRule>
    <cfRule type="containsText" dxfId="253" priority="99" operator="containsText" text="Погрузчик базы">
      <formula>NOT(ISERROR(SEARCH("Погрузчик базы",B3227)))</formula>
    </cfRule>
  </conditionalFormatting>
  <conditionalFormatting sqref="B3227:B3229">
    <cfRule type="containsText" dxfId="252" priority="97" operator="containsText" text="Трактор базы">
      <formula>NOT(ISERROR(SEARCH("Трактор базы",B3227)))</formula>
    </cfRule>
  </conditionalFormatting>
  <conditionalFormatting sqref="B3259:B3261">
    <cfRule type="containsText" dxfId="251" priority="9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50" priority="94" operator="containsText" text="Газель базы">
      <formula>NOT(ISERROR(SEARCH("Газель базы",B3259)))</formula>
    </cfRule>
    <cfRule type="containsText" dxfId="249" priority="95" operator="containsText" text="Погрузчик базы">
      <formula>NOT(ISERROR(SEARCH("Погрузчик базы",B3259)))</formula>
    </cfRule>
  </conditionalFormatting>
  <conditionalFormatting sqref="B3259:B3261">
    <cfRule type="containsText" dxfId="248" priority="93" operator="containsText" text="Трактор базы">
      <formula>NOT(ISERROR(SEARCH("Трактор базы",B3259)))</formula>
    </cfRule>
  </conditionalFormatting>
  <conditionalFormatting sqref="A3335:A3336 A3373:A3374">
    <cfRule type="containsText" dxfId="247" priority="8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46" priority="8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45" priority="8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44" priority="8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43" priority="8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42" priority="8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41" priority="8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40" priority="81" operator="containsText" text="Газель базы">
      <formula>NOT(ISERROR(SEARCH("Газель базы",B3364)))</formula>
    </cfRule>
    <cfRule type="containsText" dxfId="239" priority="82" operator="containsText" text="Погрузчик базы">
      <formula>NOT(ISERROR(SEARCH("Погрузчик базы",B3364)))</formula>
    </cfRule>
  </conditionalFormatting>
  <conditionalFormatting sqref="B3364:B3365">
    <cfRule type="containsText" dxfId="238" priority="80" operator="containsText" text="Трактор базы">
      <formula>NOT(ISERROR(SEARCH("Трактор базы",B3364)))</formula>
    </cfRule>
  </conditionalFormatting>
  <conditionalFormatting sqref="A3364">
    <cfRule type="containsText" dxfId="237" priority="7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36" priority="7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35" priority="7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34" priority="75" operator="containsText" text="Газель базы">
      <formula>NOT(ISERROR(SEARCH("Газель базы",B3366)))</formula>
    </cfRule>
    <cfRule type="containsText" dxfId="233" priority="76" operator="containsText" text="Погрузчик базы">
      <formula>NOT(ISERROR(SEARCH("Погрузчик базы",B3366)))</formula>
    </cfRule>
  </conditionalFormatting>
  <conditionalFormatting sqref="B3366">
    <cfRule type="containsText" dxfId="232" priority="74" operator="containsText" text="Трактор базы">
      <formula>NOT(ISERROR(SEARCH("Трактор базы",B3366)))</formula>
    </cfRule>
  </conditionalFormatting>
  <conditionalFormatting sqref="A3366">
    <cfRule type="containsText" dxfId="231" priority="7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30" priority="7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29" priority="7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28" priority="69" operator="containsText" text="Газель базы">
      <formula>NOT(ISERROR(SEARCH("Газель базы",B3367)))</formula>
    </cfRule>
    <cfRule type="containsText" dxfId="227" priority="70" operator="containsText" text="Погрузчик базы">
      <formula>NOT(ISERROR(SEARCH("Погрузчик базы",B3367)))</formula>
    </cfRule>
  </conditionalFormatting>
  <conditionalFormatting sqref="B3367">
    <cfRule type="containsText" dxfId="226" priority="68" operator="containsText" text="Трактор базы">
      <formula>NOT(ISERROR(SEARCH("Трактор базы",B3367)))</formula>
    </cfRule>
  </conditionalFormatting>
  <conditionalFormatting sqref="A3430:B3430">
    <cfRule type="containsText" dxfId="225" priority="6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24" priority="65" operator="containsText" text="Газель базы">
      <formula>NOT(ISERROR(SEARCH("Газель базы",B3430)))</formula>
    </cfRule>
    <cfRule type="containsText" dxfId="223" priority="66" operator="containsText" text="Погрузчик базы">
      <formula>NOT(ISERROR(SEARCH("Погрузчик базы",B3430)))</formula>
    </cfRule>
  </conditionalFormatting>
  <conditionalFormatting sqref="B3430">
    <cfRule type="containsText" dxfId="222" priority="64" operator="containsText" text="Трактор базы">
      <formula>NOT(ISERROR(SEARCH("Трактор базы",B3430)))</formula>
    </cfRule>
  </conditionalFormatting>
  <conditionalFormatting sqref="A3430">
    <cfRule type="containsText" dxfId="221" priority="6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20" priority="6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19" priority="5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18" priority="5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17" priority="5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16" priority="5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15" priority="50" operator="containsText" text="Газель базы">
      <formula>NOT(ISERROR(SEARCH("Газель базы",B3480)))</formula>
    </cfRule>
    <cfRule type="containsText" dxfId="214" priority="51" operator="containsText" text="Погрузчик базы">
      <formula>NOT(ISERROR(SEARCH("Погрузчик базы",B3480)))</formula>
    </cfRule>
  </conditionalFormatting>
  <conditionalFormatting sqref="B3480">
    <cfRule type="containsText" dxfId="213" priority="49" operator="containsText" text="Трактор базы">
      <formula>NOT(ISERROR(SEARCH("Трактор базы",B3480)))</formula>
    </cfRule>
  </conditionalFormatting>
  <conditionalFormatting sqref="A3480">
    <cfRule type="containsText" dxfId="212" priority="4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11" priority="4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10" priority="4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09" priority="4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08" priority="4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07" priority="4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06" priority="4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05" priority="4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04" priority="33" operator="containsText" text="Трактор базы">
      <formula>NOT(ISERROR(SEARCH("Трактор базы",B3601)))</formula>
    </cfRule>
  </conditionalFormatting>
  <conditionalFormatting sqref="B3601:B3612">
    <cfRule type="containsText" dxfId="203" priority="3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02" priority="34" operator="containsText" text="Газель базы">
      <formula>NOT(ISERROR(SEARCH("Газель базы",B3601)))</formula>
    </cfRule>
    <cfRule type="containsText" dxfId="201" priority="35" operator="containsText" text="Погрузчик базы">
      <formula>NOT(ISERROR(SEARCH("Погрузчик базы",B3601)))</formula>
    </cfRule>
  </conditionalFormatting>
  <conditionalFormatting sqref="A3696">
    <cfRule type="containsText" dxfId="200" priority="3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99" priority="3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98" priority="3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97" priority="2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96" priority="2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95" priority="2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94" priority="2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93" priority="2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92" priority="2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91" priority="2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90" priority="21" operator="containsText" text="Газель базы">
      <formula>NOT(ISERROR(SEARCH("Газель базы",B3750)))</formula>
    </cfRule>
    <cfRule type="containsText" dxfId="189" priority="22" operator="containsText" text="Погрузчик базы">
      <formula>NOT(ISERROR(SEARCH("Погрузчик базы",B3750)))</formula>
    </cfRule>
  </conditionalFormatting>
  <conditionalFormatting sqref="B3750:B3751">
    <cfRule type="containsText" dxfId="188" priority="20" operator="containsText" text="Трактор базы">
      <formula>NOT(ISERROR(SEARCH("Трактор базы",B3750)))</formula>
    </cfRule>
  </conditionalFormatting>
  <conditionalFormatting sqref="B3761:B3762">
    <cfRule type="containsText" dxfId="187" priority="1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86" priority="17" operator="containsText" text="Газель базы">
      <formula>NOT(ISERROR(SEARCH("Газель базы",B3761)))</formula>
    </cfRule>
    <cfRule type="containsText" dxfId="185" priority="18" operator="containsText" text="Погрузчик базы">
      <formula>NOT(ISERROR(SEARCH("Погрузчик базы",B3761)))</formula>
    </cfRule>
  </conditionalFormatting>
  <conditionalFormatting sqref="B3761:B3762">
    <cfRule type="containsText" dxfId="184" priority="16" operator="containsText" text="Трактор базы">
      <formula>NOT(ISERROR(SEARCH("Трактор базы",B3761)))</formula>
    </cfRule>
  </conditionalFormatting>
  <conditionalFormatting sqref="A3778">
    <cfRule type="containsText" dxfId="183" priority="1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82" priority="1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81" priority="1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80" priority="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79" priority="1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78" priority="1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77" priority="1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76" priority="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75" priority="6" operator="containsText" text="Газель базы">
      <formula>NOT(ISERROR(SEARCH("Газель базы",B3797)))</formula>
    </cfRule>
    <cfRule type="containsText" dxfId="174" priority="7" operator="containsText" text="Погрузчик базы">
      <formula>NOT(ISERROR(SEARCH("Погрузчик базы",B3797)))</formula>
    </cfRule>
  </conditionalFormatting>
  <conditionalFormatting sqref="B3797">
    <cfRule type="containsText" dxfId="173" priority="5" operator="containsText" text="Трактор базы">
      <formula>NOT(ISERROR(SEARCH("Трактор базы",B3797)))</formula>
    </cfRule>
  </conditionalFormatting>
  <conditionalFormatting sqref="B3799:B3800">
    <cfRule type="containsText" dxfId="172" priority="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71" priority="2" operator="containsText" text="Газель базы">
      <formula>NOT(ISERROR(SEARCH("Газель базы",B3799)))</formula>
    </cfRule>
    <cfRule type="containsText" dxfId="170" priority="3" operator="containsText" text="Погрузчик базы">
      <formula>NOT(ISERROR(SEARCH("Погрузчик базы",B3799)))</formula>
    </cfRule>
  </conditionalFormatting>
  <conditionalFormatting sqref="B3799:B3800">
    <cfRule type="containsText" dxfId="169" priority="1" operator="containsText" text="Трактор базы">
      <formula>NOT(ISERROR(SEARCH("Трактор базы",B3799)))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zoomScale="80" zoomScaleNormal="80" workbookViewId="0">
      <selection sqref="A1:M233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168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16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6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165" priority="2" operator="containsText" text="Газель базы">
      <formula>NOT(ISERROR(SEARCH("Газель базы",E2)))</formula>
    </cfRule>
    <cfRule type="containsText" dxfId="164" priority="3" operator="containsText" text="Погрузчик базы">
      <formula>NOT(ISERROR(SEARCH("Погрузчик базы",E2)))</formula>
    </cfRule>
  </conditionalFormatting>
  <conditionalFormatting sqref="E2:E255">
    <cfRule type="containsText" dxfId="16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5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t="s">
        <v>10719</v>
      </c>
      <c r="J133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t="s">
        <v>11016</v>
      </c>
      <c r="J134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t="s">
        <v>11013</v>
      </c>
      <c r="J135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t="s">
        <v>11010</v>
      </c>
      <c r="J136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t="s">
        <v>11151</v>
      </c>
      <c r="J137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t="s">
        <v>11148</v>
      </c>
      <c r="J138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t="s">
        <v>11466</v>
      </c>
      <c r="J139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t="s">
        <v>11463</v>
      </c>
      <c r="J14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t="s">
        <v>11685</v>
      </c>
      <c r="J141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t="s">
        <v>11682</v>
      </c>
      <c r="J142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t="s">
        <v>11882</v>
      </c>
      <c r="J143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t="s">
        <v>11888</v>
      </c>
      <c r="J144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t="s">
        <v>11992</v>
      </c>
      <c r="J145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</sheetData>
  <conditionalFormatting sqref="E146:E167 D2:E145">
    <cfRule type="containsText" dxfId="162" priority="6" operator="containsText" text="Выезд с территории">
      <formula>NOT(ISERROR(SEARCH("Выезд с территории",D2)))</formula>
    </cfRule>
  </conditionalFormatting>
  <conditionalFormatting sqref="D2:D145">
    <cfRule type="containsText" dxfId="16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5">
    <cfRule type="containsText" dxfId="16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7">
    <cfRule type="containsText" dxfId="159" priority="2" operator="containsText" text="Газель базы">
      <formula>NOT(ISERROR(SEARCH("Газель базы",E2)))</formula>
    </cfRule>
    <cfRule type="containsText" dxfId="158" priority="3" operator="containsText" text="Погрузчик базы">
      <formula>NOT(ISERROR(SEARCH("Погрузчик базы",E2)))</formula>
    </cfRule>
  </conditionalFormatting>
  <conditionalFormatting sqref="E2:E167">
    <cfRule type="containsText" dxfId="15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19 Хронометраж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2026-02-18T03:46:06Z</dcterms:modified>
</cp:coreProperties>
</file>