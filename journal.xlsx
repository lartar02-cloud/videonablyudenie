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E3134D5E-C2DC-468B-9202-FE02BF9CB3F7}" xr6:coauthVersionLast="47" xr6:coauthVersionMax="47" xr10:uidLastSave="{00000000-0000-0000-0000-000000000000}"/>
  <bookViews>
    <workbookView xWindow="-120" yWindow="-120" windowWidth="20730" windowHeight="11040" firstSheet="9" activeTab="12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въезд'!$A$1:$L$216</definedName>
    <definedName name="ExternalData_1" localSheetId="9" hidden="1">'10 Сушилка навес'!$A$1:$L$558</definedName>
    <definedName name="ExternalData_1" localSheetId="10" hidden="1">'11 С ангара на базу'!$A$1:$L$248</definedName>
    <definedName name="ExternalData_1" localSheetId="11" hidden="1">'12 Площадка 3 кран'!$A$1:$L$162</definedName>
    <definedName name="ExternalData_1" localSheetId="12" hidden="1">'13 Склад хол'!$A$1:$L$140</definedName>
    <definedName name="ExternalData_1" localSheetId="1" hidden="1">'2 Пилорама поката'!$A$1:$L$234</definedName>
    <definedName name="ExternalData_1" localSheetId="2" hidden="1">'3 Въезд на базу'!$A$1:$L$135</definedName>
    <definedName name="ExternalData_1" localSheetId="3" hidden="1">'4 Крыльцо офиса'!$A$1:$L$153</definedName>
    <definedName name="ExternalData_1" localSheetId="4" hidden="1">'5 Крыльцо общага'!$A$1:$L$240</definedName>
    <definedName name="ExternalData_1" localSheetId="5" hidden="1">'6 Площадка 1 общага'!$A$1:$L$116</definedName>
    <definedName name="ExternalData_1" localSheetId="6" hidden="1">'7 Площадка 2 бетонщики'!$A$1:$L$250</definedName>
    <definedName name="ExternalData_1" localSheetId="7" hidden="1">'8 Рейсмус'!$A$1:$L$232</definedName>
    <definedName name="ExternalData_1" localSheetId="8" hidden="1">'9 Ангар пилорама'!$A$1:$L$543</definedName>
    <definedName name="ExternalData_1" localSheetId="14" hidden="1">Загрузка!$A$1:$L$213</definedName>
    <definedName name="ExternalData_1" localSheetId="15" hidden="1">'Стороний грузовой транспорт'!$A$1:$L$386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340" i="38"/>
  <c r="M341" i="38"/>
  <c r="M342" i="38"/>
  <c r="M343" i="38"/>
  <c r="M344" i="38"/>
  <c r="M345" i="38"/>
  <c r="M346" i="38"/>
  <c r="M347" i="38"/>
  <c r="M348" i="38"/>
  <c r="M349" i="38"/>
  <c r="M350" i="38"/>
  <c r="M351" i="38"/>
  <c r="M352" i="38"/>
  <c r="M353" i="38"/>
  <c r="M354" i="38"/>
  <c r="M355" i="38"/>
  <c r="M356" i="38"/>
  <c r="M357" i="38"/>
  <c r="M358" i="38"/>
  <c r="M359" i="38"/>
  <c r="M360" i="38"/>
  <c r="M361" i="38"/>
  <c r="M362" i="38"/>
  <c r="M363" i="38"/>
  <c r="M364" i="38"/>
  <c r="M365" i="38"/>
  <c r="M366" i="38"/>
  <c r="M367" i="38"/>
  <c r="M368" i="38"/>
  <c r="M369" i="38"/>
  <c r="M370" i="38"/>
  <c r="M371" i="38"/>
  <c r="M372" i="38"/>
  <c r="M373" i="38"/>
  <c r="M374" i="38"/>
  <c r="M375" i="38"/>
  <c r="M376" i="38"/>
  <c r="M377" i="38"/>
  <c r="M378" i="38"/>
  <c r="M379" i="38"/>
  <c r="M380" i="38"/>
  <c r="M381" i="38"/>
  <c r="M382" i="38"/>
  <c r="M383" i="38"/>
  <c r="M384" i="38"/>
  <c r="M385" i="38"/>
  <c r="M386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<sst xmlns="http://schemas.openxmlformats.org/spreadsheetml/2006/main" count="45043" uniqueCount="10143">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</sst>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77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16" tableType="queryTable" totalsRowShown="0">
  <autoFilter ref="A1:N216" xr:uid="{B468AF39-21AE-47BD-BA18-EADB2FC1D520}"/>
  <tableColumns count="14">
    <tableColumn id="11" xr3:uid="{6F8E650D-029B-40AD-86B4-92C160128A4F}" uniqueName="11" name="День нед" queryTableFieldId="39" dataDxfId="775"/>
    <tableColumn id="8" xr3:uid="{7C2AA400-8F21-45B7-B47D-9CF2CFB5DD00}" uniqueName="8" name="Дата" queryTableFieldId="19" dataDxfId="774"/>
    <tableColumn id="9" xr3:uid="{7CB7ABF0-C98D-49E4-A494-985A43D5F40F}" uniqueName="9" name="Время" queryTableFieldId="20" dataDxfId="773"/>
    <tableColumn id="5" xr3:uid="{613A944B-9245-4C6D-9CCE-5037AD552DED}" uniqueName="5" name="Событие" queryTableFieldId="27" dataDxfId="772"/>
    <tableColumn id="7" xr3:uid="{FFEA85A5-3527-4483-91CE-57F760AB9F33}" uniqueName="7" name="Объект" queryTableFieldId="29" dataDxfId="771"/>
    <tableColumn id="10" xr3:uid="{A2E2C27E-C1B2-4B74-A427-E1854B0E2C76}" uniqueName="10" name="Груз" queryTableFieldId="30" dataDxfId="770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769"/>
    <tableColumn id="4" xr3:uid="{B2B57637-8A7D-4C5F-A6F8-E38F3EA43620}" uniqueName="4" name="Name" queryTableFieldId="14" dataDxfId="768"/>
    <tableColumn id="1" xr3:uid="{79275791-6385-434B-9F1B-8BDC003824A7}" uniqueName="1" name="Folder Path" queryTableFieldId="11" dataDxfId="767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766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765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34" tableType="queryTable" totalsRowShown="0">
  <autoFilter ref="A1:M234" xr:uid="{B468AF39-21AE-47BD-BA18-EADB2FC1D520}"/>
  <tableColumns count="13">
    <tableColumn id="11" xr3:uid="{6804E693-7D64-41A5-9B58-B7D348C4DC92}" uniqueName="11" name="День нед" queryTableFieldId="39" dataDxfId="764"/>
    <tableColumn id="8" xr3:uid="{40827FD9-94EC-4CF6-B212-59CF3E913897}" uniqueName="8" name="Дата" queryTableFieldId="19" dataDxfId="763"/>
    <tableColumn id="9" xr3:uid="{1F8E8ADE-5BFB-4171-9A0A-859E22042D3B}" uniqueName="9" name="Время" queryTableFieldId="20" dataDxfId="762"/>
    <tableColumn id="5" xr3:uid="{9D19F2E1-3C70-4F2F-8ED7-6D41C17A9366}" uniqueName="5" name="Событие" queryTableFieldId="27" dataDxfId="761"/>
    <tableColumn id="7" xr3:uid="{8C8CC69A-BA0A-4417-AE7D-B89E26F69F9B}" uniqueName="7" name="Объект" queryTableFieldId="29" dataDxfId="760"/>
    <tableColumn id="10" xr3:uid="{375C36FB-077D-4AA3-B6F7-74ACE46C2638}" uniqueName="10" name="Груз" queryTableFieldId="30" dataDxfId="759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758"/>
    <tableColumn id="4" xr3:uid="{4A5BB282-D54C-4C68-A1D9-B3A819F9FCF6}" uniqueName="4" name="Name" queryTableFieldId="14" dataDxfId="757"/>
    <tableColumn id="1" xr3:uid="{7BD19058-41FF-4EFE-8283-68501A5B1623}" uniqueName="1" name="Folder Path" queryTableFieldId="11" dataDxfId="756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755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35" tableType="queryTable" totalsRowShown="0">
  <autoFilter ref="A1:M135" xr:uid="{B468AF39-21AE-47BD-BA18-EADB2FC1D520}"/>
  <tableColumns count="13">
    <tableColumn id="11" xr3:uid="{8C7989A8-AE95-4BFB-859E-9F3F94DCD873}" uniqueName="11" name="День нед" queryTableFieldId="39" dataDxfId="754"/>
    <tableColumn id="8" xr3:uid="{B651DAE5-1AB7-4761-9820-CB58DA0D9C46}" uniqueName="8" name="Дата" queryTableFieldId="19" dataDxfId="753"/>
    <tableColumn id="9" xr3:uid="{22B6AE73-6E8B-4F81-B85C-3D141AD4D773}" uniqueName="9" name="Время" queryTableFieldId="20" dataDxfId="752"/>
    <tableColumn id="5" xr3:uid="{CB5AF0FF-A861-4F29-BFD9-751A47066C68}" uniqueName="5" name="Событие" queryTableFieldId="27" dataDxfId="751"/>
    <tableColumn id="7" xr3:uid="{63916370-0910-4B95-ABB4-D88865AA9E43}" uniqueName="7" name="Объект" queryTableFieldId="29" dataDxfId="750"/>
    <tableColumn id="10" xr3:uid="{DDC7656E-7390-4778-A2CE-EEC7AC518263}" uniqueName="10" name="Груз" queryTableFieldId="30" dataDxfId="749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748"/>
    <tableColumn id="4" xr3:uid="{96665EED-E1B8-437C-869A-35CB5BA419D3}" uniqueName="4" name="Name" queryTableFieldId="14" dataDxfId="747"/>
    <tableColumn id="1" xr3:uid="{1F225BD8-B59D-4058-9D99-17124C1F38FB}" uniqueName="1" name="Folder Path" queryTableFieldId="11" dataDxfId="746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745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53" tableType="queryTable" totalsRowShown="0">
  <tableColumns count="13">
    <tableColumn id="11" xr3:uid="{F25D1388-C4DF-49FB-9BF5-0132CEDCCAEA}" uniqueName="11" name="День нед" queryTableFieldId="39" dataDxfId="744"/>
    <tableColumn id="8" xr3:uid="{9EDCCA26-9FD6-4F66-9134-186F89CA663B}" uniqueName="8" name="Дата" queryTableFieldId="19" dataDxfId="743"/>
    <tableColumn id="9" xr3:uid="{FB005DB9-8D3C-48A5-94F1-246606C665DD}" uniqueName="9" name="Время" queryTableFieldId="20" dataDxfId="742"/>
    <tableColumn id="5" xr3:uid="{6D19407C-64CF-4FC5-95E7-163AA12EB226}" uniqueName="5" name="Событие" queryTableFieldId="27" dataDxfId="741"/>
    <tableColumn id="7" xr3:uid="{007BF834-0BCB-4416-8941-11DA4EDFCE5B}" uniqueName="7" name="Объект" queryTableFieldId="29" dataDxfId="740"/>
    <tableColumn id="10" xr3:uid="{E896F002-4451-441D-B0CB-52AD69A6E5C3}" uniqueName="10" name="Груз" queryTableFieldId="30" dataDxfId="739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738"/>
    <tableColumn id="4" xr3:uid="{9F6560FA-27F8-4BE9-BA58-3B0E40F582E5}" uniqueName="4" name="Name" queryTableFieldId="14" dataDxfId="737"/>
    <tableColumn id="1" xr3:uid="{44892CD0-9118-4535-9434-E49462140346}" uniqueName="1" name="Folder Path" queryTableFieldId="11" dataDxfId="736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735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40" tableType="queryTable" totalsRowShown="0">
  <tableColumns count="13">
    <tableColumn id="11" xr3:uid="{390CB009-E9E0-4C0F-93C3-AF6B408B816B}" uniqueName="11" name="День нед" queryTableFieldId="39" dataDxfId="734"/>
    <tableColumn id="8" xr3:uid="{E0A1C296-A368-479C-9A74-85306B3C03D4}" uniqueName="8" name="Дата" queryTableFieldId="19" dataDxfId="733"/>
    <tableColumn id="9" xr3:uid="{86401298-83EB-49D3-ACBA-E743586F5CCB}" uniqueName="9" name="Время" queryTableFieldId="20" dataDxfId="732"/>
    <tableColumn id="5" xr3:uid="{FFB4F03A-A400-4544-A729-2375A1F7D5E8}" uniqueName="5" name="Событие" queryTableFieldId="27" dataDxfId="731"/>
    <tableColumn id="7" xr3:uid="{D96DCF3C-D325-4D0C-94A1-DBE97CC5C9DC}" uniqueName="7" name="Объект" queryTableFieldId="29" dataDxfId="730"/>
    <tableColumn id="10" xr3:uid="{76D99262-42F5-447E-95AC-9C2A84BF344C}" uniqueName="10" name="Груз" queryTableFieldId="30" dataDxfId="729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728"/>
    <tableColumn id="4" xr3:uid="{D16AEB37-7A8A-406F-8ED7-B8D53BAA9BD9}" uniqueName="4" name="Name" queryTableFieldId="14" dataDxfId="727"/>
    <tableColumn id="1" xr3:uid="{1746BE5F-089A-476F-AE8D-5F2B27E9AEEA}" uniqueName="1" name="Folder Path" queryTableFieldId="11" dataDxfId="726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725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16" tableType="queryTable" totalsRowShown="0">
  <tableColumns count="13">
    <tableColumn id="11" xr3:uid="{45D23538-AB74-404E-8577-E2B7A36436AF}" uniqueName="11" name="День нед" queryTableFieldId="39" dataDxfId="724"/>
    <tableColumn id="8" xr3:uid="{40B01B94-168F-4547-A2BC-AA7F91350AB3}" uniqueName="8" name="Дата" queryTableFieldId="19" dataDxfId="723"/>
    <tableColumn id="9" xr3:uid="{A2C94EFB-3081-4BA9-85C2-DFF0455AFA43}" uniqueName="9" name="Время" queryTableFieldId="20" dataDxfId="722"/>
    <tableColumn id="5" xr3:uid="{244D3D34-C9EC-4B9C-BE81-12A0C0BB4342}" uniqueName="5" name="Событие" queryTableFieldId="27" dataDxfId="721"/>
    <tableColumn id="7" xr3:uid="{C449A112-E8A8-4956-B85C-2BA12316F170}" uniqueName="7" name="Объект" queryTableFieldId="29" dataDxfId="720"/>
    <tableColumn id="10" xr3:uid="{C8411557-C312-4542-93DA-DF5949399E11}" uniqueName="10" name="Груз" queryTableFieldId="30" dataDxfId="719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718"/>
    <tableColumn id="4" xr3:uid="{6A396D44-0898-4737-A4C1-8D6D40981793}" uniqueName="4" name="Name" queryTableFieldId="14" dataDxfId="717"/>
    <tableColumn id="1" xr3:uid="{328F21C9-48B9-4081-9B8C-BBD168BD38D1}" uniqueName="1" name="Folder Path" queryTableFieldId="11" dataDxfId="716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715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50" tableType="queryTable" totalsRowShown="0">
  <tableColumns count="13">
    <tableColumn id="11" xr3:uid="{2311EAC9-4673-4BE2-ADB0-E8CEB0BD9945}" uniqueName="11" name="День нед" queryTableFieldId="39" dataDxfId="714"/>
    <tableColumn id="8" xr3:uid="{F1C9804A-F8E7-4755-B717-859265C587A2}" uniqueName="8" name="Дата" queryTableFieldId="19" dataDxfId="713"/>
    <tableColumn id="9" xr3:uid="{1C2BA522-8D4F-4713-849C-1F60357B476E}" uniqueName="9" name="Время" queryTableFieldId="20" dataDxfId="712"/>
    <tableColumn id="5" xr3:uid="{6E084A00-DC62-4E93-8ABC-4651FD4D2408}" uniqueName="5" name="Событие" queryTableFieldId="27" dataDxfId="711"/>
    <tableColumn id="7" xr3:uid="{C9F6EF14-DBE7-4655-9D20-5B253923C11E}" uniqueName="7" name="Объект" queryTableFieldId="29" dataDxfId="710"/>
    <tableColumn id="10" xr3:uid="{0ADEC0F9-9FE9-4E92-BD38-0B8CDDE1BDBD}" uniqueName="10" name="Груз" queryTableFieldId="30" dataDxfId="709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708"/>
    <tableColumn id="4" xr3:uid="{FE606B6B-0A78-44A2-B44F-54FBA553BAD6}" uniqueName="4" name="Name" queryTableFieldId="14" dataDxfId="707"/>
    <tableColumn id="1" xr3:uid="{34274AB2-665A-4EF1-8C79-4944C9C122A7}" uniqueName="1" name="Folder Path" queryTableFieldId="11" dataDxfId="706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705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32" tableType="queryTable" totalsRowShown="0">
  <tableColumns count="13">
    <tableColumn id="11" xr3:uid="{72CE202A-C56C-4D63-9F9F-0DFF72BB5190}" uniqueName="11" name="День нед" queryTableFieldId="39" dataDxfId="704"/>
    <tableColumn id="8" xr3:uid="{0D9F5C4C-70B0-46E2-9E29-649E206B6616}" uniqueName="8" name="Дата" queryTableFieldId="19" dataDxfId="703"/>
    <tableColumn id="9" xr3:uid="{7C8561D4-BD7D-493F-BC95-213F2D55F3FD}" uniqueName="9" name="Время" queryTableFieldId="20" dataDxfId="702"/>
    <tableColumn id="5" xr3:uid="{E48795B2-2732-4E4A-81E8-B1585581420B}" uniqueName="5" name="Событие" queryTableFieldId="27" dataDxfId="701"/>
    <tableColumn id="7" xr3:uid="{F684EE24-0636-4EC2-AB94-A65EA5355534}" uniqueName="7" name="Объект" queryTableFieldId="29" dataDxfId="700"/>
    <tableColumn id="10" xr3:uid="{0C1B5273-277F-4438-B52D-9F868AD13DEE}" uniqueName="10" name="Груз" queryTableFieldId="30" dataDxfId="699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698"/>
    <tableColumn id="4" xr3:uid="{729433F6-F4FD-435B-851D-D34CC9060068}" uniqueName="4" name="Name" queryTableFieldId="14" dataDxfId="697"/>
    <tableColumn id="1" xr3:uid="{7A9B9B80-B872-4A82-9D9D-98A75E20F89B}" uniqueName="1" name="Folder Path" queryTableFieldId="11" dataDxfId="696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695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43" tableType="queryTable" totalsRowShown="0">
  <tableColumns count="13">
    <tableColumn id="11" xr3:uid="{2CE691F0-1D02-41BD-8E81-7716875609CD}" uniqueName="11" name="День нед" queryTableFieldId="39" dataDxfId="694"/>
    <tableColumn id="8" xr3:uid="{1A2A3B97-F602-468E-8AD3-5DD492638A71}" uniqueName="8" name="Дата" queryTableFieldId="19" dataDxfId="693"/>
    <tableColumn id="9" xr3:uid="{E8725BDD-FF6C-47C3-9100-825160B93721}" uniqueName="9" name="Время" queryTableFieldId="20" dataDxfId="692"/>
    <tableColumn id="5" xr3:uid="{F68EB906-7F6F-4765-A5C8-9B40064179BE}" uniqueName="5" name="Событие" queryTableFieldId="27" dataDxfId="691"/>
    <tableColumn id="7" xr3:uid="{812FE0F9-0D7E-497C-893A-B104BA069155}" uniqueName="7" name="Объект" queryTableFieldId="29" dataDxfId="690"/>
    <tableColumn id="10" xr3:uid="{1679E688-A047-4936-9EBC-9BDCFEA4CD95}" uniqueName="10" name="Груз" queryTableFieldId="30" dataDxfId="689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688"/>
    <tableColumn id="4" xr3:uid="{F9F7F55E-2CCF-4A6B-892F-1C76C0668832}" uniqueName="4" name="Name" queryTableFieldId="14" dataDxfId="687"/>
    <tableColumn id="1" xr3:uid="{0AF9B05B-8D0E-4B8A-81D0-358A18429CE8}" uniqueName="1" name="Folder Path" queryTableFieldId="11" dataDxfId="686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685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558" tableType="queryTable" totalsRowShown="0">
  <tableColumns count="13">
    <tableColumn id="11" xr3:uid="{96A6BDDB-7ED5-4607-80F3-3FD842EAEE0A}" uniqueName="11" name="День нед" queryTableFieldId="39" dataDxfId="684"/>
    <tableColumn id="8" xr3:uid="{FBEC9ECA-BD5C-442E-BB86-7CCAEF9464D2}" uniqueName="8" name="Дата" queryTableFieldId="19" dataDxfId="683"/>
    <tableColumn id="9" xr3:uid="{68242AF7-BC60-4380-843B-35A6CC4A66E6}" uniqueName="9" name="Время" queryTableFieldId="20" dataDxfId="682"/>
    <tableColumn id="5" xr3:uid="{C98BCFD6-9DE9-4A28-B769-F5737933429D}" uniqueName="5" name="Событие" queryTableFieldId="27" dataDxfId="681"/>
    <tableColumn id="7" xr3:uid="{4D44F8D4-93A4-4851-894E-AC8CDD93BD71}" uniqueName="7" name="Объект" queryTableFieldId="29" dataDxfId="680"/>
    <tableColumn id="10" xr3:uid="{0A838B00-A88A-40EE-A542-7E8E08968D89}" uniqueName="10" name="Груз" queryTableFieldId="30" dataDxfId="679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678"/>
    <tableColumn id="4" xr3:uid="{4FA2E248-D5A3-4824-875F-C328FA9AC2F9}" uniqueName="4" name="Name" queryTableFieldId="14" dataDxfId="677"/>
    <tableColumn id="1" xr3:uid="{B01A6B83-82C4-4172-AD5B-D2AF410DBE1B}" uniqueName="1" name="Folder Path" queryTableFieldId="11" dataDxfId="676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675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48" tableType="queryTable" totalsRowShown="0">
  <tableColumns count="13">
    <tableColumn id="11" xr3:uid="{2AD64508-44AB-4871-8C82-4C5A1E5A5DD2}" uniqueName="11" name="День нед" queryTableFieldId="39" dataDxfId="674"/>
    <tableColumn id="8" xr3:uid="{C788117B-4896-492B-97B3-B2502F0537D8}" uniqueName="8" name="Дата" queryTableFieldId="19" dataDxfId="673"/>
    <tableColumn id="9" xr3:uid="{E3EF5757-6705-492A-BD76-A47D414757C0}" uniqueName="9" name="Время" queryTableFieldId="20" dataDxfId="672"/>
    <tableColumn id="5" xr3:uid="{EF049B28-F832-4F3D-AB4F-3C396920BF5B}" uniqueName="5" name="Событие" queryTableFieldId="27" dataDxfId="671"/>
    <tableColumn id="7" xr3:uid="{DDB63E42-2809-4377-A568-A326109989E9}" uniqueName="7" name="Объект" queryTableFieldId="29" dataDxfId="670"/>
    <tableColumn id="10" xr3:uid="{A4FCF3D3-582A-4DEF-8FB8-9D050C82517D}" uniqueName="10" name="Груз" queryTableFieldId="30" dataDxfId="669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668"/>
    <tableColumn id="4" xr3:uid="{DA63B8EC-3587-40B4-A86A-92B91C78723D}" uniqueName="4" name="Name" queryTableFieldId="14" dataDxfId="667"/>
    <tableColumn id="1" xr3:uid="{360C7476-DEC6-4377-8E95-D472C6673B12}" uniqueName="1" name="Folder Path" queryTableFieldId="11" dataDxfId="666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665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62" tableType="queryTable" totalsRowShown="0">
  <tableColumns count="13">
    <tableColumn id="11" xr3:uid="{C40005DE-8CA6-428A-9DF2-E715CC943F02}" uniqueName="11" name="День нед" queryTableFieldId="39" dataDxfId="664"/>
    <tableColumn id="8" xr3:uid="{55C75F47-F14F-483C-9C7A-95288D9463D6}" uniqueName="8" name="Дата" queryTableFieldId="19" dataDxfId="663"/>
    <tableColumn id="9" xr3:uid="{79D3981C-638A-4D64-BACB-D64D85DAC855}" uniqueName="9" name="Время" queryTableFieldId="20" dataDxfId="662"/>
    <tableColumn id="5" xr3:uid="{B0B848B5-29B2-4292-89A5-7DE5A2F72D15}" uniqueName="5" name="Событие" queryTableFieldId="27" dataDxfId="661"/>
    <tableColumn id="7" xr3:uid="{A9E0C8AC-2336-4969-BC3E-110E6C33529C}" uniqueName="7" name="Объект" queryTableFieldId="29" dataDxfId="660"/>
    <tableColumn id="10" xr3:uid="{F8691CA5-2689-452F-9550-C52E06B35BD6}" uniqueName="10" name="Груз" queryTableFieldId="30" dataDxfId="659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658"/>
    <tableColumn id="4" xr3:uid="{E9716AC2-8439-4E67-8698-BA6CD84F7B9C}" uniqueName="4" name="Name" queryTableFieldId="14" dataDxfId="657"/>
    <tableColumn id="1" xr3:uid="{9AB30DEC-91E3-4633-A156-B937B586CECB}" uniqueName="1" name="Folder Path" queryTableFieldId="11" dataDxfId="656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655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40" tableType="queryTable" totalsRowShown="0">
  <tableColumns count="13">
    <tableColumn id="11" xr3:uid="{B21CFC33-55C8-4073-BBD2-E0A5154A10D6}" uniqueName="11" name="День нед" queryTableFieldId="39" dataDxfId="654"/>
    <tableColumn id="8" xr3:uid="{004370C0-0D3C-4162-A392-32C741C3A58B}" uniqueName="8" name="Дата" queryTableFieldId="19" dataDxfId="653"/>
    <tableColumn id="9" xr3:uid="{6537DA5E-247D-44FB-ACE3-933B3C9B9408}" uniqueName="9" name="Время" queryTableFieldId="20" dataDxfId="652"/>
    <tableColumn id="5" xr3:uid="{4FA9309D-407E-48C1-B1F9-C33DEA7645B1}" uniqueName="5" name="Событие" queryTableFieldId="27" dataDxfId="651"/>
    <tableColumn id="7" xr3:uid="{76E54E9E-D730-4C99-9BF5-96E9384FF63C}" uniqueName="7" name="Объект" queryTableFieldId="29" dataDxfId="650"/>
    <tableColumn id="10" xr3:uid="{B9F78DE2-7938-486B-9BE2-F824D0E7A6C4}" uniqueName="10" name="Груз" queryTableFieldId="30" dataDxfId="649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48"/>
    <tableColumn id="4" xr3:uid="{921D28C1-5761-48A7-B447-6A4446F87545}" uniqueName="4" name="Name" queryTableFieldId="14" dataDxfId="647"/>
    <tableColumn id="1" xr3:uid="{F1A648C1-8DB5-4DEF-B011-BD85E17FCAA3}" uniqueName="1" name="Folder Path" queryTableFieldId="11" dataDxfId="646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645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219" totalsRowShown="0">
  <autoFilter ref="A1:G3219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13" tableType="queryTable" totalsRowShown="0">
  <autoFilter ref="A1:M213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644"/>
    <tableColumn id="3" xr3:uid="{8C3702C1-E43C-496C-A204-7587B7ED5C05}" uniqueName="3" name="Время" queryTableFieldId="3" dataDxfId="643"/>
    <tableColumn id="4" xr3:uid="{C16264D0-558B-425C-8205-E671C6E3EB9E}" uniqueName="4" name="Событие" queryTableFieldId="4" dataDxfId="642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777"/>
    <tableColumn id="10" xr3:uid="{37082223-0A57-495F-97B8-0BCE1F173A2E}" uniqueName="10" name="Folder Path" queryTableFieldId="10" dataDxfId="776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41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86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16"/>
  <sheetViews>
    <sheetView zoomScale="90" zoomScaleNormal="90" workbookViewId="0">
      <pane ySplit="1" topLeftCell="A194" activePane="bottomLeft" state="frozen"/>
      <selection pane="bottomLeft" activeCell="E201" sqref="E20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s="8" t="s">
        <v>64</v>
      </c>
      <c r="E143" s="8" t="s">
        <v>4193</v>
      </c>
      <c r="F143" s="8" t="s">
        <v>5076</v>
      </c>
      <c r="H143" s="8"/>
      <c r="I143" s="8" t="s">
        <v>7242</v>
      </c>
      <c r="J143" s="8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s="8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s="8" t="s">
        <v>85</v>
      </c>
      <c r="E144" s="8" t="s">
        <v>4193</v>
      </c>
      <c r="F144" s="8" t="s">
        <v>5076</v>
      </c>
      <c r="H144" s="8"/>
      <c r="I144" s="8" t="s">
        <v>7245</v>
      </c>
      <c r="J144" s="8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s="8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s="8" t="s">
        <v>91</v>
      </c>
      <c r="E145" s="8" t="s">
        <v>7410</v>
      </c>
      <c r="F145" s="8" t="s">
        <v>60</v>
      </c>
      <c r="H145" s="8"/>
      <c r="I145" s="8" t="s">
        <v>7248</v>
      </c>
      <c r="J145" s="8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s="8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s="8" t="s">
        <v>62</v>
      </c>
      <c r="E146" s="8" t="s">
        <v>7410</v>
      </c>
      <c r="F146" s="8" t="s">
        <v>51</v>
      </c>
      <c r="H146" s="8"/>
      <c r="I146" s="8" t="s">
        <v>7251</v>
      </c>
      <c r="J146" s="8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s="8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s="8" t="s">
        <v>2004</v>
      </c>
      <c r="E147" s="8"/>
      <c r="F147" s="8"/>
      <c r="H147" s="8"/>
      <c r="I147" s="8" t="s">
        <v>7418</v>
      </c>
      <c r="J147" s="8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s="8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s="8" t="s">
        <v>91</v>
      </c>
      <c r="E148" s="8" t="s">
        <v>7706</v>
      </c>
      <c r="F148" s="8" t="s">
        <v>60</v>
      </c>
      <c r="H148" s="8"/>
      <c r="I148" s="8" t="s">
        <v>7421</v>
      </c>
      <c r="J148" s="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s="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s="8" t="s">
        <v>62</v>
      </c>
      <c r="E149" s="8" t="s">
        <v>7706</v>
      </c>
      <c r="F149" s="8" t="s">
        <v>51</v>
      </c>
      <c r="H149" s="8"/>
      <c r="I149" s="8" t="s">
        <v>7424</v>
      </c>
      <c r="J149" s="8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s="8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7427</v>
      </c>
      <c r="J150" s="8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s="8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s="8" t="s">
        <v>91</v>
      </c>
      <c r="E151" s="8" t="s">
        <v>4193</v>
      </c>
      <c r="F151" s="8" t="s">
        <v>51</v>
      </c>
      <c r="H151" s="8"/>
      <c r="I151" s="8" t="s">
        <v>7430</v>
      </c>
      <c r="J151" s="8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s="8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7433</v>
      </c>
      <c r="J152" s="8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s="8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s="8" t="s">
        <v>62</v>
      </c>
      <c r="E153" s="8" t="s">
        <v>4193</v>
      </c>
      <c r="F153" s="8" t="s">
        <v>4240</v>
      </c>
      <c r="H153" s="8"/>
      <c r="I153" s="8" t="s">
        <v>7436</v>
      </c>
      <c r="J153" s="8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s="8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s="8" t="s">
        <v>91</v>
      </c>
      <c r="E154" s="8" t="s">
        <v>4193</v>
      </c>
      <c r="F154" s="8" t="s">
        <v>5076</v>
      </c>
      <c r="H154" s="8"/>
      <c r="I154" s="8" t="s">
        <v>7723</v>
      </c>
      <c r="J154" s="8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s="8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s="8" t="s">
        <v>62</v>
      </c>
      <c r="E155" s="8" t="s">
        <v>4193</v>
      </c>
      <c r="F155" s="8" t="s">
        <v>5076</v>
      </c>
      <c r="H155" s="8"/>
      <c r="I155" s="8" t="s">
        <v>7726</v>
      </c>
      <c r="J155" s="8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s="8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s="8" t="s">
        <v>64</v>
      </c>
      <c r="E156" s="8" t="s">
        <v>4193</v>
      </c>
      <c r="F156" s="8" t="s">
        <v>5076</v>
      </c>
      <c r="H156" s="8"/>
      <c r="I156" s="8" t="s">
        <v>7890</v>
      </c>
      <c r="J156" s="8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s="8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s="8" t="s">
        <v>85</v>
      </c>
      <c r="E157" s="8" t="s">
        <v>4193</v>
      </c>
      <c r="F157" s="8" t="s">
        <v>5076</v>
      </c>
      <c r="H157" s="8"/>
      <c r="I157" s="8" t="s">
        <v>7893</v>
      </c>
      <c r="J157" s="8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s="8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s="8" t="s">
        <v>91</v>
      </c>
      <c r="E158" s="8" t="s">
        <v>6329</v>
      </c>
      <c r="F158" s="8" t="s">
        <v>5076</v>
      </c>
      <c r="H158" s="8"/>
      <c r="I158" s="8" t="s">
        <v>7896</v>
      </c>
      <c r="J158" s="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s="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s="8" t="s">
        <v>62</v>
      </c>
      <c r="E159" s="8" t="s">
        <v>6329</v>
      </c>
      <c r="F159" s="8" t="s">
        <v>5076</v>
      </c>
      <c r="H159" s="8"/>
      <c r="I159" s="8" t="s">
        <v>7899</v>
      </c>
      <c r="J159" s="8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s="8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s="8" t="s">
        <v>91</v>
      </c>
      <c r="E160" s="8" t="s">
        <v>4193</v>
      </c>
      <c r="F160" s="8" t="s">
        <v>5076</v>
      </c>
      <c r="H160" s="8"/>
      <c r="I160" s="8" t="s">
        <v>7902</v>
      </c>
      <c r="J160" s="8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s="8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s="8" t="s">
        <v>62</v>
      </c>
      <c r="E161" s="8" t="s">
        <v>4193</v>
      </c>
      <c r="F161" s="8" t="s">
        <v>5076</v>
      </c>
      <c r="H161" s="8"/>
      <c r="I161" s="8" t="s">
        <v>7905</v>
      </c>
      <c r="J161" s="8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s="8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s="8" t="s">
        <v>8040</v>
      </c>
      <c r="E162" s="8" t="s">
        <v>4193</v>
      </c>
      <c r="F162" s="8" t="s">
        <v>5076</v>
      </c>
      <c r="H162" s="8"/>
      <c r="I162" s="8" t="s">
        <v>7908</v>
      </c>
      <c r="J162" s="8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s="8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s="8" t="s">
        <v>64</v>
      </c>
      <c r="E163" s="8" t="s">
        <v>4193</v>
      </c>
      <c r="F163" s="8" t="s">
        <v>5076</v>
      </c>
      <c r="H163" s="8"/>
      <c r="I163" s="8" t="s">
        <v>7911</v>
      </c>
      <c r="J163" s="8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s="8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s="8" t="s">
        <v>62</v>
      </c>
      <c r="E164" s="8" t="s">
        <v>6190</v>
      </c>
      <c r="F164" s="8" t="s">
        <v>51</v>
      </c>
      <c r="H164" s="8"/>
      <c r="I164" s="8" t="s">
        <v>7914</v>
      </c>
      <c r="J164" s="8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s="8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s="8" t="s">
        <v>85</v>
      </c>
      <c r="E165" s="8" t="s">
        <v>4193</v>
      </c>
      <c r="F165" s="8" t="s">
        <v>5076</v>
      </c>
      <c r="H165" s="8"/>
      <c r="I165" s="8" t="s">
        <v>7917</v>
      </c>
      <c r="J165" s="8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s="8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s="8" t="s">
        <v>91</v>
      </c>
      <c r="E166" s="8" t="s">
        <v>8041</v>
      </c>
      <c r="F166" s="8"/>
      <c r="H166" s="8"/>
      <c r="I166" s="8" t="s">
        <v>7920</v>
      </c>
      <c r="J166" s="8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s="8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s="8" t="s">
        <v>62</v>
      </c>
      <c r="E167" s="8" t="s">
        <v>8041</v>
      </c>
      <c r="F167" s="8"/>
      <c r="H167" s="8"/>
      <c r="I167" s="8" t="s">
        <v>7923</v>
      </c>
      <c r="J167" s="8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s="8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s="8" t="s">
        <v>91</v>
      </c>
      <c r="E168" s="8" t="s">
        <v>6190</v>
      </c>
      <c r="F168" s="8" t="s">
        <v>51</v>
      </c>
      <c r="H168" s="8"/>
      <c r="I168" s="8" t="s">
        <v>7926</v>
      </c>
      <c r="J168" s="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s="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8054</v>
      </c>
      <c r="J169" s="8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s="8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8057</v>
      </c>
      <c r="J170" s="8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s="8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s="8" t="s">
        <v>91</v>
      </c>
      <c r="E171" s="8" t="s">
        <v>70</v>
      </c>
      <c r="F171" s="8" t="s">
        <v>5076</v>
      </c>
      <c r="H171" s="8"/>
      <c r="I171" s="8" t="s">
        <v>8060</v>
      </c>
      <c r="J171" s="8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s="8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s="8" t="s">
        <v>62</v>
      </c>
      <c r="E172" s="8" t="s">
        <v>70</v>
      </c>
      <c r="F172" s="8" t="s">
        <v>5076</v>
      </c>
      <c r="H172" s="8"/>
      <c r="I172" s="8" t="s">
        <v>8063</v>
      </c>
      <c r="J172" s="8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s="8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s="8" t="s">
        <v>62</v>
      </c>
      <c r="E173" s="8" t="s">
        <v>6190</v>
      </c>
      <c r="F173" s="8" t="s">
        <v>51</v>
      </c>
      <c r="H173" s="8"/>
      <c r="I173" s="8" t="s">
        <v>8066</v>
      </c>
      <c r="J173" s="8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s="8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s="8" t="s">
        <v>91</v>
      </c>
      <c r="E174" s="8" t="s">
        <v>6190</v>
      </c>
      <c r="F174" s="8" t="s">
        <v>51</v>
      </c>
      <c r="H174" s="8"/>
      <c r="I174" s="8" t="s">
        <v>8069</v>
      </c>
      <c r="J174" s="8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s="8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s="8" t="s">
        <v>2004</v>
      </c>
      <c r="E175" s="8"/>
      <c r="F175" s="8"/>
      <c r="H175" s="8"/>
      <c r="I175" s="8" t="s">
        <v>8072</v>
      </c>
      <c r="J175" s="8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s="8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s="8" t="s">
        <v>2004</v>
      </c>
      <c r="E176" s="8"/>
      <c r="F176" s="8"/>
      <c r="H176" s="8"/>
      <c r="I176" s="8" t="s">
        <v>8075</v>
      </c>
      <c r="J176" s="8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s="8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s="8" t="s">
        <v>2004</v>
      </c>
      <c r="E177" s="8"/>
      <c r="F177" s="8"/>
      <c r="H177" s="8"/>
      <c r="I177" s="8" t="s">
        <v>8372</v>
      </c>
      <c r="J177" s="8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s="8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s="8" t="s">
        <v>91</v>
      </c>
      <c r="E178" s="8" t="s">
        <v>8483</v>
      </c>
      <c r="F178" s="8"/>
      <c r="H178" s="8"/>
      <c r="I178" s="8" t="s">
        <v>8375</v>
      </c>
      <c r="J178" s="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s="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s="8" t="s">
        <v>62</v>
      </c>
      <c r="E179" s="8" t="s">
        <v>8483</v>
      </c>
      <c r="F179" s="8"/>
      <c r="H179" s="8"/>
      <c r="I179" s="8" t="s">
        <v>8378</v>
      </c>
      <c r="J179" s="8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s="8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s="8" t="s">
        <v>2004</v>
      </c>
      <c r="E180" s="8"/>
      <c r="F180" s="8"/>
      <c r="H180" s="8"/>
      <c r="I180" s="8" t="s">
        <v>8381</v>
      </c>
      <c r="J180" s="8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s="8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s="8" t="s">
        <v>2004</v>
      </c>
      <c r="E181" s="8"/>
      <c r="F181" s="8"/>
      <c r="H181" s="8"/>
      <c r="I181" s="8" t="s">
        <v>8505</v>
      </c>
      <c r="J181" s="8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s="8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s="8" t="s">
        <v>91</v>
      </c>
      <c r="E182" s="8" t="s">
        <v>8799</v>
      </c>
      <c r="F182" s="8"/>
      <c r="H182" s="8"/>
      <c r="I182" s="8" t="s">
        <v>8508</v>
      </c>
      <c r="J182" s="8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s="8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s="8" t="s">
        <v>62</v>
      </c>
      <c r="E183" s="8" t="s">
        <v>8799</v>
      </c>
      <c r="F183" s="8"/>
      <c r="H183" s="8"/>
      <c r="I183" s="8" t="s">
        <v>8511</v>
      </c>
      <c r="J183" s="8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s="8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s="8" t="s">
        <v>2004</v>
      </c>
      <c r="E184" s="8"/>
      <c r="F184" s="8"/>
      <c r="H184" s="8"/>
      <c r="I184" s="8" t="s">
        <v>8514</v>
      </c>
      <c r="J184" s="8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s="8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s="8" t="s">
        <v>91</v>
      </c>
      <c r="E185" s="8" t="s">
        <v>8352</v>
      </c>
      <c r="F185" s="8"/>
      <c r="H185" s="8"/>
      <c r="I185" s="8" t="s">
        <v>8517</v>
      </c>
      <c r="J185" s="8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s="8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s="8" t="s">
        <v>62</v>
      </c>
      <c r="E186" s="8" t="s">
        <v>8352</v>
      </c>
      <c r="F186" s="8"/>
      <c r="H186" s="8"/>
      <c r="I186" s="8" t="s">
        <v>8520</v>
      </c>
      <c r="J186" s="8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s="8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s="8" t="s">
        <v>91</v>
      </c>
      <c r="E187" s="8" t="s">
        <v>8800</v>
      </c>
      <c r="F187" s="8"/>
      <c r="H187" s="8"/>
      <c r="I187" s="8" t="s">
        <v>8523</v>
      </c>
      <c r="J187" s="8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s="8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s="8" t="s">
        <v>62</v>
      </c>
      <c r="E188" s="8" t="s">
        <v>8800</v>
      </c>
      <c r="F188" s="8"/>
      <c r="H188" s="8"/>
      <c r="I188" s="8" t="s">
        <v>8526</v>
      </c>
      <c r="J188" s="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s="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s="8" t="s">
        <v>91</v>
      </c>
      <c r="E189" s="8" t="s">
        <v>8801</v>
      </c>
      <c r="F189" s="8"/>
      <c r="H189" s="8"/>
      <c r="I189" s="8" t="s">
        <v>8529</v>
      </c>
      <c r="J189" s="8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s="8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s="8" t="s">
        <v>62</v>
      </c>
      <c r="E190" s="8" t="s">
        <v>8801</v>
      </c>
      <c r="F190" s="8"/>
      <c r="H190" s="8"/>
      <c r="I190" s="8" t="s">
        <v>8532</v>
      </c>
      <c r="J190" s="8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s="8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s="8" t="s">
        <v>91</v>
      </c>
      <c r="E191" s="8" t="s">
        <v>8801</v>
      </c>
      <c r="F191" s="8"/>
      <c r="H191" s="8"/>
      <c r="I191" s="8" t="s">
        <v>8535</v>
      </c>
      <c r="J191" s="8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s="8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s="8" t="s">
        <v>91</v>
      </c>
      <c r="E192" s="8" t="s">
        <v>8802</v>
      </c>
      <c r="F192" s="8"/>
      <c r="H192" s="8"/>
      <c r="I192" s="8" t="s">
        <v>8538</v>
      </c>
      <c r="J192" s="8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s="8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s="8" t="s">
        <v>62</v>
      </c>
      <c r="E193" s="8" t="s">
        <v>8802</v>
      </c>
      <c r="F193" s="8"/>
      <c r="H193" s="8"/>
      <c r="I193" s="8" t="s">
        <v>8541</v>
      </c>
      <c r="J193" s="8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s="8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s="8" t="s">
        <v>62</v>
      </c>
      <c r="E194" s="8" t="s">
        <v>8801</v>
      </c>
      <c r="F194" s="8"/>
      <c r="H194" s="8"/>
      <c r="I194" s="8" t="s">
        <v>8544</v>
      </c>
      <c r="J194" s="8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s="8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s="8" t="s">
        <v>2004</v>
      </c>
      <c r="E195" s="8"/>
      <c r="F195" s="8"/>
      <c r="H195" s="8"/>
      <c r="I195" s="8" t="s">
        <v>8547</v>
      </c>
      <c r="J195" s="8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s="8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s="8" t="s">
        <v>91</v>
      </c>
      <c r="E196" s="8" t="s">
        <v>8800</v>
      </c>
      <c r="F196" s="8"/>
      <c r="H196" s="8"/>
      <c r="I196" s="8" t="s">
        <v>8550</v>
      </c>
      <c r="J196" s="8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s="8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s="8" t="s">
        <v>62</v>
      </c>
      <c r="E197" s="8" t="s">
        <v>8800</v>
      </c>
      <c r="F197" s="8"/>
      <c r="H197" s="8"/>
      <c r="I197" s="8" t="s">
        <v>8553</v>
      </c>
      <c r="J197" s="8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s="8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s="8" t="s">
        <v>2004</v>
      </c>
      <c r="E198" s="8"/>
      <c r="F198" s="8"/>
      <c r="H198" s="8" t="s">
        <v>9186</v>
      </c>
      <c r="I198" s="8" t="s">
        <v>8852</v>
      </c>
      <c r="J198" s="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s="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s="8" t="s">
        <v>91</v>
      </c>
      <c r="E199" s="8" t="s">
        <v>9187</v>
      </c>
      <c r="F199" s="8" t="s">
        <v>51</v>
      </c>
      <c r="H199" s="8"/>
      <c r="I199" s="8" t="s">
        <v>8855</v>
      </c>
      <c r="J199" s="8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s="8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s="8" t="s">
        <v>62</v>
      </c>
      <c r="E200" s="8" t="s">
        <v>9187</v>
      </c>
      <c r="F200" s="8" t="s">
        <v>9188</v>
      </c>
      <c r="H200" s="8"/>
      <c r="I200" s="8" t="s">
        <v>8858</v>
      </c>
      <c r="J200" s="8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s="8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s="8" t="s">
        <v>91</v>
      </c>
      <c r="E201" s="8" t="s">
        <v>4193</v>
      </c>
      <c r="F201" s="8" t="s">
        <v>5076</v>
      </c>
      <c r="H201" s="8"/>
      <c r="I201" s="8" t="s">
        <v>9243</v>
      </c>
      <c r="J201" s="8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s="8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s="8" t="s">
        <v>62</v>
      </c>
      <c r="E202" s="8" t="s">
        <v>4193</v>
      </c>
      <c r="F202" s="8" t="s">
        <v>5076</v>
      </c>
      <c r="H202" s="8"/>
      <c r="I202" s="8" t="s">
        <v>9246</v>
      </c>
      <c r="J202" s="8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s="8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s="8" t="s">
        <v>2004</v>
      </c>
      <c r="E203" s="8"/>
      <c r="F203" s="8"/>
      <c r="H203" s="8"/>
      <c r="I203" s="8" t="s">
        <v>9249</v>
      </c>
      <c r="J203" s="8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s="8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s="8" t="s">
        <v>62</v>
      </c>
      <c r="E204" s="8" t="s">
        <v>8352</v>
      </c>
      <c r="F204" s="8" t="s">
        <v>2944</v>
      </c>
      <c r="H204" s="8" t="s">
        <v>9336</v>
      </c>
      <c r="I204" s="8" t="s">
        <v>9252</v>
      </c>
      <c r="J204" s="8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s="8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s="8" t="s">
        <v>91</v>
      </c>
      <c r="E205" s="8" t="s">
        <v>6656</v>
      </c>
      <c r="F205" s="8" t="s">
        <v>51</v>
      </c>
      <c r="H205" s="8"/>
      <c r="I205" s="8" t="s">
        <v>9591</v>
      </c>
      <c r="J205" s="8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s="8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s="8" t="s">
        <v>62</v>
      </c>
      <c r="E206" s="8" t="s">
        <v>6656</v>
      </c>
      <c r="F206" s="8" t="s">
        <v>4240</v>
      </c>
      <c r="H206" s="8"/>
      <c r="I206" s="8" t="s">
        <v>9594</v>
      </c>
      <c r="J206" s="8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s="8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s="8" t="s">
        <v>91</v>
      </c>
      <c r="E207" s="8" t="s">
        <v>9683</v>
      </c>
      <c r="F207" s="8"/>
      <c r="H207" s="8"/>
      <c r="I207" s="8" t="s">
        <v>9597</v>
      </c>
      <c r="J207" s="8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s="8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s="8" t="s">
        <v>91</v>
      </c>
      <c r="E208" s="8" t="s">
        <v>6656</v>
      </c>
      <c r="F208" s="8" t="s">
        <v>51</v>
      </c>
      <c r="H208" s="8"/>
      <c r="I208" s="8" t="s">
        <v>9600</v>
      </c>
      <c r="J208" s="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s="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s="8" t="s">
        <v>62</v>
      </c>
      <c r="E209" s="8" t="s">
        <v>9683</v>
      </c>
      <c r="F209" s="8"/>
      <c r="H209" s="8"/>
      <c r="I209" s="8" t="s">
        <v>9603</v>
      </c>
      <c r="J209" s="8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s="8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s="8" t="s">
        <v>62</v>
      </c>
      <c r="E210" s="8" t="s">
        <v>6656</v>
      </c>
      <c r="F210" s="8" t="s">
        <v>9684</v>
      </c>
      <c r="H210" s="8"/>
      <c r="I210" s="8" t="s">
        <v>9606</v>
      </c>
      <c r="J210" s="8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s="8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s="8" t="s">
        <v>2004</v>
      </c>
      <c r="E211" s="8"/>
      <c r="F211" s="8"/>
      <c r="H211" s="8"/>
      <c r="I211" s="8" t="s">
        <v>9609</v>
      </c>
      <c r="J211" s="8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s="8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s="8" t="s">
        <v>2004</v>
      </c>
      <c r="E212" s="8"/>
      <c r="F212" s="8"/>
      <c r="H212" s="8"/>
      <c r="I212" s="8" t="s">
        <v>9708</v>
      </c>
      <c r="J212" s="8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s="8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s="8" t="s">
        <v>2004</v>
      </c>
      <c r="E213" s="8"/>
      <c r="F213" s="8"/>
      <c r="H213" s="8"/>
      <c r="I213" s="8" t="s">
        <v>9711</v>
      </c>
      <c r="J213" s="8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s="8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s="8" t="s">
        <v>2004</v>
      </c>
      <c r="E214" s="8"/>
      <c r="F214" s="8"/>
      <c r="H214" s="8"/>
      <c r="I214" s="8" t="s">
        <v>9927</v>
      </c>
      <c r="J214" s="8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s="8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s="8" t="s">
        <v>91</v>
      </c>
      <c r="E215" s="8" t="s">
        <v>4193</v>
      </c>
      <c r="F215" s="8" t="s">
        <v>5076</v>
      </c>
      <c r="H215" s="8"/>
      <c r="I215" s="8" t="s">
        <v>9930</v>
      </c>
      <c r="J215" s="8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s="8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s="8" t="s">
        <v>62</v>
      </c>
      <c r="E216" s="8" t="s">
        <v>4193</v>
      </c>
      <c r="F216" s="8" t="s">
        <v>5076</v>
      </c>
      <c r="H216" s="8"/>
      <c r="I216" s="8" t="s">
        <v>9933</v>
      </c>
      <c r="J216" s="8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17:E230 D217:D227 G2:H216 D2:E216">
    <cfRule type="containsText" dxfId="640" priority="23" operator="containsText" text="Выезд с территории">
      <formula>NOT(ISERROR(SEARCH("Выезд с территории",D2)))</formula>
    </cfRule>
  </conditionalFormatting>
  <conditionalFormatting sqref="F2:F704">
    <cfRule type="notContainsText" dxfId="639" priority="21" operator="notContains" text="порожний">
      <formula>ISERROR(SEARCH("порожний",F2))</formula>
    </cfRule>
  </conditionalFormatting>
  <conditionalFormatting sqref="E2:E230">
    <cfRule type="containsText" dxfId="638" priority="12" operator="containsText" text="Газель базы">
      <formula>NOT(ISERROR(SEARCH("Газель базы",E2)))</formula>
    </cfRule>
    <cfRule type="containsText" dxfId="637" priority="13" operator="containsText" text="Погрузчик базы">
      <formula>NOT(ISERROR(SEARCH("Погрузчик базы",E2)))</formula>
    </cfRule>
  </conditionalFormatting>
  <conditionalFormatting sqref="E2:E230">
    <cfRule type="containsText" dxfId="636" priority="11" operator="containsText" text="Трактор базы">
      <formula>NOT(ISERROR(SEARCH("Трактор базы",E2)))</formula>
    </cfRule>
  </conditionalFormatting>
  <conditionalFormatting sqref="A2:C216">
    <cfRule type="expression" dxfId="635" priority="9">
      <formula>$A2="пн"</formula>
    </cfRule>
  </conditionalFormatting>
  <conditionalFormatting sqref="A2:C218">
    <cfRule type="expression" dxfId="634" priority="3">
      <formula>$A2="вс"</formula>
    </cfRule>
    <cfRule type="expression" dxfId="633" priority="4">
      <formula>$A2="сб"</formula>
    </cfRule>
    <cfRule type="expression" dxfId="632" priority="5">
      <formula>$A2="пт"</formula>
    </cfRule>
    <cfRule type="expression" dxfId="631" priority="6">
      <formula>$A2="чт"</formula>
    </cfRule>
    <cfRule type="expression" dxfId="630" priority="7">
      <formula>$A2="ср"</formula>
    </cfRule>
    <cfRule type="expression" dxfId="629" priority="8">
      <formula>$A2="вт"</formula>
    </cfRule>
  </conditionalFormatting>
  <conditionalFormatting sqref="D2:D227">
    <cfRule type="containsText" dxfId="62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7">
    <cfRule type="containsText" dxfId="62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34"/>
  <sheetViews>
    <sheetView topLeftCell="C1" zoomScale="90" zoomScaleNormal="90" workbookViewId="0">
      <pane ySplit="1" topLeftCell="A213" activePane="bottomLeft" state="frozen"/>
      <selection pane="bottomLeft" activeCell="I231" sqref="I231:I234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s="8" t="s">
        <v>1606</v>
      </c>
      <c r="E181" s="8" t="s">
        <v>4193</v>
      </c>
      <c r="F181" s="8" t="s">
        <v>5076</v>
      </c>
      <c r="H181" s="8"/>
      <c r="I181" s="8" t="s">
        <v>7218</v>
      </c>
      <c r="J181" s="8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s="8" t="s">
        <v>650</v>
      </c>
      <c r="E182" s="8" t="s">
        <v>4193</v>
      </c>
      <c r="F182" s="8" t="s">
        <v>5076</v>
      </c>
      <c r="H182" s="8"/>
      <c r="I182" s="8" t="s">
        <v>7221</v>
      </c>
      <c r="J182" s="8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s="8" t="s">
        <v>2004</v>
      </c>
      <c r="E183" s="8" t="s">
        <v>8</v>
      </c>
      <c r="F183" s="8"/>
      <c r="H183" s="8"/>
      <c r="I183" s="8" t="s">
        <v>7224</v>
      </c>
      <c r="J183" s="8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s="8" t="s">
        <v>2004</v>
      </c>
      <c r="E184" s="8" t="s">
        <v>8</v>
      </c>
      <c r="F184" s="8"/>
      <c r="H184" s="8"/>
      <c r="I184" s="8" t="s">
        <v>7439</v>
      </c>
      <c r="J184" s="8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s="8" t="s">
        <v>2004</v>
      </c>
      <c r="E185" s="8" t="s">
        <v>8</v>
      </c>
      <c r="F185" s="8"/>
      <c r="H185" s="8"/>
      <c r="I185" s="8" t="s">
        <v>7442</v>
      </c>
      <c r="J185" s="8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s="8" t="s">
        <v>2004</v>
      </c>
      <c r="E186" s="8" t="s">
        <v>8</v>
      </c>
      <c r="F186" s="8"/>
      <c r="H186" s="8"/>
      <c r="I186" s="8" t="s">
        <v>7720</v>
      </c>
      <c r="J186" s="8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s="8" t="s">
        <v>1606</v>
      </c>
      <c r="E187" s="8" t="s">
        <v>4193</v>
      </c>
      <c r="F187" s="8" t="s">
        <v>5076</v>
      </c>
      <c r="H187" s="8"/>
      <c r="I187" s="8" t="s">
        <v>7872</v>
      </c>
      <c r="J187" s="8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s="8" t="s">
        <v>6171</v>
      </c>
      <c r="E188" s="8" t="s">
        <v>4193</v>
      </c>
      <c r="F188" s="8" t="s">
        <v>5076</v>
      </c>
      <c r="H188" s="8" t="s">
        <v>5474</v>
      </c>
      <c r="I188" s="8" t="s">
        <v>7875</v>
      </c>
      <c r="J188" s="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s="8" t="s">
        <v>650</v>
      </c>
      <c r="E189" s="8" t="s">
        <v>4193</v>
      </c>
      <c r="F189" s="8" t="s">
        <v>5076</v>
      </c>
      <c r="H189" s="8"/>
      <c r="I189" s="8" t="s">
        <v>7878</v>
      </c>
      <c r="J189" s="8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s="8" t="s">
        <v>8042</v>
      </c>
      <c r="E190" s="8" t="s">
        <v>6329</v>
      </c>
      <c r="F190" s="8" t="s">
        <v>5076</v>
      </c>
      <c r="H190" s="8"/>
      <c r="I190" s="8" t="s">
        <v>7881</v>
      </c>
      <c r="J190" s="8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s="8" t="s">
        <v>1606</v>
      </c>
      <c r="E191" s="8" t="s">
        <v>4193</v>
      </c>
      <c r="F191" s="8" t="s">
        <v>5076</v>
      </c>
      <c r="H191" s="8"/>
      <c r="I191" s="8" t="s">
        <v>7884</v>
      </c>
      <c r="J191" s="8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s="8" t="s">
        <v>650</v>
      </c>
      <c r="E192" s="8" t="s">
        <v>4193</v>
      </c>
      <c r="F192" s="8" t="s">
        <v>5076</v>
      </c>
      <c r="H192" s="8"/>
      <c r="I192" s="8" t="s">
        <v>7887</v>
      </c>
      <c r="J192" s="8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s="8" t="s">
        <v>533</v>
      </c>
      <c r="E193" s="8" t="s">
        <v>531</v>
      </c>
      <c r="F193" s="8" t="s">
        <v>1621</v>
      </c>
      <c r="H193" s="8" t="s">
        <v>1620</v>
      </c>
      <c r="I193" s="8" t="s">
        <v>8078</v>
      </c>
      <c r="J193" s="8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s="8" t="s">
        <v>2004</v>
      </c>
      <c r="E194" s="8" t="s">
        <v>8</v>
      </c>
      <c r="F194" s="8"/>
      <c r="H194" s="8"/>
      <c r="I194" s="8" t="s">
        <v>8081</v>
      </c>
      <c r="J194" s="8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s="8" t="s">
        <v>2004</v>
      </c>
      <c r="E195" s="8" t="s">
        <v>8</v>
      </c>
      <c r="F195" s="8"/>
      <c r="H195" s="8"/>
      <c r="I195" s="8" t="s">
        <v>8084</v>
      </c>
      <c r="J195" s="8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s="8" t="s">
        <v>2004</v>
      </c>
      <c r="E196" s="8" t="s">
        <v>8</v>
      </c>
      <c r="F196" s="8"/>
      <c r="H196" s="8"/>
      <c r="I196" s="8" t="s">
        <v>8087</v>
      </c>
      <c r="J196" s="8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s="8" t="s">
        <v>2004</v>
      </c>
      <c r="E197" s="8" t="s">
        <v>8</v>
      </c>
      <c r="F197" s="8"/>
      <c r="H197" s="8"/>
      <c r="I197" s="8" t="s">
        <v>8363</v>
      </c>
      <c r="J197" s="8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s="8" t="s">
        <v>2004</v>
      </c>
      <c r="E198" s="8" t="s">
        <v>8</v>
      </c>
      <c r="F198" s="8"/>
      <c r="H198" s="8"/>
      <c r="I198" s="8" t="s">
        <v>8366</v>
      </c>
      <c r="J198" s="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s="8" t="s">
        <v>2004</v>
      </c>
      <c r="E199" s="8" t="s">
        <v>8</v>
      </c>
      <c r="F199" s="8"/>
      <c r="H199" s="8"/>
      <c r="I199" s="8" t="s">
        <v>8369</v>
      </c>
      <c r="J199" s="8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s="8" t="s">
        <v>2004</v>
      </c>
      <c r="E200" s="8" t="s">
        <v>8</v>
      </c>
      <c r="F200" s="8"/>
      <c r="H200" s="8"/>
      <c r="I200" s="8" t="s">
        <v>8484</v>
      </c>
      <c r="J200" s="8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s="8" t="s">
        <v>2004</v>
      </c>
      <c r="E201" s="8" t="s">
        <v>8</v>
      </c>
      <c r="F201" s="8"/>
      <c r="H201" s="8"/>
      <c r="I201" s="8" t="s">
        <v>8487</v>
      </c>
      <c r="J201" s="8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s="8" t="s">
        <v>2004</v>
      </c>
      <c r="E202" s="8" t="s">
        <v>8</v>
      </c>
      <c r="F202" s="8"/>
      <c r="H202" s="8"/>
      <c r="I202" s="8" t="s">
        <v>8490</v>
      </c>
      <c r="J202" s="8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s="8" t="s">
        <v>2004</v>
      </c>
      <c r="E203" s="8" t="s">
        <v>8</v>
      </c>
      <c r="F203" s="8"/>
      <c r="H203" s="8"/>
      <c r="I203" s="8" t="s">
        <v>8493</v>
      </c>
      <c r="J203" s="8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s="8" t="s">
        <v>2004</v>
      </c>
      <c r="E204" s="8" t="s">
        <v>8</v>
      </c>
      <c r="F204" s="8"/>
      <c r="H204" s="8"/>
      <c r="I204" s="8" t="s">
        <v>8496</v>
      </c>
      <c r="J204" s="8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s="8" t="s">
        <v>2004</v>
      </c>
      <c r="E205" s="8" t="s">
        <v>8</v>
      </c>
      <c r="F205" s="8"/>
      <c r="H205" s="8"/>
      <c r="I205" s="8" t="s">
        <v>8499</v>
      </c>
      <c r="J205" s="8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s="8" t="s">
        <v>2004</v>
      </c>
      <c r="E206" s="8" t="s">
        <v>8</v>
      </c>
      <c r="F206" s="8"/>
      <c r="H206" s="8"/>
      <c r="I206" s="8" t="s">
        <v>8502</v>
      </c>
      <c r="J206" s="8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s="8" t="s">
        <v>4221</v>
      </c>
      <c r="E207" s="8" t="s">
        <v>86</v>
      </c>
      <c r="F207" s="8" t="s">
        <v>4240</v>
      </c>
      <c r="H207" s="8" t="s">
        <v>1620</v>
      </c>
      <c r="I207" s="8" t="s">
        <v>8828</v>
      </c>
      <c r="J207" s="8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s="8" t="s">
        <v>4221</v>
      </c>
      <c r="E208" s="8" t="s">
        <v>86</v>
      </c>
      <c r="F208" s="8" t="s">
        <v>4240</v>
      </c>
      <c r="H208" s="8" t="s">
        <v>4236</v>
      </c>
      <c r="I208" s="8" t="s">
        <v>8831</v>
      </c>
      <c r="J208" s="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s="8" t="s">
        <v>158</v>
      </c>
      <c r="E209" s="8" t="s">
        <v>86</v>
      </c>
      <c r="F209" s="8" t="s">
        <v>60</v>
      </c>
      <c r="G209">
        <v>3</v>
      </c>
      <c r="H209" s="8" t="s">
        <v>3075</v>
      </c>
      <c r="I209" s="8" t="s">
        <v>8834</v>
      </c>
      <c r="J209" s="8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s="8" t="s">
        <v>158</v>
      </c>
      <c r="E210" s="8" t="s">
        <v>86</v>
      </c>
      <c r="F210" s="8" t="s">
        <v>60</v>
      </c>
      <c r="G210">
        <v>2</v>
      </c>
      <c r="H210" s="8" t="s">
        <v>3075</v>
      </c>
      <c r="I210" s="8" t="s">
        <v>8837</v>
      </c>
      <c r="J210" s="8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s="8" t="s">
        <v>158</v>
      </c>
      <c r="E211" s="8" t="s">
        <v>86</v>
      </c>
      <c r="F211" s="8" t="s">
        <v>60</v>
      </c>
      <c r="G211">
        <v>1</v>
      </c>
      <c r="H211" s="8" t="s">
        <v>3075</v>
      </c>
      <c r="I211" s="8" t="s">
        <v>8840</v>
      </c>
      <c r="J211" s="8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s="8" t="s">
        <v>4221</v>
      </c>
      <c r="E212" s="8" t="s">
        <v>86</v>
      </c>
      <c r="F212" s="8" t="s">
        <v>9189</v>
      </c>
      <c r="H212" s="8" t="s">
        <v>1620</v>
      </c>
      <c r="I212" s="8" t="s">
        <v>8843</v>
      </c>
      <c r="J212" s="8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s="8" t="s">
        <v>4221</v>
      </c>
      <c r="E213" s="8" t="s">
        <v>86</v>
      </c>
      <c r="F213" s="8" t="s">
        <v>9189</v>
      </c>
      <c r="H213" s="8" t="s">
        <v>2936</v>
      </c>
      <c r="I213" s="8" t="s">
        <v>8846</v>
      </c>
      <c r="J213" s="8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s="8" t="s">
        <v>158</v>
      </c>
      <c r="E214" s="8" t="s">
        <v>86</v>
      </c>
      <c r="F214" s="8" t="s">
        <v>60</v>
      </c>
      <c r="G214">
        <v>1</v>
      </c>
      <c r="H214" s="8" t="s">
        <v>3075</v>
      </c>
      <c r="I214" s="8" t="s">
        <v>8849</v>
      </c>
      <c r="J214" s="8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s="8" t="s">
        <v>1606</v>
      </c>
      <c r="E215" s="8" t="s">
        <v>4193</v>
      </c>
      <c r="F215" s="8"/>
      <c r="H215" s="8"/>
      <c r="I215" s="8" t="s">
        <v>9213</v>
      </c>
      <c r="J215" s="8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s="8" t="s">
        <v>9337</v>
      </c>
      <c r="E216" s="8" t="s">
        <v>4193</v>
      </c>
      <c r="F216" s="8"/>
      <c r="H216" s="8"/>
      <c r="I216" s="8" t="s">
        <v>9216</v>
      </c>
      <c r="J216" s="8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s="8" t="s">
        <v>9337</v>
      </c>
      <c r="E217" s="8" t="s">
        <v>4193</v>
      </c>
      <c r="F217" s="8"/>
      <c r="H217" s="8" t="s">
        <v>9338</v>
      </c>
      <c r="I217" s="8" t="s">
        <v>9219</v>
      </c>
      <c r="J217" s="8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s="8" t="s">
        <v>9337</v>
      </c>
      <c r="E218" s="8" t="s">
        <v>4193</v>
      </c>
      <c r="F218" s="8" t="s">
        <v>9339</v>
      </c>
      <c r="H218" s="8" t="s">
        <v>9340</v>
      </c>
      <c r="I218" s="8" t="s">
        <v>9222</v>
      </c>
      <c r="J218" s="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s="8" t="s">
        <v>650</v>
      </c>
      <c r="E219" s="8" t="s">
        <v>4193</v>
      </c>
      <c r="F219" s="8"/>
      <c r="H219" s="8"/>
      <c r="I219" s="8" t="s">
        <v>9225</v>
      </c>
      <c r="J219" s="8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s="8" t="s">
        <v>2004</v>
      </c>
      <c r="E220" s="8" t="s">
        <v>8</v>
      </c>
      <c r="F220" s="8"/>
      <c r="H220" s="8"/>
      <c r="I220" s="8" t="s">
        <v>9228</v>
      </c>
      <c r="J220" s="8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s="8" t="s">
        <v>533</v>
      </c>
      <c r="E221" s="8" t="s">
        <v>531</v>
      </c>
      <c r="F221" s="8" t="s">
        <v>2929</v>
      </c>
      <c r="H221" s="8"/>
      <c r="I221" s="8" t="s">
        <v>9231</v>
      </c>
      <c r="J221" s="8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s="8" t="s">
        <v>533</v>
      </c>
      <c r="E222" s="8" t="s">
        <v>531</v>
      </c>
      <c r="F222" s="8" t="s">
        <v>2929</v>
      </c>
      <c r="H222" s="8" t="s">
        <v>2936</v>
      </c>
      <c r="I222" s="8" t="s">
        <v>9234</v>
      </c>
      <c r="J222" s="8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s="8" t="s">
        <v>9341</v>
      </c>
      <c r="E223" s="8" t="s">
        <v>9342</v>
      </c>
      <c r="F223" s="8"/>
      <c r="H223" s="8" t="s">
        <v>6531</v>
      </c>
      <c r="I223" s="8" t="s">
        <v>9237</v>
      </c>
      <c r="J223" s="8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s="8" t="s">
        <v>1606</v>
      </c>
      <c r="E224" s="8" t="s">
        <v>6656</v>
      </c>
      <c r="F224" s="8" t="s">
        <v>51</v>
      </c>
      <c r="H224" s="8"/>
      <c r="I224" s="8" t="s">
        <v>9570</v>
      </c>
      <c r="J224" s="8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s="8" t="s">
        <v>650</v>
      </c>
      <c r="E225" s="8" t="s">
        <v>6656</v>
      </c>
      <c r="F225" s="8" t="s">
        <v>4240</v>
      </c>
      <c r="H225" s="8"/>
      <c r="I225" s="8" t="s">
        <v>9573</v>
      </c>
      <c r="J225" s="8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s="8" t="s">
        <v>1606</v>
      </c>
      <c r="E226" s="8" t="s">
        <v>6656</v>
      </c>
      <c r="F226" s="8" t="s">
        <v>51</v>
      </c>
      <c r="H226" s="8"/>
      <c r="I226" s="8" t="s">
        <v>9576</v>
      </c>
      <c r="J226" s="8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s="8" t="s">
        <v>650</v>
      </c>
      <c r="E227" s="8" t="s">
        <v>6656</v>
      </c>
      <c r="F227" s="8" t="s">
        <v>9684</v>
      </c>
      <c r="H227" s="8"/>
      <c r="I227" s="8" t="s">
        <v>9579</v>
      </c>
      <c r="J227" s="8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s="8" t="s">
        <v>2004</v>
      </c>
      <c r="E228" s="8" t="s">
        <v>8</v>
      </c>
      <c r="F228" s="8"/>
      <c r="H228" s="8"/>
      <c r="I228" s="8" t="s">
        <v>9582</v>
      </c>
      <c r="J228" s="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s="8" t="s">
        <v>2004</v>
      </c>
      <c r="E229" s="8" t="s">
        <v>8</v>
      </c>
      <c r="F229" s="8"/>
      <c r="H229" s="8"/>
      <c r="I229" s="8" t="s">
        <v>9714</v>
      </c>
      <c r="J229" s="8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s="8" t="s">
        <v>2004</v>
      </c>
      <c r="E230" s="8" t="s">
        <v>8</v>
      </c>
      <c r="F230" s="8"/>
      <c r="H230" s="8"/>
      <c r="I230" s="8" t="s">
        <v>9717</v>
      </c>
      <c r="J230" s="8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s="8" t="s">
        <v>1606</v>
      </c>
      <c r="E231" s="8" t="s">
        <v>10140</v>
      </c>
      <c r="F231" s="8"/>
      <c r="H231" s="8" t="s">
        <v>5474</v>
      </c>
      <c r="I231" s="8" t="s">
        <v>9915</v>
      </c>
      <c r="J231" s="8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s="8" t="s">
        <v>650</v>
      </c>
      <c r="E232" s="8" t="s">
        <v>10140</v>
      </c>
      <c r="F232" s="8"/>
      <c r="H232" s="8"/>
      <c r="I232" s="8" t="s">
        <v>9918</v>
      </c>
      <c r="J232" s="8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s="8" t="s">
        <v>1606</v>
      </c>
      <c r="E233" s="8" t="s">
        <v>4193</v>
      </c>
      <c r="F233" s="8"/>
      <c r="H233" s="8" t="s">
        <v>5474</v>
      </c>
      <c r="I233" s="8" t="s">
        <v>9921</v>
      </c>
      <c r="J233" s="8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s="8" t="s">
        <v>650</v>
      </c>
      <c r="E234" s="8" t="s">
        <v>4193</v>
      </c>
      <c r="F234" s="8"/>
      <c r="H234" s="8"/>
      <c r="I234" s="8" t="s">
        <v>9924</v>
      </c>
      <c r="J234" s="8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</sheetData>
  <conditionalFormatting sqref="D235:D245 E235:E248 G2:H234 D2:E234">
    <cfRule type="containsText" dxfId="626" priority="14" operator="containsText" text="Выезд с территории">
      <formula>NOT(ISERROR(SEARCH("Выезд с территории",D2)))</formula>
    </cfRule>
  </conditionalFormatting>
  <conditionalFormatting sqref="F2:F234">
    <cfRule type="notContainsText" dxfId="625" priority="13" operator="notContains" text="порожний">
      <formula>ISERROR(SEARCH("порожний",F2))</formula>
    </cfRule>
  </conditionalFormatting>
  <conditionalFormatting sqref="E2:E248">
    <cfRule type="containsText" dxfId="624" priority="11" operator="containsText" text="Газель базы">
      <formula>NOT(ISERROR(SEARCH("Газель базы",E2)))</formula>
    </cfRule>
    <cfRule type="containsText" dxfId="623" priority="12" operator="containsText" text="Погрузчик базы">
      <formula>NOT(ISERROR(SEARCH("Погрузчик базы",E2)))</formula>
    </cfRule>
  </conditionalFormatting>
  <conditionalFormatting sqref="E2:E248">
    <cfRule type="containsText" dxfId="622" priority="10" operator="containsText" text="Трактор базы">
      <formula>NOT(ISERROR(SEARCH("Трактор базы",E2)))</formula>
    </cfRule>
  </conditionalFormatting>
  <conditionalFormatting sqref="A2:C234">
    <cfRule type="expression" dxfId="621" priority="9">
      <formula>$A2="пн"</formula>
    </cfRule>
  </conditionalFormatting>
  <conditionalFormatting sqref="A2:C236">
    <cfRule type="expression" dxfId="620" priority="3">
      <formula>$A2="вс"</formula>
    </cfRule>
    <cfRule type="expression" dxfId="619" priority="4">
      <formula>$A2="сб"</formula>
    </cfRule>
    <cfRule type="expression" dxfId="618" priority="5">
      <formula>$A2="пт"</formula>
    </cfRule>
    <cfRule type="expression" dxfId="617" priority="6">
      <formula>$A2="чт"</formula>
    </cfRule>
    <cfRule type="expression" dxfId="616" priority="7">
      <formula>$A2="ср"</formula>
    </cfRule>
    <cfRule type="expression" dxfId="615" priority="8">
      <formula>$A2="вт"</formula>
    </cfRule>
  </conditionalFormatting>
  <conditionalFormatting sqref="D2:D245">
    <cfRule type="containsText" dxfId="6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5">
    <cfRule type="containsText" dxfId="6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35"/>
  <sheetViews>
    <sheetView zoomScale="90" zoomScaleNormal="90" workbookViewId="0">
      <pane ySplit="1" topLeftCell="A122" activePane="bottomLeft" state="frozen"/>
      <selection pane="bottomLeft" activeCell="I133" sqref="I133:I13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s="8" t="s">
        <v>2004</v>
      </c>
      <c r="E96" s="8" t="s">
        <v>8</v>
      </c>
      <c r="F96" s="8"/>
      <c r="H96" s="8"/>
      <c r="I96" s="8" t="s">
        <v>7478</v>
      </c>
      <c r="J96" s="8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s="8" t="s">
        <v>4</v>
      </c>
      <c r="E97" s="8" t="s">
        <v>7706</v>
      </c>
      <c r="F97" s="8" t="s">
        <v>60</v>
      </c>
      <c r="H97" s="8"/>
      <c r="I97" s="8" t="s">
        <v>7481</v>
      </c>
      <c r="J97" s="8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s="8" t="s">
        <v>4</v>
      </c>
      <c r="E98" s="8" t="s">
        <v>7706</v>
      </c>
      <c r="F98" s="8" t="s">
        <v>51</v>
      </c>
      <c r="H98" s="8"/>
      <c r="I98" s="8" t="s">
        <v>7484</v>
      </c>
      <c r="J98" s="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s="8" t="s">
        <v>2004</v>
      </c>
      <c r="E99" s="8" t="s">
        <v>8</v>
      </c>
      <c r="F99" s="8"/>
      <c r="H99" s="8"/>
      <c r="I99" s="8" t="s">
        <v>7487</v>
      </c>
      <c r="J99" s="8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s="8" t="s">
        <v>289</v>
      </c>
      <c r="E100" s="8" t="s">
        <v>2927</v>
      </c>
      <c r="F100" s="8" t="s">
        <v>7169</v>
      </c>
      <c r="H100" s="8"/>
      <c r="I100" s="8" t="s">
        <v>7819</v>
      </c>
      <c r="J100" s="8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s="8" t="s">
        <v>289</v>
      </c>
      <c r="E101" s="8" t="s">
        <v>2927</v>
      </c>
      <c r="F101" s="8" t="s">
        <v>7169</v>
      </c>
      <c r="H101" s="8" t="s">
        <v>2936</v>
      </c>
      <c r="I101" s="8" t="s">
        <v>7822</v>
      </c>
      <c r="J101" s="8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s="8" t="s">
        <v>289</v>
      </c>
      <c r="E102" s="8" t="s">
        <v>2927</v>
      </c>
      <c r="F102" s="8" t="s">
        <v>7169</v>
      </c>
      <c r="H102" s="8" t="s">
        <v>2936</v>
      </c>
      <c r="I102" s="8" t="s">
        <v>7825</v>
      </c>
      <c r="J102" s="8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s="8" t="s">
        <v>2004</v>
      </c>
      <c r="E103" s="8" t="s">
        <v>8</v>
      </c>
      <c r="F103" s="8"/>
      <c r="H103" s="8"/>
      <c r="I103" s="8" t="s">
        <v>7944</v>
      </c>
      <c r="J103" s="8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s="8" t="s">
        <v>2004</v>
      </c>
      <c r="E104" s="8" t="s">
        <v>8</v>
      </c>
      <c r="F104" s="8"/>
      <c r="H104" s="8"/>
      <c r="I104" s="8" t="s">
        <v>7947</v>
      </c>
      <c r="J104" s="8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s="8" t="s">
        <v>4</v>
      </c>
      <c r="E105" s="8" t="s">
        <v>531</v>
      </c>
      <c r="F105" s="8"/>
      <c r="H105" s="8"/>
      <c r="I105" s="8" t="s">
        <v>7950</v>
      </c>
      <c r="J105" s="8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s="8" t="s">
        <v>2004</v>
      </c>
      <c r="E106" s="8" t="s">
        <v>8</v>
      </c>
      <c r="F106" s="8"/>
      <c r="H106" s="8"/>
      <c r="I106" s="8" t="s">
        <v>7953</v>
      </c>
      <c r="J106" s="8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s="8" t="s">
        <v>2004</v>
      </c>
      <c r="E107" s="8" t="s">
        <v>8</v>
      </c>
      <c r="F107" s="8"/>
      <c r="H107" s="8"/>
      <c r="I107" s="8" t="s">
        <v>8108</v>
      </c>
      <c r="J107" s="8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s="8" t="s">
        <v>2004</v>
      </c>
      <c r="E108" s="8" t="s">
        <v>8</v>
      </c>
      <c r="F108" s="8"/>
      <c r="H108" s="8"/>
      <c r="I108" s="8" t="s">
        <v>8111</v>
      </c>
      <c r="J108" s="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s="8" t="s">
        <v>2004</v>
      </c>
      <c r="E109" s="8" t="s">
        <v>8</v>
      </c>
      <c r="F109" s="8"/>
      <c r="H109" s="8"/>
      <c r="I109" s="8" t="s">
        <v>8114</v>
      </c>
      <c r="J109" s="8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s="8" t="s">
        <v>2004</v>
      </c>
      <c r="E110" s="8" t="s">
        <v>8</v>
      </c>
      <c r="F110" s="8"/>
      <c r="H110" s="8"/>
      <c r="I110" s="8" t="s">
        <v>8117</v>
      </c>
      <c r="J110" s="8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s="8" t="s">
        <v>2004</v>
      </c>
      <c r="E111" s="8" t="s">
        <v>8</v>
      </c>
      <c r="F111" s="8"/>
      <c r="H111" s="8"/>
      <c r="I111" s="8" t="s">
        <v>8384</v>
      </c>
      <c r="J111" s="8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s="8" t="s">
        <v>2004</v>
      </c>
      <c r="E112" s="8" t="s">
        <v>8</v>
      </c>
      <c r="F112" s="8"/>
      <c r="H112" s="8"/>
      <c r="I112" s="8" t="s">
        <v>8387</v>
      </c>
      <c r="J112" s="8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s="8" t="s">
        <v>2004</v>
      </c>
      <c r="E113" s="8" t="s">
        <v>8</v>
      </c>
      <c r="F113" s="8"/>
      <c r="H113" s="8"/>
      <c r="I113" s="8" t="s">
        <v>8390</v>
      </c>
      <c r="J113" s="8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s="8" t="s">
        <v>2004</v>
      </c>
      <c r="E114" s="8" t="s">
        <v>8</v>
      </c>
      <c r="F114" s="8"/>
      <c r="H114" s="8"/>
      <c r="I114" s="8" t="s">
        <v>8619</v>
      </c>
      <c r="J114" s="8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s="8" t="s">
        <v>4</v>
      </c>
      <c r="E115" s="8" t="s">
        <v>8803</v>
      </c>
      <c r="F115" s="8"/>
      <c r="H115" s="8"/>
      <c r="I115" s="8" t="s">
        <v>8622</v>
      </c>
      <c r="J115" s="8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s="8" t="s">
        <v>4</v>
      </c>
      <c r="E116" s="8" t="s">
        <v>8803</v>
      </c>
      <c r="F116" s="8"/>
      <c r="H116" s="8"/>
      <c r="I116" s="8" t="s">
        <v>8625</v>
      </c>
      <c r="J116" s="8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s="8" t="s">
        <v>4</v>
      </c>
      <c r="E117" s="8" t="s">
        <v>8803</v>
      </c>
      <c r="F117" s="8"/>
      <c r="H117" s="8"/>
      <c r="I117" s="8" t="s">
        <v>8628</v>
      </c>
      <c r="J117" s="8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s="8" t="s">
        <v>4</v>
      </c>
      <c r="E118" s="8" t="s">
        <v>8803</v>
      </c>
      <c r="F118" s="8"/>
      <c r="H118" s="8"/>
      <c r="I118" s="8" t="s">
        <v>8631</v>
      </c>
      <c r="J118" s="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s="8" t="s">
        <v>4</v>
      </c>
      <c r="E119" s="8" t="s">
        <v>8803</v>
      </c>
      <c r="F119" s="8"/>
      <c r="H119" s="8"/>
      <c r="I119" s="8" t="s">
        <v>8634</v>
      </c>
      <c r="J119" s="8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s="8" t="s">
        <v>2004</v>
      </c>
      <c r="E120" s="8" t="s">
        <v>8</v>
      </c>
      <c r="F120" s="8"/>
      <c r="H120" s="8"/>
      <c r="I120" s="8" t="s">
        <v>8637</v>
      </c>
      <c r="J120" s="8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s="8" t="s">
        <v>4</v>
      </c>
      <c r="E121" s="8" t="s">
        <v>8803</v>
      </c>
      <c r="F121" s="8"/>
      <c r="H121" s="8"/>
      <c r="I121" s="8" t="s">
        <v>8975</v>
      </c>
      <c r="J121" s="8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s="8" t="s">
        <v>289</v>
      </c>
      <c r="E122" s="8" t="s">
        <v>9187</v>
      </c>
      <c r="F122" s="8" t="s">
        <v>9188</v>
      </c>
      <c r="H122" s="8"/>
      <c r="I122" s="8" t="s">
        <v>8979</v>
      </c>
      <c r="J122" s="8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s="8" t="s">
        <v>289</v>
      </c>
      <c r="E123" s="8" t="s">
        <v>9187</v>
      </c>
      <c r="F123" s="8" t="s">
        <v>9188</v>
      </c>
      <c r="H123" s="8" t="s">
        <v>2936</v>
      </c>
      <c r="I123" s="8" t="s">
        <v>8982</v>
      </c>
      <c r="J123" s="8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s="8" t="s">
        <v>4</v>
      </c>
      <c r="E124" s="8" t="s">
        <v>8803</v>
      </c>
      <c r="F124" s="8"/>
      <c r="H124" s="8"/>
      <c r="I124" s="8" t="s">
        <v>8985</v>
      </c>
      <c r="J124" s="8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s="8" t="s">
        <v>4</v>
      </c>
      <c r="E125" s="8" t="s">
        <v>8803</v>
      </c>
      <c r="F125" s="8"/>
      <c r="H125" s="8"/>
      <c r="I125" s="8" t="s">
        <v>9240</v>
      </c>
      <c r="J125" s="8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s="8" t="s">
        <v>4</v>
      </c>
      <c r="E126" s="8" t="s">
        <v>8803</v>
      </c>
      <c r="F126" s="8"/>
      <c r="H126" s="8"/>
      <c r="I126" s="8" t="s">
        <v>9343</v>
      </c>
      <c r="J126" s="8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s="8" t="s">
        <v>4</v>
      </c>
      <c r="E127" s="8" t="s">
        <v>8803</v>
      </c>
      <c r="F127" s="8"/>
      <c r="H127" s="8"/>
      <c r="I127" s="8" t="s">
        <v>9346</v>
      </c>
      <c r="J127" s="8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s="8" t="s">
        <v>4</v>
      </c>
      <c r="E128" s="8" t="s">
        <v>8803</v>
      </c>
      <c r="F128" s="8"/>
      <c r="H128" s="8"/>
      <c r="I128" s="8" t="s">
        <v>9349</v>
      </c>
      <c r="J128" s="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s="8" t="s">
        <v>4</v>
      </c>
      <c r="E129" s="8" t="s">
        <v>9685</v>
      </c>
      <c r="F129" s="8"/>
      <c r="H129" s="8"/>
      <c r="I129" s="8" t="s">
        <v>9585</v>
      </c>
      <c r="J129" s="8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s="8" t="s">
        <v>2004</v>
      </c>
      <c r="E130" s="8" t="s">
        <v>8</v>
      </c>
      <c r="F130" s="8"/>
      <c r="H130" s="8"/>
      <c r="I130" s="8" t="s">
        <v>9588</v>
      </c>
      <c r="J130" s="8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s="8" t="s">
        <v>4</v>
      </c>
      <c r="E131" s="8" t="s">
        <v>8803</v>
      </c>
      <c r="F131" s="8"/>
      <c r="H131" s="8"/>
      <c r="I131" s="8" t="s">
        <v>9720</v>
      </c>
      <c r="J131" s="8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s="8" t="s">
        <v>4</v>
      </c>
      <c r="E132" s="8" t="s">
        <v>8803</v>
      </c>
      <c r="F132" s="8"/>
      <c r="H132" s="8"/>
      <c r="I132" s="8" t="s">
        <v>9723</v>
      </c>
      <c r="J132" s="8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s="8" t="s">
        <v>4</v>
      </c>
      <c r="E133" s="8" t="s">
        <v>8803</v>
      </c>
      <c r="F133" s="8"/>
      <c r="H133" s="8"/>
      <c r="I133" s="8" t="s">
        <v>9951</v>
      </c>
      <c r="J133" s="8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s="8" t="s">
        <v>4</v>
      </c>
      <c r="E134" s="8" t="s">
        <v>8803</v>
      </c>
      <c r="F134" s="8"/>
      <c r="H134" s="8"/>
      <c r="I134" s="8" t="s">
        <v>9954</v>
      </c>
      <c r="J134" s="8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s="8" t="s">
        <v>4</v>
      </c>
      <c r="E135" s="8" t="s">
        <v>8803</v>
      </c>
      <c r="F135" s="8"/>
      <c r="H135" s="8"/>
      <c r="I135" s="8" t="s">
        <v>9957</v>
      </c>
      <c r="J135" s="8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</sheetData>
  <conditionalFormatting sqref="D136:D146 E136:E149 G2:H135 D2:E135">
    <cfRule type="containsText" dxfId="612" priority="14" operator="containsText" text="Выезд с территории">
      <formula>NOT(ISERROR(SEARCH("Выезд с территории",D2)))</formula>
    </cfRule>
  </conditionalFormatting>
  <conditionalFormatting sqref="F2:F135">
    <cfRule type="notContainsText" dxfId="611" priority="13" operator="notContains" text="порожний">
      <formula>ISERROR(SEARCH("порожний",F2))</formula>
    </cfRule>
  </conditionalFormatting>
  <conditionalFormatting sqref="E2:E149">
    <cfRule type="containsText" dxfId="610" priority="11" operator="containsText" text="Газель базы">
      <formula>NOT(ISERROR(SEARCH("Газель базы",E2)))</formula>
    </cfRule>
    <cfRule type="containsText" dxfId="609" priority="12" operator="containsText" text="Погрузчик базы">
      <formula>NOT(ISERROR(SEARCH("Погрузчик базы",E2)))</formula>
    </cfRule>
  </conditionalFormatting>
  <conditionalFormatting sqref="E2:E149">
    <cfRule type="containsText" dxfId="608" priority="10" operator="containsText" text="Трактор базы">
      <formula>NOT(ISERROR(SEARCH("Трактор базы",E2)))</formula>
    </cfRule>
  </conditionalFormatting>
  <conditionalFormatting sqref="A2:C135">
    <cfRule type="expression" dxfId="607" priority="9">
      <formula>$A2="пн"</formula>
    </cfRule>
  </conditionalFormatting>
  <conditionalFormatting sqref="A2:C137">
    <cfRule type="expression" dxfId="606" priority="3">
      <formula>$A2="вс"</formula>
    </cfRule>
    <cfRule type="expression" dxfId="605" priority="4">
      <formula>$A2="сб"</formula>
    </cfRule>
    <cfRule type="expression" dxfId="604" priority="5">
      <formula>$A2="пт"</formula>
    </cfRule>
    <cfRule type="expression" dxfId="603" priority="6">
      <formula>$A2="чт"</formula>
    </cfRule>
    <cfRule type="expression" dxfId="602" priority="7">
      <formula>$A2="ср"</formula>
    </cfRule>
    <cfRule type="expression" dxfId="601" priority="8">
      <formula>$A2="вт"</formula>
    </cfRule>
  </conditionalFormatting>
  <conditionalFormatting sqref="D2:D146">
    <cfRule type="containsText" dxfId="60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6">
    <cfRule type="containsText" dxfId="59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53"/>
  <sheetViews>
    <sheetView zoomScale="90" zoomScaleNormal="90" workbookViewId="0">
      <pane ySplit="1" topLeftCell="A131" activePane="bottomLeft" state="frozen"/>
      <selection pane="bottomLeft" activeCell="I150" sqref="I150:I15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8" t="s">
        <v>2004</v>
      </c>
      <c r="E99" s="8" t="s">
        <v>8</v>
      </c>
      <c r="F99" s="8"/>
      <c r="H99" s="8"/>
      <c r="I99" s="8" t="s">
        <v>7568</v>
      </c>
      <c r="J99" s="8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8" t="s">
        <v>1606</v>
      </c>
      <c r="E100" s="8" t="s">
        <v>7706</v>
      </c>
      <c r="F100" s="8" t="s">
        <v>60</v>
      </c>
      <c r="H100" s="8"/>
      <c r="I100" s="8" t="s">
        <v>7571</v>
      </c>
      <c r="J100" s="8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8" t="s">
        <v>6171</v>
      </c>
      <c r="E101" s="8" t="s">
        <v>7706</v>
      </c>
      <c r="F101" s="8" t="s">
        <v>60</v>
      </c>
      <c r="H101" s="8"/>
      <c r="I101" s="8" t="s">
        <v>7574</v>
      </c>
      <c r="J101" s="8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8" t="s">
        <v>650</v>
      </c>
      <c r="E102" s="8" t="s">
        <v>7706</v>
      </c>
      <c r="F102" s="8" t="s">
        <v>51</v>
      </c>
      <c r="H102" s="8"/>
      <c r="I102" s="8" t="s">
        <v>7577</v>
      </c>
      <c r="J102" s="8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8" t="s">
        <v>2004</v>
      </c>
      <c r="E103" s="8" t="s">
        <v>8</v>
      </c>
      <c r="F103" s="8"/>
      <c r="H103" s="8"/>
      <c r="I103" s="8" t="s">
        <v>7580</v>
      </c>
      <c r="J103" s="8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8" t="s">
        <v>2004</v>
      </c>
      <c r="E104" s="8" t="s">
        <v>8</v>
      </c>
      <c r="F104" s="8"/>
      <c r="H104" s="8"/>
      <c r="I104" s="8" t="s">
        <v>7828</v>
      </c>
      <c r="J104" s="8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8" t="s">
        <v>8042</v>
      </c>
      <c r="E105" s="8" t="s">
        <v>6656</v>
      </c>
      <c r="F105" s="8" t="s">
        <v>5076</v>
      </c>
      <c r="H105" s="8"/>
      <c r="I105" s="8" t="s">
        <v>7992</v>
      </c>
      <c r="J105" s="8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8" t="s">
        <v>4</v>
      </c>
      <c r="E106" s="8" t="s">
        <v>6656</v>
      </c>
      <c r="F106" s="8" t="s">
        <v>5076</v>
      </c>
      <c r="H106" s="8" t="s">
        <v>8043</v>
      </c>
      <c r="I106" s="8" t="s">
        <v>7995</v>
      </c>
      <c r="J106" s="8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8" t="s">
        <v>4</v>
      </c>
      <c r="E107" s="8" t="s">
        <v>4193</v>
      </c>
      <c r="F107" s="8" t="s">
        <v>5076</v>
      </c>
      <c r="H107" s="8"/>
      <c r="I107" s="8" t="s">
        <v>7998</v>
      </c>
      <c r="J107" s="8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8" t="s">
        <v>4</v>
      </c>
      <c r="E108" s="8" t="s">
        <v>8</v>
      </c>
      <c r="F108" s="8"/>
      <c r="H108" s="8" t="s">
        <v>8044</v>
      </c>
      <c r="I108" s="8" t="s">
        <v>8001</v>
      </c>
      <c r="J108" s="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8" t="s">
        <v>650</v>
      </c>
      <c r="E109" s="8" t="s">
        <v>6190</v>
      </c>
      <c r="F109" s="8" t="s">
        <v>51</v>
      </c>
      <c r="H109" s="8"/>
      <c r="I109" s="8" t="s">
        <v>8004</v>
      </c>
      <c r="J109" s="8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8" t="s">
        <v>1606</v>
      </c>
      <c r="E110" s="8" t="s">
        <v>8041</v>
      </c>
      <c r="F110" s="8"/>
      <c r="H110" s="8"/>
      <c r="I110" s="8" t="s">
        <v>8007</v>
      </c>
      <c r="J110" s="8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8" t="s">
        <v>650</v>
      </c>
      <c r="E111" s="8" t="s">
        <v>8041</v>
      </c>
      <c r="F111" s="8"/>
      <c r="H111" s="8"/>
      <c r="I111" s="8" t="s">
        <v>8010</v>
      </c>
      <c r="J111" s="8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8" t="s">
        <v>1606</v>
      </c>
      <c r="E112" s="8" t="s">
        <v>6190</v>
      </c>
      <c r="F112" s="8"/>
      <c r="H112" s="8"/>
      <c r="I112" s="8" t="s">
        <v>8013</v>
      </c>
      <c r="J112" s="8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8" t="s">
        <v>4</v>
      </c>
      <c r="E113" s="8" t="s">
        <v>1607</v>
      </c>
      <c r="F113" s="8" t="s">
        <v>8330</v>
      </c>
      <c r="H113" s="8"/>
      <c r="I113" s="8" t="s">
        <v>8090</v>
      </c>
      <c r="J113" s="8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8" t="s">
        <v>4</v>
      </c>
      <c r="E114" s="8" t="s">
        <v>8</v>
      </c>
      <c r="F114" s="8"/>
      <c r="H114" s="8"/>
      <c r="I114" s="8" t="s">
        <v>8093</v>
      </c>
      <c r="J114" s="8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8" t="s">
        <v>2004</v>
      </c>
      <c r="E115" s="8" t="s">
        <v>8</v>
      </c>
      <c r="F115" s="8"/>
      <c r="H115" s="8"/>
      <c r="I115" s="8" t="s">
        <v>8096</v>
      </c>
      <c r="J115" s="8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8" t="s">
        <v>2004</v>
      </c>
      <c r="E116" s="8" t="s">
        <v>8</v>
      </c>
      <c r="F116" s="8"/>
      <c r="H116" s="8"/>
      <c r="I116" s="8" t="s">
        <v>8099</v>
      </c>
      <c r="J116" s="8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8" t="s">
        <v>2004</v>
      </c>
      <c r="E117" s="8" t="s">
        <v>8</v>
      </c>
      <c r="F117" s="8"/>
      <c r="H117" s="8"/>
      <c r="I117" s="8" t="s">
        <v>8102</v>
      </c>
      <c r="J117" s="8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8" t="s">
        <v>2004</v>
      </c>
      <c r="E118" s="8" t="s">
        <v>8</v>
      </c>
      <c r="F118" s="8"/>
      <c r="H118" s="8"/>
      <c r="I118" s="8" t="s">
        <v>8105</v>
      </c>
      <c r="J118" s="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8" t="s">
        <v>2004</v>
      </c>
      <c r="E119" s="8" t="s">
        <v>8</v>
      </c>
      <c r="F119" s="8"/>
      <c r="H119" s="8"/>
      <c r="I119" s="8" t="s">
        <v>8402</v>
      </c>
      <c r="J119" s="8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8" t="s">
        <v>2004</v>
      </c>
      <c r="E120" s="8" t="s">
        <v>8</v>
      </c>
      <c r="F120" s="8"/>
      <c r="H120" s="8"/>
      <c r="I120" s="8" t="s">
        <v>8405</v>
      </c>
      <c r="J120" s="8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8" t="s">
        <v>2004</v>
      </c>
      <c r="E121" s="8" t="s">
        <v>8</v>
      </c>
      <c r="F121" s="8"/>
      <c r="H121" s="8"/>
      <c r="I121" s="8" t="s">
        <v>8408</v>
      </c>
      <c r="J121" s="8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8" t="s">
        <v>2004</v>
      </c>
      <c r="E122" s="8" t="s">
        <v>8</v>
      </c>
      <c r="F122" s="8"/>
      <c r="H122" s="8"/>
      <c r="I122" s="8" t="s">
        <v>8640</v>
      </c>
      <c r="J122" s="8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8" t="s">
        <v>4</v>
      </c>
      <c r="E123" s="8" t="s">
        <v>8</v>
      </c>
      <c r="F123" s="8"/>
      <c r="H123" s="8"/>
      <c r="I123" s="8" t="s">
        <v>8643</v>
      </c>
      <c r="J123" s="8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8" t="s">
        <v>4</v>
      </c>
      <c r="E124" s="8" t="s">
        <v>8</v>
      </c>
      <c r="F124" s="8"/>
      <c r="H124" s="8"/>
      <c r="I124" s="8" t="s">
        <v>8646</v>
      </c>
      <c r="J124" s="8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8" t="s">
        <v>4</v>
      </c>
      <c r="E125" s="8" t="s">
        <v>8</v>
      </c>
      <c r="F125" s="8"/>
      <c r="H125" s="8"/>
      <c r="I125" s="8" t="s">
        <v>8649</v>
      </c>
      <c r="J125" s="8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8" t="s">
        <v>4</v>
      </c>
      <c r="E126" s="8" t="s">
        <v>1607</v>
      </c>
      <c r="F126" s="8"/>
      <c r="H126" s="8"/>
      <c r="I126" s="8" t="s">
        <v>8652</v>
      </c>
      <c r="J126" s="8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8" t="s">
        <v>4</v>
      </c>
      <c r="E127" s="8" t="s">
        <v>8803</v>
      </c>
      <c r="F127" s="8"/>
      <c r="H127" s="8"/>
      <c r="I127" s="8" t="s">
        <v>8655</v>
      </c>
      <c r="J127" s="8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8" t="s">
        <v>4</v>
      </c>
      <c r="E128" s="8" t="s">
        <v>8803</v>
      </c>
      <c r="F128" s="8"/>
      <c r="H128" s="8"/>
      <c r="I128" s="8" t="s">
        <v>8658</v>
      </c>
      <c r="J128" s="8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8" t="s">
        <v>1606</v>
      </c>
      <c r="E129" s="8" t="s">
        <v>8801</v>
      </c>
      <c r="F129" s="8"/>
      <c r="H129" s="8"/>
      <c r="I129" s="8" t="s">
        <v>8661</v>
      </c>
      <c r="J129" s="8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8" t="s">
        <v>1606</v>
      </c>
      <c r="E130" s="8" t="s">
        <v>8802</v>
      </c>
      <c r="F130" s="8"/>
      <c r="H130" s="8"/>
      <c r="I130" s="8" t="s">
        <v>8664</v>
      </c>
      <c r="J130" s="8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8" t="s">
        <v>650</v>
      </c>
      <c r="E131" s="8" t="s">
        <v>8802</v>
      </c>
      <c r="F131" s="8"/>
      <c r="H131" s="8"/>
      <c r="I131" s="8" t="s">
        <v>8667</v>
      </c>
      <c r="J131" s="8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8" t="s">
        <v>650</v>
      </c>
      <c r="E132" s="8" t="s">
        <v>8801</v>
      </c>
      <c r="F132" s="8"/>
      <c r="H132" s="8"/>
      <c r="I132" s="8" t="s">
        <v>8670</v>
      </c>
      <c r="J132" s="8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8" t="s">
        <v>2004</v>
      </c>
      <c r="E133" s="8" t="s">
        <v>8</v>
      </c>
      <c r="F133" s="8"/>
      <c r="H133" s="8"/>
      <c r="I133" s="8" t="s">
        <v>8673</v>
      </c>
      <c r="J133" s="8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8" t="s">
        <v>4</v>
      </c>
      <c r="E134" s="8" t="s">
        <v>8804</v>
      </c>
      <c r="F134" s="8"/>
      <c r="H134" s="8"/>
      <c r="I134" s="8" t="s">
        <v>8676</v>
      </c>
      <c r="J134" s="8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8" t="s">
        <v>2004</v>
      </c>
      <c r="E135" s="8" t="s">
        <v>8</v>
      </c>
      <c r="F135" s="8"/>
      <c r="H135" s="8"/>
      <c r="I135" s="8" t="s">
        <v>6161</v>
      </c>
      <c r="J135" s="8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8" t="s">
        <v>2004</v>
      </c>
      <c r="E136" s="8" t="s">
        <v>8</v>
      </c>
      <c r="F136" s="8"/>
      <c r="H136" s="8"/>
      <c r="I136" s="8" t="s">
        <v>7998</v>
      </c>
      <c r="J136" s="8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8" t="s">
        <v>4</v>
      </c>
      <c r="E137" s="8" t="s">
        <v>8803</v>
      </c>
      <c r="F137" s="8"/>
      <c r="H137" s="8"/>
      <c r="I137" s="8" t="s">
        <v>8988</v>
      </c>
      <c r="J137" s="8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8" t="s">
        <v>4</v>
      </c>
      <c r="E138" s="8" t="s">
        <v>8803</v>
      </c>
      <c r="F138" s="8"/>
      <c r="H138" s="8"/>
      <c r="I138" s="8" t="s">
        <v>8991</v>
      </c>
      <c r="J138" s="8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8" t="s">
        <v>4</v>
      </c>
      <c r="E139" s="8" t="s">
        <v>8803</v>
      </c>
      <c r="F139" s="8"/>
      <c r="H139" s="8"/>
      <c r="I139" s="8" t="s">
        <v>9255</v>
      </c>
      <c r="J139" s="8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8" t="s">
        <v>4</v>
      </c>
      <c r="E140" s="8" t="s">
        <v>8803</v>
      </c>
      <c r="F140" s="8"/>
      <c r="H140" s="8"/>
      <c r="I140" s="8" t="s">
        <v>9352</v>
      </c>
      <c r="J140" s="8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8" t="s">
        <v>4</v>
      </c>
      <c r="E141" s="8" t="s">
        <v>9367</v>
      </c>
      <c r="F141" s="8"/>
      <c r="H141" s="8"/>
      <c r="I141" s="8" t="s">
        <v>9355</v>
      </c>
      <c r="J141" s="8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8" t="s">
        <v>158</v>
      </c>
      <c r="E142" s="8" t="s">
        <v>5480</v>
      </c>
      <c r="F142" s="8" t="s">
        <v>528</v>
      </c>
      <c r="H142" s="8"/>
      <c r="I142" s="8" t="s">
        <v>9358</v>
      </c>
      <c r="J142" s="8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8" t="s">
        <v>158</v>
      </c>
      <c r="E143" s="8" t="s">
        <v>5480</v>
      </c>
      <c r="F143" s="8" t="s">
        <v>528</v>
      </c>
      <c r="H143" s="8" t="s">
        <v>2936</v>
      </c>
      <c r="I143" s="8" t="s">
        <v>9361</v>
      </c>
      <c r="J143" s="8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8" t="s">
        <v>4</v>
      </c>
      <c r="E144" s="8" t="s">
        <v>9368</v>
      </c>
      <c r="F144" s="8"/>
      <c r="H144" s="8"/>
      <c r="I144" s="8" t="s">
        <v>9364</v>
      </c>
      <c r="J144" s="8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8" t="s">
        <v>4</v>
      </c>
      <c r="E145" s="8" t="s">
        <v>8803</v>
      </c>
      <c r="F145" s="8"/>
      <c r="H145" s="8"/>
      <c r="I145" s="8" t="s">
        <v>9633</v>
      </c>
      <c r="J145" s="8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8" t="s">
        <v>2004</v>
      </c>
      <c r="E146" s="8" t="s">
        <v>8</v>
      </c>
      <c r="F146" s="8"/>
      <c r="H146" s="8"/>
      <c r="I146" s="8" t="s">
        <v>9636</v>
      </c>
      <c r="J146" s="8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s="8" t="s">
        <v>4</v>
      </c>
      <c r="E147" s="8" t="s">
        <v>8803</v>
      </c>
      <c r="F147" s="8"/>
      <c r="H147" s="8"/>
      <c r="I147" s="8" t="s">
        <v>9726</v>
      </c>
      <c r="J147" s="8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s="8" t="s">
        <v>4</v>
      </c>
      <c r="E148" s="8" t="s">
        <v>8803</v>
      </c>
      <c r="F148" s="8"/>
      <c r="H148" s="8"/>
      <c r="I148" s="8" t="s">
        <v>9729</v>
      </c>
      <c r="J148" s="8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s="8" t="s">
        <v>4</v>
      </c>
      <c r="E149" s="8" t="s">
        <v>8803</v>
      </c>
      <c r="F149" s="8"/>
      <c r="H149" s="8"/>
      <c r="I149" s="8" t="s">
        <v>9732</v>
      </c>
      <c r="J149" s="8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s="8" t="s">
        <v>4</v>
      </c>
      <c r="E150" s="8" t="s">
        <v>8803</v>
      </c>
      <c r="F150" s="8"/>
      <c r="H150" s="8"/>
      <c r="I150" s="8" t="s">
        <v>10122</v>
      </c>
      <c r="J150" s="8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s="8" t="s">
        <v>4</v>
      </c>
      <c r="E151" s="8" t="s">
        <v>8803</v>
      </c>
      <c r="F151" s="8"/>
      <c r="H151" s="8"/>
      <c r="I151" s="8" t="s">
        <v>9960</v>
      </c>
      <c r="J151" s="8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s="8" t="s">
        <v>4</v>
      </c>
      <c r="E152" s="8" t="s">
        <v>8803</v>
      </c>
      <c r="F152" s="8"/>
      <c r="H152" s="8"/>
      <c r="I152" s="8" t="s">
        <v>9963</v>
      </c>
      <c r="J152" s="8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s="8" t="s">
        <v>4</v>
      </c>
      <c r="E153" s="8" t="s">
        <v>8803</v>
      </c>
      <c r="F153" s="8"/>
      <c r="H153" s="8"/>
      <c r="I153" s="8" t="s">
        <v>9966</v>
      </c>
      <c r="J153" s="8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</sheetData>
  <conditionalFormatting sqref="D154:D164 E154:E167 G2:H153 D2:E153">
    <cfRule type="containsText" dxfId="598" priority="14" operator="containsText" text="Выезд с территории">
      <formula>NOT(ISERROR(SEARCH("Выезд с территории",D2)))</formula>
    </cfRule>
  </conditionalFormatting>
  <conditionalFormatting sqref="F2:F153">
    <cfRule type="notContainsText" dxfId="597" priority="13" operator="notContains" text="порожний">
      <formula>ISERROR(SEARCH("порожний",F2))</formula>
    </cfRule>
  </conditionalFormatting>
  <conditionalFormatting sqref="E2:E167">
    <cfRule type="containsText" dxfId="596" priority="11" operator="containsText" text="Газель базы">
      <formula>NOT(ISERROR(SEARCH("Газель базы",E2)))</formula>
    </cfRule>
    <cfRule type="containsText" dxfId="595" priority="12" operator="containsText" text="Погрузчик базы">
      <formula>NOT(ISERROR(SEARCH("Погрузчик базы",E2)))</formula>
    </cfRule>
  </conditionalFormatting>
  <conditionalFormatting sqref="E2:E167">
    <cfRule type="containsText" dxfId="594" priority="10" operator="containsText" text="Трактор базы">
      <formula>NOT(ISERROR(SEARCH("Трактор базы",E2)))</formula>
    </cfRule>
  </conditionalFormatting>
  <conditionalFormatting sqref="A2:C153">
    <cfRule type="expression" dxfId="593" priority="9">
      <formula>$A2="пн"</formula>
    </cfRule>
  </conditionalFormatting>
  <conditionalFormatting sqref="A2:C155">
    <cfRule type="expression" dxfId="592" priority="3">
      <formula>$A2="вс"</formula>
    </cfRule>
    <cfRule type="expression" dxfId="591" priority="4">
      <formula>$A2="сб"</formula>
    </cfRule>
    <cfRule type="expression" dxfId="590" priority="5">
      <formula>$A2="пт"</formula>
    </cfRule>
    <cfRule type="expression" dxfId="589" priority="6">
      <formula>$A2="чт"</formula>
    </cfRule>
    <cfRule type="expression" dxfId="588" priority="7">
      <formula>$A2="ср"</formula>
    </cfRule>
    <cfRule type="expression" dxfId="587" priority="8">
      <formula>$A2="вт"</formula>
    </cfRule>
  </conditionalFormatting>
  <conditionalFormatting sqref="D2:D164">
    <cfRule type="containsText" dxfId="58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4">
    <cfRule type="containsText" dxfId="58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240"/>
  <sheetViews>
    <sheetView zoomScale="90" zoomScaleNormal="90" workbookViewId="0">
      <pane ySplit="1" topLeftCell="A217" activePane="bottomLeft" state="frozen"/>
      <selection pane="bottomLeft" activeCell="I236" sqref="I236:I24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8" t="s">
        <v>1615</v>
      </c>
      <c r="E145" s="8" t="s">
        <v>86</v>
      </c>
      <c r="F145" s="8" t="s">
        <v>60</v>
      </c>
      <c r="H145" s="8" t="s">
        <v>7707</v>
      </c>
      <c r="I145" s="8" t="s">
        <v>7595</v>
      </c>
      <c r="J145" s="8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8" t="s">
        <v>1615</v>
      </c>
      <c r="E146" s="8" t="s">
        <v>86</v>
      </c>
      <c r="F146" s="8" t="s">
        <v>60</v>
      </c>
      <c r="H146" s="8" t="s">
        <v>7708</v>
      </c>
      <c r="I146" s="8" t="s">
        <v>7598</v>
      </c>
      <c r="J146" s="8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8" t="s">
        <v>4</v>
      </c>
      <c r="E147" s="8" t="s">
        <v>7706</v>
      </c>
      <c r="F147" s="8" t="s">
        <v>60</v>
      </c>
      <c r="H147" s="8"/>
      <c r="I147" s="8" t="s">
        <v>7601</v>
      </c>
      <c r="J147" s="8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8" t="s">
        <v>290</v>
      </c>
      <c r="E148" s="8" t="s">
        <v>86</v>
      </c>
      <c r="F148" s="8" t="s">
        <v>60</v>
      </c>
      <c r="G148">
        <v>3</v>
      </c>
      <c r="H148" s="8"/>
      <c r="I148" s="8" t="s">
        <v>7604</v>
      </c>
      <c r="J148" s="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8" t="s">
        <v>290</v>
      </c>
      <c r="E149" s="8" t="s">
        <v>86</v>
      </c>
      <c r="F149" s="8" t="s">
        <v>60</v>
      </c>
      <c r="G149">
        <v>2</v>
      </c>
      <c r="H149" s="8"/>
      <c r="I149" s="8" t="s">
        <v>7607</v>
      </c>
      <c r="J149" s="8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8" t="s">
        <v>290</v>
      </c>
      <c r="E150" s="8" t="s">
        <v>86</v>
      </c>
      <c r="F150" s="8" t="s">
        <v>60</v>
      </c>
      <c r="G150">
        <v>2</v>
      </c>
      <c r="H150" s="8"/>
      <c r="I150" s="8" t="s">
        <v>7610</v>
      </c>
      <c r="J150" s="8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8" t="s">
        <v>290</v>
      </c>
      <c r="E151" s="8" t="s">
        <v>86</v>
      </c>
      <c r="F151" s="8" t="s">
        <v>60</v>
      </c>
      <c r="G151">
        <v>3</v>
      </c>
      <c r="H151" s="8"/>
      <c r="I151" s="8" t="s">
        <v>7613</v>
      </c>
      <c r="J151" s="8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8" t="s">
        <v>290</v>
      </c>
      <c r="E152" s="8" t="s">
        <v>86</v>
      </c>
      <c r="F152" s="8" t="s">
        <v>60</v>
      </c>
      <c r="G152">
        <v>4</v>
      </c>
      <c r="H152" s="8"/>
      <c r="I152" s="8" t="s">
        <v>7616</v>
      </c>
      <c r="J152" s="8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8" t="s">
        <v>290</v>
      </c>
      <c r="E153" s="8" t="s">
        <v>86</v>
      </c>
      <c r="F153" s="8" t="s">
        <v>60</v>
      </c>
      <c r="G153">
        <v>3</v>
      </c>
      <c r="H153" s="8"/>
      <c r="I153" s="8" t="s">
        <v>7619</v>
      </c>
      <c r="J153" s="8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8" t="s">
        <v>290</v>
      </c>
      <c r="E154" s="8" t="s">
        <v>86</v>
      </c>
      <c r="F154" s="8" t="s">
        <v>60</v>
      </c>
      <c r="G154">
        <v>3</v>
      </c>
      <c r="H154" s="8"/>
      <c r="I154" s="8" t="s">
        <v>7622</v>
      </c>
      <c r="J154" s="8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8" t="s">
        <v>290</v>
      </c>
      <c r="E155" s="8" t="s">
        <v>86</v>
      </c>
      <c r="F155" s="8" t="s">
        <v>60</v>
      </c>
      <c r="G155">
        <v>2</v>
      </c>
      <c r="H155" s="8"/>
      <c r="I155" s="8" t="s">
        <v>7625</v>
      </c>
      <c r="J155" s="8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8" t="s">
        <v>290</v>
      </c>
      <c r="E156" s="8" t="s">
        <v>86</v>
      </c>
      <c r="F156" s="8" t="s">
        <v>60</v>
      </c>
      <c r="G156">
        <v>2</v>
      </c>
      <c r="H156" s="8"/>
      <c r="I156" s="8" t="s">
        <v>7628</v>
      </c>
      <c r="J156" s="8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8" t="s">
        <v>290</v>
      </c>
      <c r="E157" s="8" t="s">
        <v>86</v>
      </c>
      <c r="F157" s="8" t="s">
        <v>60</v>
      </c>
      <c r="G157">
        <v>3</v>
      </c>
      <c r="H157" s="8"/>
      <c r="I157" s="8" t="s">
        <v>7631</v>
      </c>
      <c r="J157" s="8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8" t="s">
        <v>290</v>
      </c>
      <c r="E158" s="8" t="s">
        <v>86</v>
      </c>
      <c r="F158" s="8" t="s">
        <v>60</v>
      </c>
      <c r="G158">
        <v>3</v>
      </c>
      <c r="H158" s="8"/>
      <c r="I158" s="8" t="s">
        <v>7634</v>
      </c>
      <c r="J158" s="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8" t="s">
        <v>290</v>
      </c>
      <c r="E159" s="8" t="s">
        <v>86</v>
      </c>
      <c r="F159" s="8" t="s">
        <v>60</v>
      </c>
      <c r="G159">
        <v>2</v>
      </c>
      <c r="H159" s="8"/>
      <c r="I159" s="8" t="s">
        <v>7637</v>
      </c>
      <c r="J159" s="8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8" t="s">
        <v>290</v>
      </c>
      <c r="E160" s="8" t="s">
        <v>86</v>
      </c>
      <c r="F160" s="8" t="s">
        <v>60</v>
      </c>
      <c r="G160">
        <v>1</v>
      </c>
      <c r="H160" s="8"/>
      <c r="I160" s="8" t="s">
        <v>7640</v>
      </c>
      <c r="J160" s="8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8" t="s">
        <v>290</v>
      </c>
      <c r="E161" s="8" t="s">
        <v>86</v>
      </c>
      <c r="F161" s="8" t="s">
        <v>60</v>
      </c>
      <c r="G161">
        <v>4</v>
      </c>
      <c r="H161" s="8"/>
      <c r="I161" s="8" t="s">
        <v>7643</v>
      </c>
      <c r="J161" s="8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8" t="s">
        <v>290</v>
      </c>
      <c r="E162" s="8" t="s">
        <v>86</v>
      </c>
      <c r="F162" s="8" t="s">
        <v>60</v>
      </c>
      <c r="G162">
        <v>3</v>
      </c>
      <c r="H162" s="8"/>
      <c r="I162" s="8" t="s">
        <v>7646</v>
      </c>
      <c r="J162" s="8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8" t="s">
        <v>290</v>
      </c>
      <c r="E163" s="8" t="s">
        <v>86</v>
      </c>
      <c r="F163" s="8" t="s">
        <v>60</v>
      </c>
      <c r="G163">
        <v>3</v>
      </c>
      <c r="H163" s="8"/>
      <c r="I163" s="8" t="s">
        <v>7649</v>
      </c>
      <c r="J163" s="8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8" t="s">
        <v>290</v>
      </c>
      <c r="E164" s="8" t="s">
        <v>86</v>
      </c>
      <c r="F164" s="8" t="s">
        <v>60</v>
      </c>
      <c r="G164">
        <v>3</v>
      </c>
      <c r="H164" s="8"/>
      <c r="I164" s="8" t="s">
        <v>7652</v>
      </c>
      <c r="J164" s="8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8" t="s">
        <v>290</v>
      </c>
      <c r="E165" s="8" t="s">
        <v>86</v>
      </c>
      <c r="F165" s="8" t="s">
        <v>60</v>
      </c>
      <c r="G165">
        <v>2</v>
      </c>
      <c r="H165" s="8"/>
      <c r="I165" s="8" t="s">
        <v>7655</v>
      </c>
      <c r="J165" s="8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8" t="s">
        <v>290</v>
      </c>
      <c r="E166" s="8" t="s">
        <v>86</v>
      </c>
      <c r="F166" s="8" t="s">
        <v>60</v>
      </c>
      <c r="G166">
        <v>3</v>
      </c>
      <c r="H166" s="8"/>
      <c r="I166" s="8" t="s">
        <v>7658</v>
      </c>
      <c r="J166" s="8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8" t="s">
        <v>290</v>
      </c>
      <c r="E167" s="8" t="s">
        <v>86</v>
      </c>
      <c r="F167" s="8" t="s">
        <v>60</v>
      </c>
      <c r="G167">
        <v>3</v>
      </c>
      <c r="H167" s="8"/>
      <c r="I167" s="8" t="s">
        <v>7661</v>
      </c>
      <c r="J167" s="8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8" t="s">
        <v>290</v>
      </c>
      <c r="E168" s="8" t="s">
        <v>86</v>
      </c>
      <c r="F168" s="8" t="s">
        <v>60</v>
      </c>
      <c r="G168">
        <v>3</v>
      </c>
      <c r="H168" s="8"/>
      <c r="I168" s="8" t="s">
        <v>7664</v>
      </c>
      <c r="J168" s="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8" t="s">
        <v>290</v>
      </c>
      <c r="E169" s="8" t="s">
        <v>86</v>
      </c>
      <c r="F169" s="8" t="s">
        <v>60</v>
      </c>
      <c r="G169">
        <v>4</v>
      </c>
      <c r="H169" s="8"/>
      <c r="I169" s="8" t="s">
        <v>7667</v>
      </c>
      <c r="J169" s="8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8" t="s">
        <v>290</v>
      </c>
      <c r="E170" s="8" t="s">
        <v>86</v>
      </c>
      <c r="F170" s="8" t="s">
        <v>60</v>
      </c>
      <c r="G170">
        <v>2</v>
      </c>
      <c r="H170" s="8"/>
      <c r="I170" s="8" t="s">
        <v>7670</v>
      </c>
      <c r="J170" s="8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8" t="s">
        <v>4</v>
      </c>
      <c r="E171" s="8" t="s">
        <v>4193</v>
      </c>
      <c r="F171" s="8"/>
      <c r="H171" s="8"/>
      <c r="I171" s="8" t="s">
        <v>7673</v>
      </c>
      <c r="J171" s="8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8" t="s">
        <v>2004</v>
      </c>
      <c r="E172" s="8" t="s">
        <v>8</v>
      </c>
      <c r="F172" s="8"/>
      <c r="H172" s="8"/>
      <c r="I172" s="8" t="s">
        <v>7676</v>
      </c>
      <c r="J172" s="8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8" t="s">
        <v>1094</v>
      </c>
      <c r="E173" s="8" t="s">
        <v>86</v>
      </c>
      <c r="F173" s="8" t="s">
        <v>60</v>
      </c>
      <c r="H173" s="8" t="s">
        <v>7870</v>
      </c>
      <c r="I173" s="8" t="s">
        <v>7831</v>
      </c>
      <c r="J173" s="8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8" t="s">
        <v>1094</v>
      </c>
      <c r="E174" s="8" t="s">
        <v>86</v>
      </c>
      <c r="F174" s="8" t="s">
        <v>60</v>
      </c>
      <c r="H174" s="8" t="s">
        <v>7870</v>
      </c>
      <c r="I174" s="8" t="s">
        <v>7834</v>
      </c>
      <c r="J174" s="8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8" t="s">
        <v>1094</v>
      </c>
      <c r="E175" s="8" t="s">
        <v>86</v>
      </c>
      <c r="F175" s="8" t="s">
        <v>60</v>
      </c>
      <c r="H175" s="8" t="s">
        <v>7870</v>
      </c>
      <c r="I175" s="8" t="s">
        <v>7837</v>
      </c>
      <c r="J175" s="8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8" t="s">
        <v>1094</v>
      </c>
      <c r="E176" s="8" t="s">
        <v>86</v>
      </c>
      <c r="F176" s="8" t="s">
        <v>60</v>
      </c>
      <c r="H176" s="8" t="s">
        <v>7870</v>
      </c>
      <c r="I176" s="8" t="s">
        <v>7840</v>
      </c>
      <c r="J176" s="8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8" t="s">
        <v>1094</v>
      </c>
      <c r="E177" s="8" t="s">
        <v>86</v>
      </c>
      <c r="F177" s="8" t="s">
        <v>60</v>
      </c>
      <c r="H177" s="8" t="s">
        <v>7870</v>
      </c>
      <c r="I177" s="8" t="s">
        <v>7843</v>
      </c>
      <c r="J177" s="8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8" t="s">
        <v>1094</v>
      </c>
      <c r="E178" s="8" t="s">
        <v>86</v>
      </c>
      <c r="F178" s="8" t="s">
        <v>60</v>
      </c>
      <c r="H178" s="8" t="s">
        <v>7870</v>
      </c>
      <c r="I178" s="8" t="s">
        <v>7846</v>
      </c>
      <c r="J178" s="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8" t="s">
        <v>1094</v>
      </c>
      <c r="E179" s="8" t="s">
        <v>86</v>
      </c>
      <c r="F179" s="8" t="s">
        <v>60</v>
      </c>
      <c r="H179" s="8" t="s">
        <v>7870</v>
      </c>
      <c r="I179" s="8" t="s">
        <v>7849</v>
      </c>
      <c r="J179" s="8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8" t="s">
        <v>2004</v>
      </c>
      <c r="E180" s="8" t="s">
        <v>8</v>
      </c>
      <c r="F180" s="8"/>
      <c r="H180" s="8"/>
      <c r="I180" s="8" t="s">
        <v>7852</v>
      </c>
      <c r="J180" s="8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8" t="s">
        <v>2004</v>
      </c>
      <c r="E181" s="8" t="s">
        <v>8</v>
      </c>
      <c r="F181" s="8"/>
      <c r="H181" s="8"/>
      <c r="I181" s="8" t="s">
        <v>7929</v>
      </c>
      <c r="J181" s="8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8" t="s">
        <v>8042</v>
      </c>
      <c r="E182" s="8" t="s">
        <v>6656</v>
      </c>
      <c r="F182" s="8"/>
      <c r="H182" s="8"/>
      <c r="I182" s="8" t="s">
        <v>7932</v>
      </c>
      <c r="J182" s="8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8" t="s">
        <v>4</v>
      </c>
      <c r="E183" s="8" t="s">
        <v>8045</v>
      </c>
      <c r="F183" s="8"/>
      <c r="H183" s="8"/>
      <c r="I183" s="8" t="s">
        <v>7935</v>
      </c>
      <c r="J183" s="8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8" t="s">
        <v>4</v>
      </c>
      <c r="E184" s="8" t="s">
        <v>8045</v>
      </c>
      <c r="F184" s="8"/>
      <c r="H184" s="8"/>
      <c r="I184" s="8" t="s">
        <v>7938</v>
      </c>
      <c r="J184" s="8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8" t="s">
        <v>4</v>
      </c>
      <c r="E185" s="8" t="s">
        <v>8045</v>
      </c>
      <c r="F185" s="8"/>
      <c r="H185" s="8"/>
      <c r="I185" s="8" t="s">
        <v>7941</v>
      </c>
      <c r="J185" s="8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8" t="s">
        <v>4</v>
      </c>
      <c r="E186" s="8" t="s">
        <v>8331</v>
      </c>
      <c r="F186" s="8"/>
      <c r="H186" s="8"/>
      <c r="I186" s="8" t="s">
        <v>8285</v>
      </c>
      <c r="J186" s="8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8" t="s">
        <v>4</v>
      </c>
      <c r="E187" s="8" t="s">
        <v>8331</v>
      </c>
      <c r="F187" s="8"/>
      <c r="H187" s="8"/>
      <c r="I187" s="8" t="s">
        <v>8288</v>
      </c>
      <c r="J187" s="8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8" t="s">
        <v>2004</v>
      </c>
      <c r="E188" s="8" t="s">
        <v>8</v>
      </c>
      <c r="F188" s="8"/>
      <c r="H188" s="8"/>
      <c r="I188" s="8" t="s">
        <v>8291</v>
      </c>
      <c r="J188" s="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8" t="s">
        <v>4</v>
      </c>
      <c r="E189" s="8" t="s">
        <v>1607</v>
      </c>
      <c r="F189" s="8" t="s">
        <v>7169</v>
      </c>
      <c r="H189" s="8"/>
      <c r="I189" s="8" t="s">
        <v>8294</v>
      </c>
      <c r="J189" s="8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8" t="s">
        <v>2004</v>
      </c>
      <c r="E190" s="8" t="s">
        <v>8</v>
      </c>
      <c r="F190" s="8"/>
      <c r="H190" s="8"/>
      <c r="I190" s="8" t="s">
        <v>8297</v>
      </c>
      <c r="J190" s="8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8" t="s">
        <v>2004</v>
      </c>
      <c r="E191" s="8" t="s">
        <v>8</v>
      </c>
      <c r="F191" s="8"/>
      <c r="H191" s="8"/>
      <c r="I191" s="8" t="s">
        <v>8300</v>
      </c>
      <c r="J191" s="8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8" t="s">
        <v>2004</v>
      </c>
      <c r="E192" s="8" t="s">
        <v>8</v>
      </c>
      <c r="F192" s="8"/>
      <c r="H192" s="8"/>
      <c r="I192" s="8" t="s">
        <v>8429</v>
      </c>
      <c r="J192" s="8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8" t="s">
        <v>4</v>
      </c>
      <c r="E193" s="8" t="s">
        <v>8483</v>
      </c>
      <c r="F193" s="8"/>
      <c r="H193" s="8" t="s">
        <v>8042</v>
      </c>
      <c r="I193" s="8" t="s">
        <v>8432</v>
      </c>
      <c r="J193" s="8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8" t="s">
        <v>2004</v>
      </c>
      <c r="E194" s="8" t="s">
        <v>8</v>
      </c>
      <c r="F194" s="8"/>
      <c r="H194" s="8"/>
      <c r="I194" s="8" t="s">
        <v>8435</v>
      </c>
      <c r="J194" s="8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8" t="s">
        <v>2004</v>
      </c>
      <c r="E195" s="8" t="s">
        <v>8</v>
      </c>
      <c r="F195" s="8"/>
      <c r="H195" s="8"/>
      <c r="I195" s="8" t="s">
        <v>8556</v>
      </c>
      <c r="J195" s="8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8" t="s">
        <v>4</v>
      </c>
      <c r="E196" s="8" t="s">
        <v>8805</v>
      </c>
      <c r="F196" s="8"/>
      <c r="H196" s="8"/>
      <c r="I196" s="8" t="s">
        <v>8559</v>
      </c>
      <c r="J196" s="8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8" t="s">
        <v>2004</v>
      </c>
      <c r="E197" s="8" t="s">
        <v>8</v>
      </c>
      <c r="F197" s="8"/>
      <c r="H197" s="8"/>
      <c r="I197" s="8" t="s">
        <v>8562</v>
      </c>
      <c r="J197" s="8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8" t="s">
        <v>2004</v>
      </c>
      <c r="E198" s="8" t="s">
        <v>8</v>
      </c>
      <c r="F198" s="8"/>
      <c r="H198" s="8"/>
      <c r="I198" s="8" t="s">
        <v>8565</v>
      </c>
      <c r="J198" s="8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8" t="s">
        <v>2004</v>
      </c>
      <c r="E199" s="8" t="s">
        <v>8</v>
      </c>
      <c r="F199" s="8"/>
      <c r="H199" s="8"/>
      <c r="I199" s="8" t="s">
        <v>8568</v>
      </c>
      <c r="J199" s="8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8" t="s">
        <v>2004</v>
      </c>
      <c r="E200" s="8" t="s">
        <v>8</v>
      </c>
      <c r="F200" s="8"/>
      <c r="H200" s="8"/>
      <c r="I200" s="8" t="s">
        <v>8571</v>
      </c>
      <c r="J200" s="8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8" t="s">
        <v>2004</v>
      </c>
      <c r="E201" s="8" t="s">
        <v>8</v>
      </c>
      <c r="F201" s="8"/>
      <c r="H201" s="8"/>
      <c r="I201" s="8" t="s">
        <v>8574</v>
      </c>
      <c r="J201" s="8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8" t="s">
        <v>2004</v>
      </c>
      <c r="E202" s="8" t="s">
        <v>8</v>
      </c>
      <c r="F202" s="8"/>
      <c r="H202" s="8"/>
      <c r="I202" s="8" t="s">
        <v>364</v>
      </c>
      <c r="J202" s="8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8" t="s">
        <v>2004</v>
      </c>
      <c r="E203" s="8" t="s">
        <v>8</v>
      </c>
      <c r="F203" s="8"/>
      <c r="H203" s="8"/>
      <c r="I203" s="8" t="s">
        <v>367</v>
      </c>
      <c r="J203" s="8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8" t="s">
        <v>2004</v>
      </c>
      <c r="E204" s="8" t="s">
        <v>8</v>
      </c>
      <c r="F204" s="8"/>
      <c r="H204" s="8"/>
      <c r="I204" s="8" t="s">
        <v>370</v>
      </c>
      <c r="J204" s="8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8" t="s">
        <v>2004</v>
      </c>
      <c r="E205" s="8" t="s">
        <v>8</v>
      </c>
      <c r="F205" s="8"/>
      <c r="H205" s="8"/>
      <c r="I205" s="8" t="s">
        <v>373</v>
      </c>
      <c r="J205" s="8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8" t="s">
        <v>2004</v>
      </c>
      <c r="E206" s="8" t="s">
        <v>8</v>
      </c>
      <c r="F206" s="8"/>
      <c r="H206" s="8"/>
      <c r="I206" s="8" t="s">
        <v>376</v>
      </c>
      <c r="J206" s="8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8" t="s">
        <v>6191</v>
      </c>
      <c r="E207" s="8" t="s">
        <v>5480</v>
      </c>
      <c r="F207" s="8" t="s">
        <v>9190</v>
      </c>
      <c r="H207" s="8"/>
      <c r="I207" s="8" t="s">
        <v>8861</v>
      </c>
      <c r="J207" s="8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8" t="s">
        <v>6191</v>
      </c>
      <c r="E208" s="8" t="s">
        <v>5480</v>
      </c>
      <c r="F208" s="8" t="s">
        <v>9190</v>
      </c>
      <c r="H208" s="8" t="s">
        <v>2936</v>
      </c>
      <c r="I208" s="8" t="s">
        <v>8864</v>
      </c>
      <c r="J208" s="8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8" t="s">
        <v>1094</v>
      </c>
      <c r="E209" s="8" t="s">
        <v>86</v>
      </c>
      <c r="F209" s="8" t="s">
        <v>60</v>
      </c>
      <c r="H209" s="8"/>
      <c r="I209" s="8" t="s">
        <v>8867</v>
      </c>
      <c r="J209" s="8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8" t="s">
        <v>1094</v>
      </c>
      <c r="E210" s="8" t="s">
        <v>86</v>
      </c>
      <c r="F210" s="8" t="s">
        <v>60</v>
      </c>
      <c r="H210" s="8" t="s">
        <v>2936</v>
      </c>
      <c r="I210" s="8" t="s">
        <v>8870</v>
      </c>
      <c r="J210" s="8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8" t="s">
        <v>1094</v>
      </c>
      <c r="E211" s="8" t="s">
        <v>86</v>
      </c>
      <c r="F211" s="8" t="s">
        <v>60</v>
      </c>
      <c r="H211" s="8" t="s">
        <v>2936</v>
      </c>
      <c r="I211" s="8" t="s">
        <v>8873</v>
      </c>
      <c r="J211" s="8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8" t="s">
        <v>1094</v>
      </c>
      <c r="E212" s="8" t="s">
        <v>4247</v>
      </c>
      <c r="F212" s="8" t="s">
        <v>60</v>
      </c>
      <c r="H212" s="8"/>
      <c r="I212" s="8" t="s">
        <v>8876</v>
      </c>
      <c r="J212" s="8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8" t="s">
        <v>1094</v>
      </c>
      <c r="E213" s="8" t="s">
        <v>4247</v>
      </c>
      <c r="F213" s="8" t="s">
        <v>60</v>
      </c>
      <c r="H213" s="8" t="s">
        <v>2936</v>
      </c>
      <c r="I213" s="8" t="s">
        <v>8879</v>
      </c>
      <c r="J213" s="8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8" t="s">
        <v>1094</v>
      </c>
      <c r="E214" s="8" t="s">
        <v>4247</v>
      </c>
      <c r="F214" s="8" t="s">
        <v>60</v>
      </c>
      <c r="H214" s="8" t="s">
        <v>2936</v>
      </c>
      <c r="I214" s="8" t="s">
        <v>8882</v>
      </c>
      <c r="J214" s="8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8" t="s">
        <v>4</v>
      </c>
      <c r="E215" s="8" t="s">
        <v>8</v>
      </c>
      <c r="F215" s="8"/>
      <c r="H215" s="8"/>
      <c r="I215" s="8" t="s">
        <v>8885</v>
      </c>
      <c r="J215" s="8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8" t="s">
        <v>4</v>
      </c>
      <c r="E216" s="8" t="s">
        <v>8045</v>
      </c>
      <c r="F216" s="8"/>
      <c r="H216" s="8"/>
      <c r="I216" s="8" t="s">
        <v>8888</v>
      </c>
      <c r="J216" s="8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8" t="s">
        <v>4</v>
      </c>
      <c r="E217" s="8" t="s">
        <v>8045</v>
      </c>
      <c r="F217" s="8"/>
      <c r="H217" s="8"/>
      <c r="I217" s="8" t="s">
        <v>8891</v>
      </c>
      <c r="J217" s="8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8" t="s">
        <v>4</v>
      </c>
      <c r="E218" s="8" t="s">
        <v>8</v>
      </c>
      <c r="F218" s="8"/>
      <c r="H218" s="8"/>
      <c r="I218" s="8" t="s">
        <v>8894</v>
      </c>
      <c r="J218" s="8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8" t="s">
        <v>4</v>
      </c>
      <c r="E219" s="8" t="s">
        <v>8045</v>
      </c>
      <c r="F219" s="8"/>
      <c r="H219" s="8"/>
      <c r="I219" s="8" t="s">
        <v>9258</v>
      </c>
      <c r="J219" s="8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8" t="s">
        <v>4</v>
      </c>
      <c r="E220" s="8" t="s">
        <v>8045</v>
      </c>
      <c r="F220" s="8"/>
      <c r="H220" s="8" t="s">
        <v>2936</v>
      </c>
      <c r="I220" s="8" t="s">
        <v>9261</v>
      </c>
      <c r="J220" s="8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8" t="s">
        <v>4</v>
      </c>
      <c r="E221" s="8" t="s">
        <v>8045</v>
      </c>
      <c r="F221" s="8"/>
      <c r="H221" s="8" t="s">
        <v>2936</v>
      </c>
      <c r="I221" s="8" t="s">
        <v>9264</v>
      </c>
      <c r="J221" s="8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8" t="s">
        <v>1094</v>
      </c>
      <c r="E222" s="8" t="s">
        <v>4247</v>
      </c>
      <c r="F222" s="8" t="s">
        <v>60</v>
      </c>
      <c r="H222" s="8"/>
      <c r="I222" s="8" t="s">
        <v>9369</v>
      </c>
      <c r="J222" s="8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8" t="s">
        <v>4</v>
      </c>
      <c r="E223" s="8" t="s">
        <v>8045</v>
      </c>
      <c r="F223" s="8"/>
      <c r="H223" s="8"/>
      <c r="I223" s="8" t="s">
        <v>9372</v>
      </c>
      <c r="J223" s="8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8" t="s">
        <v>4</v>
      </c>
      <c r="E224" s="8" t="s">
        <v>8045</v>
      </c>
      <c r="F224" s="8"/>
      <c r="H224" s="8"/>
      <c r="I224" s="8" t="s">
        <v>9375</v>
      </c>
      <c r="J224" s="8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8" t="s">
        <v>4</v>
      </c>
      <c r="E225" s="8" t="s">
        <v>8045</v>
      </c>
      <c r="F225" s="8"/>
      <c r="H225" s="8"/>
      <c r="I225" s="8" t="s">
        <v>9378</v>
      </c>
      <c r="J225" s="8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8" t="s">
        <v>4</v>
      </c>
      <c r="E226" s="8" t="s">
        <v>8045</v>
      </c>
      <c r="F226" s="8"/>
      <c r="H226" s="8"/>
      <c r="I226" s="8" t="s">
        <v>9381</v>
      </c>
      <c r="J226" s="8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8" t="s">
        <v>4</v>
      </c>
      <c r="E227" s="8" t="s">
        <v>8</v>
      </c>
      <c r="F227" s="8"/>
      <c r="H227" s="8"/>
      <c r="I227" s="8" t="s">
        <v>9384</v>
      </c>
      <c r="J227" s="8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8" t="s">
        <v>4</v>
      </c>
      <c r="E228" s="8" t="s">
        <v>8045</v>
      </c>
      <c r="F228" s="8"/>
      <c r="H228" s="8"/>
      <c r="I228" s="8" t="s">
        <v>9639</v>
      </c>
      <c r="J228" s="8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8" t="s">
        <v>4</v>
      </c>
      <c r="E229" s="8" t="s">
        <v>8045</v>
      </c>
      <c r="F229" s="8"/>
      <c r="H229" s="8"/>
      <c r="I229" s="8" t="s">
        <v>9642</v>
      </c>
      <c r="J229" s="8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8" t="s">
        <v>4</v>
      </c>
      <c r="E230" s="8" t="s">
        <v>8045</v>
      </c>
      <c r="F230" s="8"/>
      <c r="H230" s="8"/>
      <c r="I230" s="8" t="s">
        <v>9645</v>
      </c>
      <c r="J230" s="8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s="8" t="s">
        <v>4</v>
      </c>
      <c r="E231" s="8" t="s">
        <v>9876</v>
      </c>
      <c r="F231" s="8"/>
      <c r="H231" s="8"/>
      <c r="I231" s="8" t="s">
        <v>9693</v>
      </c>
      <c r="J231" s="8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s="8" t="s">
        <v>4</v>
      </c>
      <c r="E232" s="8" t="s">
        <v>9876</v>
      </c>
      <c r="F232" s="8"/>
      <c r="H232" s="8"/>
      <c r="I232" s="8" t="s">
        <v>9696</v>
      </c>
      <c r="J232" s="8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s="8" t="s">
        <v>4</v>
      </c>
      <c r="E233" s="8" t="s">
        <v>9876</v>
      </c>
      <c r="F233" s="8"/>
      <c r="H233" s="8"/>
      <c r="I233" s="8" t="s">
        <v>9699</v>
      </c>
      <c r="J233" s="8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s="8" t="s">
        <v>4</v>
      </c>
      <c r="E234" s="8" t="s">
        <v>9876</v>
      </c>
      <c r="F234" s="8"/>
      <c r="H234" s="8"/>
      <c r="I234" s="8" t="s">
        <v>9702</v>
      </c>
      <c r="J234" s="8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s="8" t="s">
        <v>4</v>
      </c>
      <c r="E235" s="8" t="s">
        <v>9876</v>
      </c>
      <c r="F235" s="8"/>
      <c r="H235" s="8"/>
      <c r="I235" s="8" t="s">
        <v>9705</v>
      </c>
      <c r="J235" s="8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s="8" t="s">
        <v>4</v>
      </c>
      <c r="E236" s="8" t="s">
        <v>9876</v>
      </c>
      <c r="F236" s="8"/>
      <c r="H236" s="8"/>
      <c r="I236" s="8" t="s">
        <v>9936</v>
      </c>
      <c r="J236" s="8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s="8" t="s">
        <v>4</v>
      </c>
      <c r="E237" s="8" t="s">
        <v>9876</v>
      </c>
      <c r="F237" s="8"/>
      <c r="H237" s="8"/>
      <c r="I237" s="8" t="s">
        <v>9939</v>
      </c>
      <c r="J237" s="8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s="8" t="s">
        <v>4</v>
      </c>
      <c r="E238" s="8" t="s">
        <v>9876</v>
      </c>
      <c r="F238" s="8"/>
      <c r="H238" s="8"/>
      <c r="I238" s="8" t="s">
        <v>9942</v>
      </c>
      <c r="J238" s="8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s="8" t="s">
        <v>4</v>
      </c>
      <c r="E239" s="8" t="s">
        <v>9876</v>
      </c>
      <c r="F239" s="8"/>
      <c r="H239" s="8"/>
      <c r="I239" s="8" t="s">
        <v>9945</v>
      </c>
      <c r="J239" s="8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s="8" t="s">
        <v>4</v>
      </c>
      <c r="E240" s="8" t="s">
        <v>8</v>
      </c>
      <c r="F240" s="8"/>
      <c r="H240" s="8"/>
      <c r="I240" s="8" t="s">
        <v>9948</v>
      </c>
      <c r="J240" s="8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</sheetData>
  <conditionalFormatting sqref="E241:E254 D241:D251 G2:H240 D2:E240">
    <cfRule type="containsText" dxfId="584" priority="17" operator="containsText" text="Выезд с территории">
      <formula>NOT(ISERROR(SEARCH("Выезд с территории",D2)))</formula>
    </cfRule>
  </conditionalFormatting>
  <conditionalFormatting sqref="F2:F240">
    <cfRule type="notContainsText" dxfId="583" priority="16" operator="notContains" text="порожний">
      <formula>ISERROR(SEARCH("порожний",F2))</formula>
    </cfRule>
  </conditionalFormatting>
  <conditionalFormatting sqref="E2:E254">
    <cfRule type="containsText" dxfId="582" priority="14" operator="containsText" text="Газель базы">
      <formula>NOT(ISERROR(SEARCH("Газель базы",E2)))</formula>
    </cfRule>
    <cfRule type="containsText" dxfId="581" priority="15" operator="containsText" text="Погрузчик базы">
      <formula>NOT(ISERROR(SEARCH("Погрузчик базы",E2)))</formula>
    </cfRule>
  </conditionalFormatting>
  <conditionalFormatting sqref="E2:E254">
    <cfRule type="containsText" dxfId="580" priority="13" operator="containsText" text="Трактор базы">
      <formula>NOT(ISERROR(SEARCH("Трактор базы",E2)))</formula>
    </cfRule>
  </conditionalFormatting>
  <conditionalFormatting sqref="A2:C240">
    <cfRule type="expression" dxfId="579" priority="12">
      <formula>$A2="пн"</formula>
    </cfRule>
  </conditionalFormatting>
  <conditionalFormatting sqref="A2:C242">
    <cfRule type="expression" dxfId="578" priority="6">
      <formula>$A2="вс"</formula>
    </cfRule>
    <cfRule type="expression" dxfId="577" priority="7">
      <formula>$A2="сб"</formula>
    </cfRule>
    <cfRule type="expression" dxfId="576" priority="8">
      <formula>$A2="пт"</formula>
    </cfRule>
    <cfRule type="expression" dxfId="575" priority="9">
      <formula>$A2="чт"</formula>
    </cfRule>
    <cfRule type="expression" dxfId="574" priority="10">
      <formula>$A2="ср"</formula>
    </cfRule>
    <cfRule type="expression" dxfId="573" priority="11">
      <formula>$A2="вт"</formula>
    </cfRule>
  </conditionalFormatting>
  <conditionalFormatting sqref="D2:D251">
    <cfRule type="containsText" dxfId="57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1">
    <cfRule type="containsText" dxfId="571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16"/>
  <sheetViews>
    <sheetView zoomScale="90" zoomScaleNormal="90" workbookViewId="0">
      <pane ySplit="1" topLeftCell="A97" activePane="bottomLeft" state="frozen"/>
      <selection pane="bottomLeft" activeCell="I114" sqref="I114:I11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8" t="s">
        <v>2004</v>
      </c>
      <c r="E82" s="8" t="s">
        <v>8</v>
      </c>
      <c r="F82" s="8"/>
      <c r="H82" s="8"/>
      <c r="I82" s="8" t="s">
        <v>7694</v>
      </c>
      <c r="J82" s="8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8" t="s">
        <v>2004</v>
      </c>
      <c r="E83" s="8" t="s">
        <v>8</v>
      </c>
      <c r="F83" s="8"/>
      <c r="H83" s="8"/>
      <c r="I83" s="8" t="s">
        <v>7697</v>
      </c>
      <c r="J83" s="8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8" t="s">
        <v>290</v>
      </c>
      <c r="E84" s="8" t="s">
        <v>86</v>
      </c>
      <c r="F84" s="8" t="s">
        <v>60</v>
      </c>
      <c r="H84" s="8" t="s">
        <v>5104</v>
      </c>
      <c r="I84" s="8" t="s">
        <v>7855</v>
      </c>
      <c r="J84" s="8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8" t="s">
        <v>290</v>
      </c>
      <c r="E85" s="8" t="s">
        <v>86</v>
      </c>
      <c r="F85" s="8" t="s">
        <v>60</v>
      </c>
      <c r="H85" s="8" t="s">
        <v>2936</v>
      </c>
      <c r="I85" s="8" t="s">
        <v>7858</v>
      </c>
      <c r="J85" s="8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8" t="s">
        <v>290</v>
      </c>
      <c r="E86" s="8" t="s">
        <v>86</v>
      </c>
      <c r="F86" s="8" t="s">
        <v>60</v>
      </c>
      <c r="H86" s="8" t="s">
        <v>2936</v>
      </c>
      <c r="I86" s="8" t="s">
        <v>7861</v>
      </c>
      <c r="J86" s="8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8" t="s">
        <v>2004</v>
      </c>
      <c r="E87" s="8" t="s">
        <v>8</v>
      </c>
      <c r="F87" s="8"/>
      <c r="H87" s="8"/>
      <c r="I87" s="8" t="s">
        <v>8016</v>
      </c>
      <c r="J87" s="8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8" t="s">
        <v>2004</v>
      </c>
      <c r="E88" s="8" t="s">
        <v>8</v>
      </c>
      <c r="F88" s="8"/>
      <c r="H88" s="8"/>
      <c r="I88" s="8" t="s">
        <v>8019</v>
      </c>
      <c r="J88" s="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8" t="s">
        <v>2004</v>
      </c>
      <c r="E89" s="8" t="s">
        <v>8</v>
      </c>
      <c r="F89" s="8"/>
      <c r="H89" s="8"/>
      <c r="I89" s="8" t="s">
        <v>8303</v>
      </c>
      <c r="J89" s="8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8" t="s">
        <v>2004</v>
      </c>
      <c r="E90" s="8" t="s">
        <v>8</v>
      </c>
      <c r="F90" s="8"/>
      <c r="H90" s="8"/>
      <c r="I90" s="8" t="s">
        <v>8306</v>
      </c>
      <c r="J90" s="8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8" t="s">
        <v>2004</v>
      </c>
      <c r="E91" s="8" t="s">
        <v>8</v>
      </c>
      <c r="F91" s="8"/>
      <c r="H91" s="8"/>
      <c r="I91" s="8" t="s">
        <v>8309</v>
      </c>
      <c r="J91" s="8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8" t="s">
        <v>2004</v>
      </c>
      <c r="E92" s="8" t="s">
        <v>8</v>
      </c>
      <c r="F92" s="8"/>
      <c r="H92" s="8"/>
      <c r="I92" s="8" t="s">
        <v>8312</v>
      </c>
      <c r="J92" s="8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8" t="s">
        <v>2004</v>
      </c>
      <c r="E93" s="8" t="s">
        <v>8</v>
      </c>
      <c r="F93" s="8"/>
      <c r="H93" s="8"/>
      <c r="I93" s="8" t="s">
        <v>8393</v>
      </c>
      <c r="J93" s="8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8" t="s">
        <v>2004</v>
      </c>
      <c r="E94" s="8" t="s">
        <v>8</v>
      </c>
      <c r="F94" s="8"/>
      <c r="H94" s="8"/>
      <c r="I94" s="8" t="s">
        <v>8396</v>
      </c>
      <c r="J94" s="8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8" t="s">
        <v>2004</v>
      </c>
      <c r="E95" s="8" t="s">
        <v>8</v>
      </c>
      <c r="F95" s="8"/>
      <c r="H95" s="8"/>
      <c r="I95" s="8" t="s">
        <v>8399</v>
      </c>
      <c r="J95" s="8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8" t="s">
        <v>2004</v>
      </c>
      <c r="E96" s="8" t="s">
        <v>8</v>
      </c>
      <c r="F96" s="8"/>
      <c r="H96" s="8"/>
      <c r="I96" s="8" t="s">
        <v>8577</v>
      </c>
      <c r="J96" s="8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8" t="s">
        <v>2004</v>
      </c>
      <c r="E97" s="8" t="s">
        <v>8</v>
      </c>
      <c r="F97" s="8"/>
      <c r="H97" s="8"/>
      <c r="I97" s="8" t="s">
        <v>8580</v>
      </c>
      <c r="J97" s="8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8" t="s">
        <v>2004</v>
      </c>
      <c r="E98" s="8" t="s">
        <v>8</v>
      </c>
      <c r="F98" s="8"/>
      <c r="H98" s="8"/>
      <c r="I98" s="8" t="s">
        <v>8583</v>
      </c>
      <c r="J98" s="8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8" t="s">
        <v>2004</v>
      </c>
      <c r="E99" s="8" t="s">
        <v>8</v>
      </c>
      <c r="F99" s="8"/>
      <c r="H99" s="8"/>
      <c r="I99" s="8" t="s">
        <v>8586</v>
      </c>
      <c r="J99" s="8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8" t="s">
        <v>2004</v>
      </c>
      <c r="E100" s="8" t="s">
        <v>8</v>
      </c>
      <c r="F100" s="8"/>
      <c r="H100" s="8"/>
      <c r="I100" s="8" t="s">
        <v>8589</v>
      </c>
      <c r="J100" s="8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8" t="s">
        <v>2004</v>
      </c>
      <c r="E101" s="8" t="s">
        <v>8</v>
      </c>
      <c r="F101" s="8"/>
      <c r="H101" s="8"/>
      <c r="I101" s="8" t="s">
        <v>8592</v>
      </c>
      <c r="J101" s="8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8" t="s">
        <v>2004</v>
      </c>
      <c r="E102" s="8" t="s">
        <v>8</v>
      </c>
      <c r="F102" s="8"/>
      <c r="H102" s="8"/>
      <c r="I102" s="8" t="s">
        <v>8595</v>
      </c>
      <c r="J102" s="8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8" t="s">
        <v>9191</v>
      </c>
      <c r="E103" s="8" t="s">
        <v>5480</v>
      </c>
      <c r="F103" s="8" t="s">
        <v>9190</v>
      </c>
      <c r="H103" s="8"/>
      <c r="I103" s="8" t="s">
        <v>8994</v>
      </c>
      <c r="J103" s="8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8" t="s">
        <v>2004</v>
      </c>
      <c r="E104" s="8" t="s">
        <v>8</v>
      </c>
      <c r="F104" s="8"/>
      <c r="H104" s="8"/>
      <c r="I104" s="8" t="s">
        <v>8997</v>
      </c>
      <c r="J104" s="8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8" t="s">
        <v>2004</v>
      </c>
      <c r="E105" s="8" t="s">
        <v>8</v>
      </c>
      <c r="F105" s="8"/>
      <c r="H105" s="8"/>
      <c r="I105" s="8" t="s">
        <v>9267</v>
      </c>
      <c r="J105" s="8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8" t="s">
        <v>2004</v>
      </c>
      <c r="E106" s="8" t="s">
        <v>8</v>
      </c>
      <c r="F106" s="8"/>
      <c r="H106" s="8"/>
      <c r="I106" s="8" t="s">
        <v>9387</v>
      </c>
      <c r="J106" s="8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8" t="s">
        <v>9399</v>
      </c>
      <c r="E107" s="8" t="s">
        <v>60</v>
      </c>
      <c r="F107" s="8"/>
      <c r="H107" s="8"/>
      <c r="I107" s="8" t="s">
        <v>9390</v>
      </c>
      <c r="J107" s="8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8" t="s">
        <v>1094</v>
      </c>
      <c r="E108" s="8" t="s">
        <v>4247</v>
      </c>
      <c r="F108" s="8" t="s">
        <v>60</v>
      </c>
      <c r="H108" s="8"/>
      <c r="I108" s="8" t="s">
        <v>9393</v>
      </c>
      <c r="J108" s="8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8" t="s">
        <v>4</v>
      </c>
      <c r="E109" s="8" t="s">
        <v>8</v>
      </c>
      <c r="F109" s="8"/>
      <c r="H109" s="8"/>
      <c r="I109" s="8" t="s">
        <v>9396</v>
      </c>
      <c r="J109" s="8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8" t="s">
        <v>2004</v>
      </c>
      <c r="E110" s="8" t="s">
        <v>8</v>
      </c>
      <c r="F110" s="8"/>
      <c r="H110" s="8"/>
      <c r="I110" s="8" t="s">
        <v>9612</v>
      </c>
      <c r="J110" s="8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8" t="s">
        <v>2004</v>
      </c>
      <c r="E111" s="8" t="s">
        <v>8</v>
      </c>
      <c r="F111" s="8"/>
      <c r="H111" s="8"/>
      <c r="I111" s="8" t="s">
        <v>9615</v>
      </c>
      <c r="J111" s="8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s="8" t="s">
        <v>2004</v>
      </c>
      <c r="E112" s="8" t="s">
        <v>8</v>
      </c>
      <c r="F112" s="8"/>
      <c r="H112" s="8"/>
      <c r="I112" s="8" t="s">
        <v>9735</v>
      </c>
      <c r="J112" s="8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s="8" t="s">
        <v>2004</v>
      </c>
      <c r="E113" s="8" t="s">
        <v>8</v>
      </c>
      <c r="F113" s="8"/>
      <c r="H113" s="8"/>
      <c r="I113" s="8" t="s">
        <v>9738</v>
      </c>
      <c r="J113" s="8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s="8" t="s">
        <v>2004</v>
      </c>
      <c r="E114" s="8" t="s">
        <v>8</v>
      </c>
      <c r="F114" s="8"/>
      <c r="H114" s="8"/>
      <c r="I114" s="8" t="s">
        <v>9969</v>
      </c>
      <c r="J114" s="8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s="8" t="s">
        <v>4</v>
      </c>
      <c r="E115" s="8" t="s">
        <v>8</v>
      </c>
      <c r="F115" s="8"/>
      <c r="H115" s="8"/>
      <c r="I115" s="8" t="s">
        <v>9972</v>
      </c>
      <c r="J115" s="8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s="8" t="s">
        <v>4</v>
      </c>
      <c r="E116" s="8" t="s">
        <v>8</v>
      </c>
      <c r="F116" s="8"/>
      <c r="H116" s="8" t="s">
        <v>2936</v>
      </c>
      <c r="I116" s="8" t="s">
        <v>9975</v>
      </c>
      <c r="J116" s="8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</sheetData>
  <conditionalFormatting sqref="D117:D127 E117:E130 G2:H116 D2:E116">
    <cfRule type="containsText" dxfId="570" priority="14" operator="containsText" text="Выезд с территории">
      <formula>NOT(ISERROR(SEARCH("Выезд с территории",D2)))</formula>
    </cfRule>
  </conditionalFormatting>
  <conditionalFormatting sqref="F2:F116">
    <cfRule type="notContainsText" dxfId="569" priority="13" operator="notContains" text="порожний">
      <formula>ISERROR(SEARCH("порожний",F2))</formula>
    </cfRule>
  </conditionalFormatting>
  <conditionalFormatting sqref="E2:E130">
    <cfRule type="containsText" dxfId="568" priority="11" operator="containsText" text="Газель базы">
      <formula>NOT(ISERROR(SEARCH("Газель базы",E2)))</formula>
    </cfRule>
    <cfRule type="containsText" dxfId="567" priority="12" operator="containsText" text="Погрузчик базы">
      <formula>NOT(ISERROR(SEARCH("Погрузчик базы",E2)))</formula>
    </cfRule>
  </conditionalFormatting>
  <conditionalFormatting sqref="E2:E130">
    <cfRule type="containsText" dxfId="566" priority="10" operator="containsText" text="Трактор базы">
      <formula>NOT(ISERROR(SEARCH("Трактор базы",E2)))</formula>
    </cfRule>
  </conditionalFormatting>
  <conditionalFormatting sqref="A2:C116">
    <cfRule type="expression" dxfId="565" priority="9">
      <formula>$A2="пн"</formula>
    </cfRule>
  </conditionalFormatting>
  <conditionalFormatting sqref="A2:C118">
    <cfRule type="expression" dxfId="564" priority="3">
      <formula>$A2="вс"</formula>
    </cfRule>
    <cfRule type="expression" dxfId="563" priority="4">
      <formula>$A2="сб"</formula>
    </cfRule>
    <cfRule type="expression" dxfId="562" priority="5">
      <formula>$A2="пт"</formula>
    </cfRule>
    <cfRule type="expression" dxfId="561" priority="6">
      <formula>$A2="чт"</formula>
    </cfRule>
    <cfRule type="expression" dxfId="560" priority="7">
      <formula>$A2="ср"</formula>
    </cfRule>
    <cfRule type="expression" dxfId="559" priority="8">
      <formula>$A2="вт"</formula>
    </cfRule>
  </conditionalFormatting>
  <conditionalFormatting sqref="D2:D127">
    <cfRule type="containsText" dxfId="55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7">
    <cfRule type="containsText" dxfId="55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50"/>
  <sheetViews>
    <sheetView zoomScale="90" zoomScaleNormal="90" workbookViewId="0">
      <pane ySplit="1" topLeftCell="A236" activePane="bottomLeft" state="frozen"/>
      <selection pane="bottomLeft" activeCell="I246" sqref="I246:I25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8" t="s">
        <v>2004</v>
      </c>
      <c r="E207" s="8" t="s">
        <v>8</v>
      </c>
      <c r="F207" s="8"/>
      <c r="H207" s="8"/>
      <c r="I207" s="8" t="s">
        <v>7700</v>
      </c>
      <c r="J207" s="8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8" t="s">
        <v>2004</v>
      </c>
      <c r="E208" s="8" t="s">
        <v>8</v>
      </c>
      <c r="F208" s="8"/>
      <c r="H208" s="8"/>
      <c r="I208" s="8" t="s">
        <v>7703</v>
      </c>
      <c r="J208" s="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8" t="s">
        <v>2004</v>
      </c>
      <c r="E209" s="8" t="s">
        <v>8</v>
      </c>
      <c r="F209" s="8"/>
      <c r="H209" s="8"/>
      <c r="I209" s="8" t="s">
        <v>7867</v>
      </c>
      <c r="J209" s="8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8" t="s">
        <v>2004</v>
      </c>
      <c r="E210" s="8" t="s">
        <v>8</v>
      </c>
      <c r="F210" s="8"/>
      <c r="H210" s="8"/>
      <c r="I210" s="8" t="s">
        <v>8046</v>
      </c>
      <c r="J210" s="8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8" t="s">
        <v>2004</v>
      </c>
      <c r="E211" s="8" t="s">
        <v>8</v>
      </c>
      <c r="F211" s="8"/>
      <c r="H211" s="8"/>
      <c r="I211" s="8" t="s">
        <v>8049</v>
      </c>
      <c r="J211" s="8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8" t="s">
        <v>2004</v>
      </c>
      <c r="E212" s="8" t="s">
        <v>8</v>
      </c>
      <c r="F212" s="8"/>
      <c r="H212" s="8"/>
      <c r="I212" s="8" t="s">
        <v>8336</v>
      </c>
      <c r="J212" s="8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8" t="s">
        <v>2004</v>
      </c>
      <c r="E213" s="8" t="s">
        <v>8</v>
      </c>
      <c r="F213" s="8"/>
      <c r="H213" s="8"/>
      <c r="I213" s="8" t="s">
        <v>8339</v>
      </c>
      <c r="J213" s="8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8" t="s">
        <v>2004</v>
      </c>
      <c r="E214" s="8" t="s">
        <v>8</v>
      </c>
      <c r="F214" s="8"/>
      <c r="H214" s="8"/>
      <c r="I214" s="8" t="s">
        <v>8342</v>
      </c>
      <c r="J214" s="8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8" t="s">
        <v>2004</v>
      </c>
      <c r="E215" s="8" t="s">
        <v>8</v>
      </c>
      <c r="F215" s="8"/>
      <c r="H215" s="8"/>
      <c r="I215" s="8" t="s">
        <v>8346</v>
      </c>
      <c r="J215" s="8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8" t="s">
        <v>2004</v>
      </c>
      <c r="E216" s="8" t="s">
        <v>8</v>
      </c>
      <c r="F216" s="8"/>
      <c r="H216" s="8"/>
      <c r="I216" s="8" t="s">
        <v>8348</v>
      </c>
      <c r="J216" s="8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8" t="s">
        <v>2004</v>
      </c>
      <c r="E217" s="8" t="s">
        <v>8</v>
      </c>
      <c r="F217" s="8"/>
      <c r="H217" s="8"/>
      <c r="I217" s="8" t="s">
        <v>8474</v>
      </c>
      <c r="J217" s="8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8" t="s">
        <v>2004</v>
      </c>
      <c r="E218" s="8" t="s">
        <v>8</v>
      </c>
      <c r="F218" s="8"/>
      <c r="H218" s="8"/>
      <c r="I218" s="8" t="s">
        <v>8477</v>
      </c>
      <c r="J218" s="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8" t="s">
        <v>2004</v>
      </c>
      <c r="E219" s="8" t="s">
        <v>8</v>
      </c>
      <c r="F219" s="8"/>
      <c r="H219" s="8"/>
      <c r="I219" s="8" t="s">
        <v>8480</v>
      </c>
      <c r="J219" s="8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8" t="s">
        <v>2004</v>
      </c>
      <c r="E220" s="8" t="s">
        <v>8</v>
      </c>
      <c r="F220" s="8"/>
      <c r="H220" s="8"/>
      <c r="I220" s="8" t="s">
        <v>8679</v>
      </c>
      <c r="J220" s="8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8" t="s">
        <v>2004</v>
      </c>
      <c r="E221" s="8" t="s">
        <v>8</v>
      </c>
      <c r="F221" s="8"/>
      <c r="H221" s="8"/>
      <c r="I221" s="8" t="s">
        <v>8806</v>
      </c>
      <c r="J221" s="8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8" t="s">
        <v>2004</v>
      </c>
      <c r="E222" s="8" t="s">
        <v>8</v>
      </c>
      <c r="F222" s="8"/>
      <c r="H222" s="8"/>
      <c r="I222" s="8" t="s">
        <v>8809</v>
      </c>
      <c r="J222" s="8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8" t="s">
        <v>2004</v>
      </c>
      <c r="E223" s="8" t="s">
        <v>8</v>
      </c>
      <c r="F223" s="8"/>
      <c r="H223" s="8"/>
      <c r="I223" s="8" t="s">
        <v>8812</v>
      </c>
      <c r="J223" s="8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8" t="s">
        <v>2004</v>
      </c>
      <c r="E224" s="8" t="s">
        <v>8</v>
      </c>
      <c r="F224" s="8"/>
      <c r="H224" s="8"/>
      <c r="I224" s="8" t="s">
        <v>8815</v>
      </c>
      <c r="J224" s="8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8" t="s">
        <v>2004</v>
      </c>
      <c r="E225" s="8" t="s">
        <v>8</v>
      </c>
      <c r="F225" s="8"/>
      <c r="H225" s="8"/>
      <c r="I225" s="8" t="s">
        <v>8818</v>
      </c>
      <c r="J225" s="8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8" t="s">
        <v>2004</v>
      </c>
      <c r="E226" s="8" t="s">
        <v>8</v>
      </c>
      <c r="F226" s="8"/>
      <c r="H226" s="8"/>
      <c r="I226" s="8" t="s">
        <v>8821</v>
      </c>
      <c r="J226" s="8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8" t="s">
        <v>2004</v>
      </c>
      <c r="E227" s="8" t="s">
        <v>8</v>
      </c>
      <c r="F227" s="8"/>
      <c r="H227" s="8"/>
      <c r="I227" s="8" t="s">
        <v>9192</v>
      </c>
      <c r="J227" s="8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8" t="s">
        <v>2004</v>
      </c>
      <c r="E228" s="8" t="s">
        <v>8</v>
      </c>
      <c r="F228" s="8"/>
      <c r="H228" s="8"/>
      <c r="I228" s="8" t="s">
        <v>9195</v>
      </c>
      <c r="J228" s="8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8" t="s">
        <v>2004</v>
      </c>
      <c r="E229" s="8" t="s">
        <v>8</v>
      </c>
      <c r="F229" s="8"/>
      <c r="H229" s="8"/>
      <c r="I229" s="8" t="s">
        <v>9400</v>
      </c>
      <c r="J229" s="8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8" t="s">
        <v>2004</v>
      </c>
      <c r="E230" s="8" t="s">
        <v>8</v>
      </c>
      <c r="F230" s="8"/>
      <c r="H230" s="8"/>
      <c r="I230" s="8" t="s">
        <v>9403</v>
      </c>
      <c r="J230" s="8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8" t="s">
        <v>2004</v>
      </c>
      <c r="E231" s="8" t="s">
        <v>8</v>
      </c>
      <c r="F231" s="8"/>
      <c r="H231" s="8"/>
      <c r="I231" s="8" t="s">
        <v>9406</v>
      </c>
      <c r="J231" s="8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8" t="s">
        <v>2004</v>
      </c>
      <c r="E232" s="8" t="s">
        <v>8</v>
      </c>
      <c r="F232" s="8"/>
      <c r="H232" s="8"/>
      <c r="I232" s="8" t="s">
        <v>9686</v>
      </c>
      <c r="J232" s="8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8" t="s">
        <v>2004</v>
      </c>
      <c r="E233" s="8" t="s">
        <v>8</v>
      </c>
      <c r="F233" s="8"/>
      <c r="H233" s="8"/>
      <c r="I233" s="8" t="s">
        <v>9688</v>
      </c>
      <c r="J233" s="8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s="8" t="s">
        <v>4</v>
      </c>
      <c r="E234" s="8" t="s">
        <v>9913</v>
      </c>
      <c r="F234" s="8"/>
      <c r="H234" s="8"/>
      <c r="I234" s="8" t="s">
        <v>9877</v>
      </c>
      <c r="J234" s="8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s="8" t="s">
        <v>4</v>
      </c>
      <c r="E235" s="8" t="s">
        <v>9913</v>
      </c>
      <c r="F235" s="8"/>
      <c r="H235" s="8" t="s">
        <v>2936</v>
      </c>
      <c r="I235" s="8" t="s">
        <v>9880</v>
      </c>
      <c r="J235" s="8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s="8" t="s">
        <v>4</v>
      </c>
      <c r="E236" s="8" t="s">
        <v>9913</v>
      </c>
      <c r="F236" s="8"/>
      <c r="H236" s="8" t="s">
        <v>2936</v>
      </c>
      <c r="I236" s="8" t="s">
        <v>9883</v>
      </c>
      <c r="J236" s="8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s="8" t="s">
        <v>4</v>
      </c>
      <c r="E237" s="8" t="s">
        <v>9913</v>
      </c>
      <c r="F237" s="8"/>
      <c r="H237" s="8" t="s">
        <v>2936</v>
      </c>
      <c r="I237" s="8" t="s">
        <v>9886</v>
      </c>
      <c r="J237" s="8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s="8" t="s">
        <v>4</v>
      </c>
      <c r="E238" s="8" t="s">
        <v>9913</v>
      </c>
      <c r="F238" s="8"/>
      <c r="H238" s="8" t="s">
        <v>2936</v>
      </c>
      <c r="I238" s="8" t="s">
        <v>9889</v>
      </c>
      <c r="J238" s="8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s="8" t="s">
        <v>4</v>
      </c>
      <c r="E239" s="8" t="s">
        <v>9913</v>
      </c>
      <c r="F239" s="8"/>
      <c r="H239" s="8" t="s">
        <v>2936</v>
      </c>
      <c r="I239" s="8" t="s">
        <v>9892</v>
      </c>
      <c r="J239" s="8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s="8" t="s">
        <v>4</v>
      </c>
      <c r="E240" s="8" t="s">
        <v>9913</v>
      </c>
      <c r="F240" s="8"/>
      <c r="H240" s="8" t="s">
        <v>2936</v>
      </c>
      <c r="I240" s="8" t="s">
        <v>9895</v>
      </c>
      <c r="J240" s="8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s="8" t="s">
        <v>4</v>
      </c>
      <c r="E241" s="8" t="s">
        <v>9913</v>
      </c>
      <c r="F241" s="8"/>
      <c r="H241" s="8" t="s">
        <v>2936</v>
      </c>
      <c r="I241" s="8" t="s">
        <v>9898</v>
      </c>
      <c r="J241" s="8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s="8" t="s">
        <v>4</v>
      </c>
      <c r="E242" s="8" t="s">
        <v>9913</v>
      </c>
      <c r="F242" s="8"/>
      <c r="H242" s="8" t="s">
        <v>2936</v>
      </c>
      <c r="I242" s="8" t="s">
        <v>9901</v>
      </c>
      <c r="J242" s="8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s="8" t="s">
        <v>4</v>
      </c>
      <c r="E243" s="8" t="s">
        <v>9913</v>
      </c>
      <c r="F243" s="8"/>
      <c r="H243" s="8" t="s">
        <v>2936</v>
      </c>
      <c r="I243" s="8" t="s">
        <v>9904</v>
      </c>
      <c r="J243" s="8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s="8" t="s">
        <v>4</v>
      </c>
      <c r="E244" s="8" t="s">
        <v>9913</v>
      </c>
      <c r="F244" s="8"/>
      <c r="H244" s="8" t="s">
        <v>2936</v>
      </c>
      <c r="I244" s="8" t="s">
        <v>9907</v>
      </c>
      <c r="J244" s="8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s="8" t="s">
        <v>4</v>
      </c>
      <c r="E245" s="8" t="s">
        <v>9913</v>
      </c>
      <c r="F245" s="8"/>
      <c r="H245" s="8" t="s">
        <v>2936</v>
      </c>
      <c r="I245" s="8" t="s">
        <v>9910</v>
      </c>
      <c r="J245" s="8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s="8" t="s">
        <v>4</v>
      </c>
      <c r="E246" s="8" t="s">
        <v>9913</v>
      </c>
      <c r="F246" s="8"/>
      <c r="H246" s="8" t="s">
        <v>2936</v>
      </c>
      <c r="I246" s="8" t="s">
        <v>10125</v>
      </c>
      <c r="J246" s="8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s="8" t="s">
        <v>4</v>
      </c>
      <c r="E247" s="8" t="s">
        <v>9913</v>
      </c>
      <c r="F247" s="8"/>
      <c r="H247" s="8" t="s">
        <v>2936</v>
      </c>
      <c r="I247" s="8" t="s">
        <v>10128</v>
      </c>
      <c r="J247" s="8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s="8" t="s">
        <v>4</v>
      </c>
      <c r="E248" s="8" t="s">
        <v>9913</v>
      </c>
      <c r="F248" s="8"/>
      <c r="H248" s="8" t="s">
        <v>2936</v>
      </c>
      <c r="I248" s="8" t="s">
        <v>10131</v>
      </c>
      <c r="J248" s="8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s="8" t="s">
        <v>4</v>
      </c>
      <c r="E249" s="8" t="s">
        <v>9913</v>
      </c>
      <c r="F249" s="8"/>
      <c r="H249" s="8" t="s">
        <v>2936</v>
      </c>
      <c r="I249" s="8" t="s">
        <v>10134</v>
      </c>
      <c r="J249" s="8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s="8" t="s">
        <v>2004</v>
      </c>
      <c r="E250" s="8" t="s">
        <v>8</v>
      </c>
      <c r="F250" s="8"/>
      <c r="H250" s="8"/>
      <c r="I250" s="8" t="s">
        <v>10137</v>
      </c>
      <c r="J250" s="8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</sheetData>
  <conditionalFormatting sqref="E251:E264 D1:D197 D251:D1048576 G2:H250 D2:E250">
    <cfRule type="containsText" dxfId="556" priority="18" operator="containsText" text="Выезд с территории">
      <formula>NOT(ISERROR(SEARCH("Выезд с территории",D1)))</formula>
    </cfRule>
  </conditionalFormatting>
  <conditionalFormatting sqref="F2:F250">
    <cfRule type="notContainsText" dxfId="555" priority="17" operator="notContains" text="порожний">
      <formula>ISERROR(SEARCH("порожний",F2))</formula>
    </cfRule>
  </conditionalFormatting>
  <conditionalFormatting sqref="E2:E264">
    <cfRule type="containsText" dxfId="554" priority="15" operator="containsText" text="Газель базы">
      <formula>NOT(ISERROR(SEARCH("Газель базы",E2)))</formula>
    </cfRule>
    <cfRule type="containsText" dxfId="553" priority="16" operator="containsText" text="Погрузчик базы">
      <formula>NOT(ISERROR(SEARCH("Погрузчик базы",E2)))</formula>
    </cfRule>
  </conditionalFormatting>
  <conditionalFormatting sqref="E2:E264">
    <cfRule type="containsText" dxfId="552" priority="14" operator="containsText" text="Трактор базы">
      <formula>NOT(ISERROR(SEARCH("Трактор базы",E2)))</formula>
    </cfRule>
  </conditionalFormatting>
  <conditionalFormatting sqref="A2:C250">
    <cfRule type="expression" dxfId="551" priority="13">
      <formula>$A2="пн"</formula>
    </cfRule>
  </conditionalFormatting>
  <conditionalFormatting sqref="A2:C252">
    <cfRule type="expression" dxfId="550" priority="7">
      <formula>$A2="вс"</formula>
    </cfRule>
    <cfRule type="expression" dxfId="549" priority="8">
      <formula>$A2="сб"</formula>
    </cfRule>
    <cfRule type="expression" dxfId="548" priority="9">
      <formula>$A2="пт"</formula>
    </cfRule>
    <cfRule type="expression" dxfId="547" priority="10">
      <formula>$A2="чт"</formula>
    </cfRule>
    <cfRule type="expression" dxfId="546" priority="11">
      <formula>$A2="ср"</formula>
    </cfRule>
    <cfRule type="expression" dxfId="545" priority="12">
      <formula>$A2="вт"</formula>
    </cfRule>
  </conditionalFormatting>
  <conditionalFormatting sqref="D1:D1048576">
    <cfRule type="containsText" dxfId="544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543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542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32"/>
  <sheetViews>
    <sheetView zoomScale="90" zoomScaleNormal="90" workbookViewId="0">
      <pane ySplit="1" topLeftCell="A212" activePane="bottomLeft" state="frozen"/>
      <selection pane="bottomLeft" activeCell="I220" sqref="I220:I23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s="8" t="s">
        <v>2004</v>
      </c>
      <c r="E146" s="8" t="s">
        <v>9</v>
      </c>
      <c r="F146" s="8"/>
      <c r="H146" s="8"/>
      <c r="I146" s="8" t="s">
        <v>7445</v>
      </c>
      <c r="J146" s="8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s="8" t="s">
        <v>2004</v>
      </c>
      <c r="E147" s="8" t="s">
        <v>9</v>
      </c>
      <c r="F147" s="8"/>
      <c r="H147" s="8"/>
      <c r="I147" s="8" t="s">
        <v>7448</v>
      </c>
      <c r="J147" s="8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s="8" t="s">
        <v>2004</v>
      </c>
      <c r="E148" s="8" t="s">
        <v>9</v>
      </c>
      <c r="F148" s="8"/>
      <c r="H148" s="8"/>
      <c r="I148" s="8" t="s">
        <v>7864</v>
      </c>
      <c r="J148" s="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s="8" t="s">
        <v>2004</v>
      </c>
      <c r="E149" s="8" t="s">
        <v>9</v>
      </c>
      <c r="F149" s="8"/>
      <c r="H149" s="8"/>
      <c r="I149" s="8" t="s">
        <v>8022</v>
      </c>
      <c r="J149" s="8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s="8" t="s">
        <v>2004</v>
      </c>
      <c r="E150" s="8" t="s">
        <v>9</v>
      </c>
      <c r="F150" s="8"/>
      <c r="H150" s="8"/>
      <c r="I150" s="8" t="s">
        <v>8025</v>
      </c>
      <c r="J150" s="8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s="8" t="s">
        <v>7166</v>
      </c>
      <c r="E151" s="8"/>
      <c r="F151" s="8"/>
      <c r="H151" s="8"/>
      <c r="I151" s="8" t="s">
        <v>8144</v>
      </c>
      <c r="J151" s="8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s="8" t="s">
        <v>1091</v>
      </c>
      <c r="E152" s="8" t="s">
        <v>53</v>
      </c>
      <c r="F152" s="8"/>
      <c r="G152">
        <v>5</v>
      </c>
      <c r="H152" s="8"/>
      <c r="I152" s="8" t="s">
        <v>8147</v>
      </c>
      <c r="J152" s="8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s="8" t="s">
        <v>4</v>
      </c>
      <c r="E153" s="8" t="s">
        <v>531</v>
      </c>
      <c r="F153" s="8"/>
      <c r="H153" s="8"/>
      <c r="I153" s="8" t="s">
        <v>8150</v>
      </c>
      <c r="J153" s="8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s="8" t="s">
        <v>2004</v>
      </c>
      <c r="E154" s="8" t="s">
        <v>9</v>
      </c>
      <c r="F154" s="8"/>
      <c r="H154" s="8"/>
      <c r="I154" s="8" t="s">
        <v>8153</v>
      </c>
      <c r="J154" s="8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s="8" t="s">
        <v>2004</v>
      </c>
      <c r="E155" s="8" t="s">
        <v>9</v>
      </c>
      <c r="F155" s="8"/>
      <c r="H155" s="8"/>
      <c r="I155" s="8" t="s">
        <v>8332</v>
      </c>
      <c r="J155" s="8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s="8" t="s">
        <v>2004</v>
      </c>
      <c r="E156" s="8" t="s">
        <v>9</v>
      </c>
      <c r="F156" s="8"/>
      <c r="H156" s="8"/>
      <c r="I156" s="8" t="s">
        <v>8156</v>
      </c>
      <c r="J156" s="8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s="8" t="s">
        <v>2004</v>
      </c>
      <c r="E157" s="8" t="s">
        <v>9</v>
      </c>
      <c r="F157" s="8"/>
      <c r="H157" s="8"/>
      <c r="I157" s="8" t="s">
        <v>8411</v>
      </c>
      <c r="J157" s="8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s="8" t="s">
        <v>2004</v>
      </c>
      <c r="E158" s="8" t="s">
        <v>9</v>
      </c>
      <c r="F158" s="8"/>
      <c r="H158" s="8"/>
      <c r="I158" s="8" t="s">
        <v>8414</v>
      </c>
      <c r="J158" s="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s="8" t="s">
        <v>2004</v>
      </c>
      <c r="E159" s="8" t="s">
        <v>9</v>
      </c>
      <c r="F159" s="8"/>
      <c r="H159" s="8"/>
      <c r="I159" s="8" t="s">
        <v>8417</v>
      </c>
      <c r="J159" s="8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s="8" t="s">
        <v>2004</v>
      </c>
      <c r="E160" s="8" t="s">
        <v>9</v>
      </c>
      <c r="F160" s="8"/>
      <c r="H160" s="8"/>
      <c r="I160" s="8" t="s">
        <v>8598</v>
      </c>
      <c r="J160" s="8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s="8" t="s">
        <v>2004</v>
      </c>
      <c r="E161" s="8" t="s">
        <v>9</v>
      </c>
      <c r="F161" s="8"/>
      <c r="H161" s="8"/>
      <c r="I161" s="8" t="s">
        <v>8601</v>
      </c>
      <c r="J161" s="8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s="8" t="s">
        <v>2004</v>
      </c>
      <c r="E162" s="8" t="s">
        <v>9</v>
      </c>
      <c r="F162" s="8"/>
      <c r="H162" s="8"/>
      <c r="I162" s="8" t="s">
        <v>8604</v>
      </c>
      <c r="J162" s="8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s="8" t="s">
        <v>2004</v>
      </c>
      <c r="E163" s="8" t="s">
        <v>9</v>
      </c>
      <c r="F163" s="8"/>
      <c r="H163" s="8"/>
      <c r="I163" s="8" t="s">
        <v>8607</v>
      </c>
      <c r="J163" s="8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s="8" t="s">
        <v>2004</v>
      </c>
      <c r="E164" s="8" t="s">
        <v>9</v>
      </c>
      <c r="F164" s="8"/>
      <c r="H164" s="8"/>
      <c r="I164" s="8" t="s">
        <v>8610</v>
      </c>
      <c r="J164" s="8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s="8" t="s">
        <v>2004</v>
      </c>
      <c r="E165" s="8" t="s">
        <v>9</v>
      </c>
      <c r="F165" s="8"/>
      <c r="H165" s="8"/>
      <c r="I165" s="8" t="s">
        <v>8613</v>
      </c>
      <c r="J165" s="8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s="8" t="s">
        <v>2004</v>
      </c>
      <c r="E166" s="8" t="s">
        <v>8824</v>
      </c>
      <c r="F166" s="8"/>
      <c r="H166" s="8"/>
      <c r="I166" s="8" t="s">
        <v>8616</v>
      </c>
      <c r="J166" s="8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s="8" t="s">
        <v>2004</v>
      </c>
      <c r="E167" s="8" t="s">
        <v>5477</v>
      </c>
      <c r="F167" s="8"/>
      <c r="H167" s="8"/>
      <c r="I167" s="8" t="s">
        <v>9000</v>
      </c>
      <c r="J167" s="8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s="8" t="s">
        <v>4</v>
      </c>
      <c r="E168" s="8" t="s">
        <v>9</v>
      </c>
      <c r="F168" s="8"/>
      <c r="H168" s="8"/>
      <c r="I168" s="8" t="s">
        <v>9003</v>
      </c>
      <c r="J168" s="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s="8" t="s">
        <v>793</v>
      </c>
      <c r="E169" s="8" t="s">
        <v>1607</v>
      </c>
      <c r="F169" s="8"/>
      <c r="H169" s="8"/>
      <c r="I169" s="8" t="s">
        <v>9006</v>
      </c>
      <c r="J169" s="8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s="8" t="s">
        <v>2024</v>
      </c>
      <c r="E170" s="8" t="s">
        <v>796</v>
      </c>
      <c r="F170" s="8"/>
      <c r="H170" s="8"/>
      <c r="I170" s="8" t="s">
        <v>9009</v>
      </c>
      <c r="J170" s="8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s="8" t="s">
        <v>9198</v>
      </c>
      <c r="E171" s="8" t="s">
        <v>9199</v>
      </c>
      <c r="F171" s="8"/>
      <c r="H171" s="8"/>
      <c r="I171" s="8" t="s">
        <v>9012</v>
      </c>
      <c r="J171" s="8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s="8" t="s">
        <v>2024</v>
      </c>
      <c r="E172" s="8" t="s">
        <v>796</v>
      </c>
      <c r="F172" s="8"/>
      <c r="H172" s="8"/>
      <c r="I172" s="8" t="s">
        <v>9015</v>
      </c>
      <c r="J172" s="8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s="8" t="s">
        <v>2024</v>
      </c>
      <c r="E173" s="8" t="s">
        <v>796</v>
      </c>
      <c r="F173" s="8"/>
      <c r="H173" s="8" t="s">
        <v>2936</v>
      </c>
      <c r="I173" s="8" t="s">
        <v>9018</v>
      </c>
      <c r="J173" s="8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s="8" t="s">
        <v>4</v>
      </c>
      <c r="E174" s="8" t="s">
        <v>9</v>
      </c>
      <c r="F174" s="8"/>
      <c r="H174" s="8"/>
      <c r="I174" s="8" t="s">
        <v>9021</v>
      </c>
      <c r="J174" s="8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s="8" t="s">
        <v>4</v>
      </c>
      <c r="E175" s="8" t="s">
        <v>9</v>
      </c>
      <c r="F175" s="8"/>
      <c r="H175" s="8"/>
      <c r="I175" s="8" t="s">
        <v>9024</v>
      </c>
      <c r="J175" s="8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s="8" t="s">
        <v>4</v>
      </c>
      <c r="E176" s="8" t="s">
        <v>9</v>
      </c>
      <c r="F176" s="8"/>
      <c r="H176" s="8"/>
      <c r="I176" s="8" t="s">
        <v>9270</v>
      </c>
      <c r="J176" s="8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s="8" t="s">
        <v>4</v>
      </c>
      <c r="E177" s="8" t="s">
        <v>9</v>
      </c>
      <c r="F177" s="8"/>
      <c r="H177" s="8" t="s">
        <v>2936</v>
      </c>
      <c r="I177" s="8" t="s">
        <v>9273</v>
      </c>
      <c r="J177" s="8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s="8" t="s">
        <v>9409</v>
      </c>
      <c r="E178" s="8" t="s">
        <v>1607</v>
      </c>
      <c r="F178" s="8"/>
      <c r="H178" s="8"/>
      <c r="I178" s="8" t="s">
        <v>9276</v>
      </c>
      <c r="J178" s="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s="8" t="s">
        <v>9409</v>
      </c>
      <c r="E179" s="8" t="s">
        <v>1607</v>
      </c>
      <c r="F179" s="8"/>
      <c r="H179" s="8" t="s">
        <v>2936</v>
      </c>
      <c r="I179" s="8" t="s">
        <v>9279</v>
      </c>
      <c r="J179" s="8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s="8" t="s">
        <v>9409</v>
      </c>
      <c r="E180" s="8" t="s">
        <v>1607</v>
      </c>
      <c r="F180" s="8"/>
      <c r="H180" s="8" t="s">
        <v>2936</v>
      </c>
      <c r="I180" s="8" t="s">
        <v>9282</v>
      </c>
      <c r="J180" s="8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s="8" t="s">
        <v>2024</v>
      </c>
      <c r="E181" s="8" t="s">
        <v>796</v>
      </c>
      <c r="F181" s="8"/>
      <c r="H181" s="8"/>
      <c r="I181" s="8" t="s">
        <v>9285</v>
      </c>
      <c r="J181" s="8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s="8" t="s">
        <v>4</v>
      </c>
      <c r="E182" s="8" t="s">
        <v>9</v>
      </c>
      <c r="F182" s="8"/>
      <c r="H182" s="8"/>
      <c r="I182" s="8" t="s">
        <v>9410</v>
      </c>
      <c r="J182" s="8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s="8" t="s">
        <v>2024</v>
      </c>
      <c r="E183" s="8" t="s">
        <v>796</v>
      </c>
      <c r="F183" s="8"/>
      <c r="H183" s="8"/>
      <c r="I183" s="8" t="s">
        <v>9413</v>
      </c>
      <c r="J183" s="8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s="8" t="s">
        <v>2024</v>
      </c>
      <c r="E184" s="8" t="s">
        <v>796</v>
      </c>
      <c r="F184" s="8"/>
      <c r="H184" s="8"/>
      <c r="I184" s="8" t="s">
        <v>9416</v>
      </c>
      <c r="J184" s="8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s="8" t="s">
        <v>9409</v>
      </c>
      <c r="E185" s="8" t="s">
        <v>1607</v>
      </c>
      <c r="F185" s="8"/>
      <c r="H185" s="8"/>
      <c r="I185" s="8" t="s">
        <v>9419</v>
      </c>
      <c r="J185" s="8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s="8" t="s">
        <v>2024</v>
      </c>
      <c r="E186" s="8" t="s">
        <v>796</v>
      </c>
      <c r="F186" s="8"/>
      <c r="H186" s="8"/>
      <c r="I186" s="8" t="s">
        <v>9422</v>
      </c>
      <c r="J186" s="8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s="8" t="s">
        <v>2024</v>
      </c>
      <c r="E187" s="8" t="s">
        <v>796</v>
      </c>
      <c r="F187" s="8"/>
      <c r="H187" s="8"/>
      <c r="I187" s="8" t="s">
        <v>9425</v>
      </c>
      <c r="J187" s="8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s="8" t="s">
        <v>9409</v>
      </c>
      <c r="E188" s="8" t="s">
        <v>1607</v>
      </c>
      <c r="F188" s="8"/>
      <c r="H188" s="8"/>
      <c r="I188" s="8" t="s">
        <v>9428</v>
      </c>
      <c r="J188" s="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s="8" t="s">
        <v>2024</v>
      </c>
      <c r="E189" s="8" t="s">
        <v>796</v>
      </c>
      <c r="F189" s="8"/>
      <c r="H189" s="8"/>
      <c r="I189" s="8" t="s">
        <v>9431</v>
      </c>
      <c r="J189" s="8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s="8" t="s">
        <v>2024</v>
      </c>
      <c r="E190" s="8" t="s">
        <v>796</v>
      </c>
      <c r="F190" s="8"/>
      <c r="H190" s="8"/>
      <c r="I190" s="8" t="s">
        <v>9434</v>
      </c>
      <c r="J190" s="8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s="8" t="s">
        <v>9455</v>
      </c>
      <c r="E191" s="8" t="s">
        <v>531</v>
      </c>
      <c r="F191" s="8"/>
      <c r="H191" s="8"/>
      <c r="I191" s="8" t="s">
        <v>9437</v>
      </c>
      <c r="J191" s="8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s="8" t="s">
        <v>9409</v>
      </c>
      <c r="E192" s="8" t="s">
        <v>1607</v>
      </c>
      <c r="F192" s="8"/>
      <c r="H192" s="8"/>
      <c r="I192" s="8" t="s">
        <v>9440</v>
      </c>
      <c r="J192" s="8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s="8" t="s">
        <v>9409</v>
      </c>
      <c r="E193" s="8" t="s">
        <v>1607</v>
      </c>
      <c r="F193" s="8"/>
      <c r="H193" s="8"/>
      <c r="I193" s="8" t="s">
        <v>9443</v>
      </c>
      <c r="J193" s="8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s="8" t="s">
        <v>9409</v>
      </c>
      <c r="E194" s="8" t="s">
        <v>1607</v>
      </c>
      <c r="F194" s="8"/>
      <c r="H194" s="8"/>
      <c r="I194" s="8" t="s">
        <v>9446</v>
      </c>
      <c r="J194" s="8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s="8" t="s">
        <v>2024</v>
      </c>
      <c r="E195" s="8" t="s">
        <v>796</v>
      </c>
      <c r="F195" s="8"/>
      <c r="H195" s="8"/>
      <c r="I195" s="8" t="s">
        <v>9449</v>
      </c>
      <c r="J195" s="8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s="8" t="s">
        <v>9409</v>
      </c>
      <c r="E196" s="8" t="s">
        <v>1607</v>
      </c>
      <c r="F196" s="8"/>
      <c r="H196" s="8"/>
      <c r="I196" s="8" t="s">
        <v>9452</v>
      </c>
      <c r="J196" s="8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s="8" t="s">
        <v>9409</v>
      </c>
      <c r="E197" s="8" t="s">
        <v>1607</v>
      </c>
      <c r="F197" s="8"/>
      <c r="H197" s="8"/>
      <c r="I197" s="8" t="s">
        <v>9618</v>
      </c>
      <c r="J197" s="8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s="8" t="s">
        <v>4</v>
      </c>
      <c r="E198" s="8" t="s">
        <v>9</v>
      </c>
      <c r="F198" s="8"/>
      <c r="H198" s="8"/>
      <c r="I198" s="8" t="s">
        <v>9621</v>
      </c>
      <c r="J198" s="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s="8" t="s">
        <v>9409</v>
      </c>
      <c r="E199" s="8" t="s">
        <v>1607</v>
      </c>
      <c r="F199" s="8"/>
      <c r="H199" s="8"/>
      <c r="I199" s="8" t="s">
        <v>9624</v>
      </c>
      <c r="J199" s="8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s="8" t="s">
        <v>2024</v>
      </c>
      <c r="E200" s="8" t="s">
        <v>796</v>
      </c>
      <c r="F200" s="8"/>
      <c r="H200" s="8"/>
      <c r="I200" s="8" t="s">
        <v>9627</v>
      </c>
      <c r="J200" s="8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s="8" t="s">
        <v>4</v>
      </c>
      <c r="E201" s="8" t="s">
        <v>9</v>
      </c>
      <c r="F201" s="8"/>
      <c r="H201" s="8"/>
      <c r="I201" s="8" t="s">
        <v>9630</v>
      </c>
      <c r="J201" s="8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s="8" t="s">
        <v>9409</v>
      </c>
      <c r="E202" s="8" t="s">
        <v>1607</v>
      </c>
      <c r="F202" s="8"/>
      <c r="H202" s="8"/>
      <c r="I202" s="8" t="s">
        <v>9741</v>
      </c>
      <c r="J202" s="8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s="8" t="s">
        <v>9409</v>
      </c>
      <c r="E203" s="8" t="s">
        <v>1607</v>
      </c>
      <c r="F203" s="8"/>
      <c r="H203" s="8"/>
      <c r="I203" s="8" t="s">
        <v>9744</v>
      </c>
      <c r="J203" s="8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s="8" t="s">
        <v>9409</v>
      </c>
      <c r="E204" s="8" t="s">
        <v>1607</v>
      </c>
      <c r="F204" s="8"/>
      <c r="H204" s="8"/>
      <c r="I204" s="8" t="s">
        <v>9747</v>
      </c>
      <c r="J204" s="8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s="8" t="s">
        <v>2024</v>
      </c>
      <c r="E205" s="8" t="s">
        <v>796</v>
      </c>
      <c r="F205" s="8"/>
      <c r="H205" s="8"/>
      <c r="I205" s="8" t="s">
        <v>9750</v>
      </c>
      <c r="J205" s="8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s="8" t="s">
        <v>2024</v>
      </c>
      <c r="E206" s="8" t="s">
        <v>796</v>
      </c>
      <c r="F206" s="8"/>
      <c r="H206" s="8"/>
      <c r="I206" s="8" t="s">
        <v>9753</v>
      </c>
      <c r="J206" s="8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s="8" t="s">
        <v>2024</v>
      </c>
      <c r="E207" s="8" t="s">
        <v>796</v>
      </c>
      <c r="F207" s="8"/>
      <c r="H207" s="8"/>
      <c r="I207" s="8" t="s">
        <v>9756</v>
      </c>
      <c r="J207" s="8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s="8" t="s">
        <v>9409</v>
      </c>
      <c r="E208" s="8" t="s">
        <v>1607</v>
      </c>
      <c r="F208" s="8"/>
      <c r="H208" s="8"/>
      <c r="I208" s="8" t="s">
        <v>9759</v>
      </c>
      <c r="J208" s="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s="8" t="s">
        <v>4</v>
      </c>
      <c r="E209" s="8" t="s">
        <v>9</v>
      </c>
      <c r="F209" s="8"/>
      <c r="H209" s="8"/>
      <c r="I209" s="8" t="s">
        <v>9762</v>
      </c>
      <c r="J209" s="8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s="8" t="s">
        <v>9409</v>
      </c>
      <c r="E210" s="8" t="s">
        <v>1607</v>
      </c>
      <c r="F210" s="8"/>
      <c r="H210" s="8"/>
      <c r="I210" s="8" t="s">
        <v>9765</v>
      </c>
      <c r="J210" s="8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s="8" t="s">
        <v>2024</v>
      </c>
      <c r="E211" s="8" t="s">
        <v>796</v>
      </c>
      <c r="F211" s="8"/>
      <c r="H211" s="8"/>
      <c r="I211" s="8" t="s">
        <v>9768</v>
      </c>
      <c r="J211" s="8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s="8" t="s">
        <v>9409</v>
      </c>
      <c r="E212" s="8" t="s">
        <v>1607</v>
      </c>
      <c r="F212" s="8"/>
      <c r="H212" s="8"/>
      <c r="I212" s="8" t="s">
        <v>9771</v>
      </c>
      <c r="J212" s="8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s="8" t="s">
        <v>9409</v>
      </c>
      <c r="E213" s="8" t="s">
        <v>1607</v>
      </c>
      <c r="F213" s="8"/>
      <c r="H213" s="8"/>
      <c r="I213" s="8" t="s">
        <v>9774</v>
      </c>
      <c r="J213" s="8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s="8" t="s">
        <v>9409</v>
      </c>
      <c r="E214" s="8" t="s">
        <v>1607</v>
      </c>
      <c r="F214" s="8"/>
      <c r="H214" s="8"/>
      <c r="I214" s="8" t="s">
        <v>9777</v>
      </c>
      <c r="J214" s="8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s="8" t="s">
        <v>9455</v>
      </c>
      <c r="E215" s="8" t="s">
        <v>531</v>
      </c>
      <c r="F215" s="8"/>
      <c r="H215" s="8"/>
      <c r="I215" s="8" t="s">
        <v>9780</v>
      </c>
      <c r="J215" s="8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s="8" t="s">
        <v>9409</v>
      </c>
      <c r="E216" s="8" t="s">
        <v>1607</v>
      </c>
      <c r="F216" s="8"/>
      <c r="H216" s="8"/>
      <c r="I216" s="8" t="s">
        <v>9783</v>
      </c>
      <c r="J216" s="8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s="8" t="s">
        <v>9409</v>
      </c>
      <c r="E217" s="8" t="s">
        <v>1607</v>
      </c>
      <c r="F217" s="8"/>
      <c r="H217" s="8"/>
      <c r="I217" s="8" t="s">
        <v>9786</v>
      </c>
      <c r="J217" s="8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s="8" t="s">
        <v>2024</v>
      </c>
      <c r="E218" s="8" t="s">
        <v>796</v>
      </c>
      <c r="F218" s="8"/>
      <c r="H218" s="8"/>
      <c r="I218" s="8" t="s">
        <v>9789</v>
      </c>
      <c r="J218" s="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s="8" t="s">
        <v>2024</v>
      </c>
      <c r="E219" s="8" t="s">
        <v>796</v>
      </c>
      <c r="F219" s="8"/>
      <c r="H219" s="8"/>
      <c r="I219" s="8" t="s">
        <v>9792</v>
      </c>
      <c r="J219" s="8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s="8" t="s">
        <v>2024</v>
      </c>
      <c r="E220" s="8" t="s">
        <v>796</v>
      </c>
      <c r="F220" s="8"/>
      <c r="H220" s="8"/>
      <c r="I220" s="8" t="s">
        <v>9978</v>
      </c>
      <c r="J220" s="8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s="8" t="s">
        <v>2024</v>
      </c>
      <c r="E221" s="8" t="s">
        <v>796</v>
      </c>
      <c r="F221" s="8"/>
      <c r="H221" s="8"/>
      <c r="I221" s="8" t="s">
        <v>9981</v>
      </c>
      <c r="J221" s="8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s="8" t="s">
        <v>2024</v>
      </c>
      <c r="E222" s="8" t="s">
        <v>796</v>
      </c>
      <c r="F222" s="8"/>
      <c r="H222" s="8"/>
      <c r="I222" s="8" t="s">
        <v>9984</v>
      </c>
      <c r="J222" s="8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s="8" t="s">
        <v>9409</v>
      </c>
      <c r="E223" s="8" t="s">
        <v>1607</v>
      </c>
      <c r="F223" s="8"/>
      <c r="H223" s="8"/>
      <c r="I223" s="8" t="s">
        <v>9987</v>
      </c>
      <c r="J223" s="8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s="8" t="s">
        <v>9409</v>
      </c>
      <c r="E224" s="8" t="s">
        <v>1607</v>
      </c>
      <c r="F224" s="8"/>
      <c r="H224" s="8"/>
      <c r="I224" s="8" t="s">
        <v>9990</v>
      </c>
      <c r="J224" s="8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s="8" t="s">
        <v>9409</v>
      </c>
      <c r="E225" s="8" t="s">
        <v>1607</v>
      </c>
      <c r="F225" s="8"/>
      <c r="H225" s="8"/>
      <c r="I225" s="8" t="s">
        <v>9993</v>
      </c>
      <c r="J225" s="8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s="8" t="s">
        <v>9409</v>
      </c>
      <c r="E226" s="8" t="s">
        <v>1607</v>
      </c>
      <c r="F226" s="8"/>
      <c r="H226" s="8"/>
      <c r="I226" s="8" t="s">
        <v>9996</v>
      </c>
      <c r="J226" s="8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s="8" t="s">
        <v>9409</v>
      </c>
      <c r="E227" s="8" t="s">
        <v>1607</v>
      </c>
      <c r="F227" s="8"/>
      <c r="H227" s="8"/>
      <c r="I227" s="8" t="s">
        <v>9999</v>
      </c>
      <c r="J227" s="8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s="8" t="s">
        <v>9409</v>
      </c>
      <c r="E228" s="8" t="s">
        <v>1607</v>
      </c>
      <c r="F228" s="8"/>
      <c r="H228" s="8"/>
      <c r="I228" s="8" t="s">
        <v>10002</v>
      </c>
      <c r="J228" s="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s="8" t="s">
        <v>2024</v>
      </c>
      <c r="E229" s="8" t="s">
        <v>796</v>
      </c>
      <c r="F229" s="8"/>
      <c r="H229" s="8"/>
      <c r="I229" s="8" t="s">
        <v>10005</v>
      </c>
      <c r="J229" s="8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s="8" t="s">
        <v>9455</v>
      </c>
      <c r="E230" s="8" t="s">
        <v>531</v>
      </c>
      <c r="F230" s="8"/>
      <c r="H230" s="8"/>
      <c r="I230" s="8" t="s">
        <v>10008</v>
      </c>
      <c r="J230" s="8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s="8" t="s">
        <v>4</v>
      </c>
      <c r="E231" s="8" t="s">
        <v>9</v>
      </c>
      <c r="F231" s="8"/>
      <c r="H231" s="8"/>
      <c r="I231" s="8" t="s">
        <v>10011</v>
      </c>
      <c r="J231" s="8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s="8" t="s">
        <v>2024</v>
      </c>
      <c r="E232" s="8" t="s">
        <v>796</v>
      </c>
      <c r="F232" s="8"/>
      <c r="H232" s="8"/>
      <c r="I232" s="8" t="s">
        <v>10014</v>
      </c>
      <c r="J232" s="8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</sheetData>
  <conditionalFormatting sqref="D233:D243 E233:E246 G2:H232 D2:E232">
    <cfRule type="containsText" dxfId="541" priority="14" operator="containsText" text="Выезд с территории">
      <formula>NOT(ISERROR(SEARCH("Выезд с территории",D2)))</formula>
    </cfRule>
  </conditionalFormatting>
  <conditionalFormatting sqref="F2:F232">
    <cfRule type="notContainsText" dxfId="540" priority="13" operator="notContains" text="порожний">
      <formula>ISERROR(SEARCH("порожний",F2))</formula>
    </cfRule>
  </conditionalFormatting>
  <conditionalFormatting sqref="E2:E246">
    <cfRule type="containsText" dxfId="539" priority="11" operator="containsText" text="Газель базы">
      <formula>NOT(ISERROR(SEARCH("Газель базы",E2)))</formula>
    </cfRule>
    <cfRule type="containsText" dxfId="538" priority="12" operator="containsText" text="Погрузчик базы">
      <formula>NOT(ISERROR(SEARCH("Погрузчик базы",E2)))</formula>
    </cfRule>
  </conditionalFormatting>
  <conditionalFormatting sqref="E2:E246">
    <cfRule type="containsText" dxfId="537" priority="10" operator="containsText" text="Трактор базы">
      <formula>NOT(ISERROR(SEARCH("Трактор базы",E2)))</formula>
    </cfRule>
  </conditionalFormatting>
  <conditionalFormatting sqref="A2:C232">
    <cfRule type="expression" dxfId="536" priority="9">
      <formula>$A2="пн"</formula>
    </cfRule>
  </conditionalFormatting>
  <conditionalFormatting sqref="A2:C234">
    <cfRule type="expression" dxfId="535" priority="3">
      <formula>$A2="вс"</formula>
    </cfRule>
    <cfRule type="expression" dxfId="534" priority="4">
      <formula>$A2="сб"</formula>
    </cfRule>
    <cfRule type="expression" dxfId="533" priority="5">
      <formula>$A2="пт"</formula>
    </cfRule>
    <cfRule type="expression" dxfId="532" priority="6">
      <formula>$A2="чт"</formula>
    </cfRule>
    <cfRule type="expression" dxfId="531" priority="7">
      <formula>$A2="ср"</formula>
    </cfRule>
    <cfRule type="expression" dxfId="530" priority="8">
      <formula>$A2="вт"</formula>
    </cfRule>
  </conditionalFormatting>
  <conditionalFormatting sqref="D2:D243">
    <cfRule type="containsText" dxfId="5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3">
    <cfRule type="containsText" dxfId="5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543"/>
  <sheetViews>
    <sheetView zoomScale="90" zoomScaleNormal="90" workbookViewId="0">
      <pane ySplit="1" topLeftCell="A523" activePane="bottomLeft" state="frozen"/>
      <selection pane="bottomLeft" activeCell="I535" sqref="I535:I54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 t="s">
        <v>7710</v>
      </c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s="8" t="s">
        <v>4</v>
      </c>
      <c r="E449" s="8" t="s">
        <v>86</v>
      </c>
      <c r="F449" s="8"/>
      <c r="H449" s="8" t="s">
        <v>7710</v>
      </c>
      <c r="I449" s="8" t="s">
        <v>7451</v>
      </c>
      <c r="J449" s="8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s="8" t="s">
        <v>4</v>
      </c>
      <c r="E450" s="8" t="s">
        <v>7709</v>
      </c>
      <c r="F450" s="8"/>
      <c r="H450" s="8"/>
      <c r="I450" s="8" t="s">
        <v>7454</v>
      </c>
      <c r="J450" s="8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s="8" t="s">
        <v>4</v>
      </c>
      <c r="E451" s="8" t="s">
        <v>86</v>
      </c>
      <c r="F451" s="8"/>
      <c r="H451" s="8" t="s">
        <v>7710</v>
      </c>
      <c r="I451" s="8" t="s">
        <v>7457</v>
      </c>
      <c r="J451" s="8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s="8" t="s">
        <v>4</v>
      </c>
      <c r="E452" s="8" t="s">
        <v>86</v>
      </c>
      <c r="F452" s="8"/>
      <c r="H452" s="8" t="s">
        <v>7710</v>
      </c>
      <c r="I452" s="8" t="s">
        <v>7460</v>
      </c>
      <c r="J452" s="8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s="8" t="s">
        <v>4</v>
      </c>
      <c r="E453" s="8" t="s">
        <v>7709</v>
      </c>
      <c r="F453" s="8"/>
      <c r="H453" s="8"/>
      <c r="I453" s="8" t="s">
        <v>7463</v>
      </c>
      <c r="J453" s="8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s="8" t="s">
        <v>4</v>
      </c>
      <c r="E454" s="8" t="s">
        <v>7709</v>
      </c>
      <c r="F454" s="8"/>
      <c r="H454" s="8"/>
      <c r="I454" s="8" t="s">
        <v>7466</v>
      </c>
      <c r="J454" s="8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s="8" t="s">
        <v>4</v>
      </c>
      <c r="E455" s="8" t="s">
        <v>86</v>
      </c>
      <c r="F455" s="8"/>
      <c r="H455" s="8" t="s">
        <v>7710</v>
      </c>
      <c r="I455" s="8" t="s">
        <v>7469</v>
      </c>
      <c r="J455" s="8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s="8" t="s">
        <v>4</v>
      </c>
      <c r="E456" s="8" t="s">
        <v>7709</v>
      </c>
      <c r="F456" s="8"/>
      <c r="H456" s="8"/>
      <c r="I456" s="8" t="s">
        <v>7472</v>
      </c>
      <c r="J456" s="8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s="8" t="s">
        <v>4</v>
      </c>
      <c r="E457" s="8" t="s">
        <v>86</v>
      </c>
      <c r="F457" s="8"/>
      <c r="H457" s="8" t="s">
        <v>7710</v>
      </c>
      <c r="I457" s="8" t="s">
        <v>7475</v>
      </c>
      <c r="J457" s="8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s="8" t="s">
        <v>4</v>
      </c>
      <c r="E458" s="8" t="s">
        <v>86</v>
      </c>
      <c r="F458" s="8"/>
      <c r="H458" s="8" t="s">
        <v>7710</v>
      </c>
      <c r="I458" s="8" t="s">
        <v>7729</v>
      </c>
      <c r="J458" s="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s="8" t="s">
        <v>4</v>
      </c>
      <c r="E459" s="8" t="s">
        <v>7709</v>
      </c>
      <c r="F459" s="8"/>
      <c r="H459" s="8"/>
      <c r="I459" s="8" t="s">
        <v>7732</v>
      </c>
      <c r="J459" s="8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s="8" t="s">
        <v>4</v>
      </c>
      <c r="E460" s="8" t="s">
        <v>86</v>
      </c>
      <c r="F460" s="8"/>
      <c r="H460" s="8" t="s">
        <v>7710</v>
      </c>
      <c r="I460" s="8" t="s">
        <v>7735</v>
      </c>
      <c r="J460" s="8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s="8" t="s">
        <v>4</v>
      </c>
      <c r="E461" s="8" t="s">
        <v>7709</v>
      </c>
      <c r="F461" s="8"/>
      <c r="H461" s="8"/>
      <c r="I461" s="8" t="s">
        <v>7738</v>
      </c>
      <c r="J461" s="8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s="8" t="s">
        <v>4</v>
      </c>
      <c r="E462" s="8" t="s">
        <v>86</v>
      </c>
      <c r="F462" s="8"/>
      <c r="H462" s="8" t="s">
        <v>7710</v>
      </c>
      <c r="I462" s="8" t="s">
        <v>7741</v>
      </c>
      <c r="J462" s="8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s="8" t="s">
        <v>2004</v>
      </c>
      <c r="E463" s="8" t="s">
        <v>86</v>
      </c>
      <c r="F463" s="8"/>
      <c r="H463" s="8"/>
      <c r="I463" s="8" t="s">
        <v>7956</v>
      </c>
      <c r="J463" s="8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s="8" t="s">
        <v>2004</v>
      </c>
      <c r="E464" s="8" t="s">
        <v>86</v>
      </c>
      <c r="F464" s="8"/>
      <c r="H464" s="8"/>
      <c r="I464" s="8" t="s">
        <v>7959</v>
      </c>
      <c r="J464" s="8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s="8" t="s">
        <v>4</v>
      </c>
      <c r="E465" s="8" t="s">
        <v>8335</v>
      </c>
      <c r="F465" s="8"/>
      <c r="H465" s="8"/>
      <c r="I465" s="8" t="s">
        <v>8120</v>
      </c>
      <c r="J465" s="8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s="8" t="s">
        <v>1091</v>
      </c>
      <c r="E466" s="8" t="s">
        <v>8335</v>
      </c>
      <c r="F466" s="8" t="s">
        <v>53</v>
      </c>
      <c r="G466">
        <v>2</v>
      </c>
      <c r="H466" s="8" t="s">
        <v>8362</v>
      </c>
      <c r="I466" s="8" t="s">
        <v>8123</v>
      </c>
      <c r="J466" s="8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s="8" t="s">
        <v>1091</v>
      </c>
      <c r="E467" s="8" t="s">
        <v>8335</v>
      </c>
      <c r="F467" s="8" t="s">
        <v>53</v>
      </c>
      <c r="G467">
        <v>1</v>
      </c>
      <c r="H467" s="8"/>
      <c r="I467" s="8" t="s">
        <v>8126</v>
      </c>
      <c r="J467" s="8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s="8" t="s">
        <v>1091</v>
      </c>
      <c r="E468" s="8" t="s">
        <v>8335</v>
      </c>
      <c r="F468" s="8" t="s">
        <v>53</v>
      </c>
      <c r="G468">
        <v>2</v>
      </c>
      <c r="H468" s="8"/>
      <c r="I468" s="8" t="s">
        <v>8129</v>
      </c>
      <c r="J468" s="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s="8" t="s">
        <v>4</v>
      </c>
      <c r="E469" s="8" t="s">
        <v>1607</v>
      </c>
      <c r="F469" s="8"/>
      <c r="H469" s="8"/>
      <c r="I469" s="8" t="s">
        <v>8132</v>
      </c>
      <c r="J469" s="8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s="8" t="s">
        <v>2004</v>
      </c>
      <c r="E470" s="8" t="s">
        <v>86</v>
      </c>
      <c r="F470" s="8"/>
      <c r="H470" s="8" t="s">
        <v>5479</v>
      </c>
      <c r="I470" s="8" t="s">
        <v>8135</v>
      </c>
      <c r="J470" s="8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s="8" t="s">
        <v>2004</v>
      </c>
      <c r="E471" s="8" t="s">
        <v>86</v>
      </c>
      <c r="F471" s="8"/>
      <c r="H471" s="8" t="s">
        <v>5479</v>
      </c>
      <c r="I471" s="8" t="s">
        <v>8138</v>
      </c>
      <c r="J471" s="8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s="8" t="s">
        <v>2004</v>
      </c>
      <c r="E472" s="8" t="s">
        <v>86</v>
      </c>
      <c r="F472" s="8"/>
      <c r="H472" s="8" t="s">
        <v>5479</v>
      </c>
      <c r="I472" s="8" t="s">
        <v>8141</v>
      </c>
      <c r="J472" s="8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s="8" t="s">
        <v>2004</v>
      </c>
      <c r="E473" s="8" t="s">
        <v>86</v>
      </c>
      <c r="F473" s="8"/>
      <c r="H473" s="8" t="s">
        <v>5479</v>
      </c>
      <c r="I473" s="8" t="s">
        <v>8420</v>
      </c>
      <c r="J473" s="8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s="8" t="s">
        <v>2004</v>
      </c>
      <c r="E474" s="8" t="s">
        <v>86</v>
      </c>
      <c r="F474" s="8"/>
      <c r="H474" s="8" t="s">
        <v>5479</v>
      </c>
      <c r="I474" s="8" t="s">
        <v>8423</v>
      </c>
      <c r="J474" s="8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s="8" t="s">
        <v>2004</v>
      </c>
      <c r="E475" s="8" t="s">
        <v>86</v>
      </c>
      <c r="F475" s="8"/>
      <c r="H475" s="8" t="s">
        <v>5479</v>
      </c>
      <c r="I475" s="8" t="s">
        <v>8426</v>
      </c>
      <c r="J475" s="8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s="8" t="s">
        <v>2004</v>
      </c>
      <c r="E476" s="8" t="s">
        <v>86</v>
      </c>
      <c r="F476" s="8"/>
      <c r="H476" s="8" t="s">
        <v>5479</v>
      </c>
      <c r="I476" s="8" t="s">
        <v>8682</v>
      </c>
      <c r="J476" s="8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s="8" t="s">
        <v>2004</v>
      </c>
      <c r="E477" s="8" t="s">
        <v>86</v>
      </c>
      <c r="F477" s="8"/>
      <c r="H477" s="8" t="s">
        <v>5479</v>
      </c>
      <c r="I477" s="8" t="s">
        <v>8685</v>
      </c>
      <c r="J477" s="8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s="8" t="s">
        <v>2004</v>
      </c>
      <c r="E478" s="8" t="s">
        <v>8825</v>
      </c>
      <c r="F478" s="8"/>
      <c r="H478" s="8" t="s">
        <v>5479</v>
      </c>
      <c r="I478" s="8" t="s">
        <v>8688</v>
      </c>
      <c r="J478" s="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s="8" t="s">
        <v>2004</v>
      </c>
      <c r="E479" s="8" t="s">
        <v>86</v>
      </c>
      <c r="F479" s="8"/>
      <c r="H479" s="8" t="s">
        <v>5479</v>
      </c>
      <c r="I479" s="8" t="s">
        <v>8691</v>
      </c>
      <c r="J479" s="8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s="8" t="s">
        <v>2004</v>
      </c>
      <c r="E480" s="8" t="s">
        <v>86</v>
      </c>
      <c r="F480" s="8"/>
      <c r="H480" s="8" t="s">
        <v>5479</v>
      </c>
      <c r="I480" s="8" t="s">
        <v>8694</v>
      </c>
      <c r="J480" s="8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s="8" t="s">
        <v>2004</v>
      </c>
      <c r="E481" s="8" t="s">
        <v>86</v>
      </c>
      <c r="F481" s="8"/>
      <c r="H481" s="8" t="s">
        <v>5479</v>
      </c>
      <c r="I481" s="8" t="s">
        <v>8697</v>
      </c>
      <c r="J481" s="8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s="8" t="s">
        <v>2004</v>
      </c>
      <c r="E482" s="8" t="s">
        <v>86</v>
      </c>
      <c r="F482" s="8"/>
      <c r="H482" s="8" t="s">
        <v>5479</v>
      </c>
      <c r="I482" s="8" t="s">
        <v>8700</v>
      </c>
      <c r="J482" s="8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s="8" t="s">
        <v>2004</v>
      </c>
      <c r="E483" s="8" t="s">
        <v>86</v>
      </c>
      <c r="F483" s="8"/>
      <c r="H483" s="8" t="s">
        <v>5479</v>
      </c>
      <c r="I483" s="8" t="s">
        <v>8897</v>
      </c>
      <c r="J483" s="8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s="8" t="s">
        <v>4</v>
      </c>
      <c r="E484" s="8" t="s">
        <v>9</v>
      </c>
      <c r="F484" s="8"/>
      <c r="H484" s="8"/>
      <c r="I484" s="8" t="s">
        <v>8900</v>
      </c>
      <c r="J484" s="8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s="8" t="s">
        <v>9200</v>
      </c>
      <c r="E485" s="8" t="s">
        <v>9201</v>
      </c>
      <c r="F485" s="8"/>
      <c r="H485" s="8"/>
      <c r="I485" s="8" t="s">
        <v>8903</v>
      </c>
      <c r="J485" s="8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s="8" t="s">
        <v>2024</v>
      </c>
      <c r="E486" s="8" t="s">
        <v>1304</v>
      </c>
      <c r="F486" s="8"/>
      <c r="H486" s="8"/>
      <c r="I486" s="8" t="s">
        <v>8906</v>
      </c>
      <c r="J486" s="8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s="8" t="s">
        <v>9200</v>
      </c>
      <c r="E487" s="8" t="s">
        <v>5137</v>
      </c>
      <c r="F487" s="8"/>
      <c r="H487" s="8"/>
      <c r="I487" s="8" t="s">
        <v>8909</v>
      </c>
      <c r="J487" s="8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s="8" t="s">
        <v>5476</v>
      </c>
      <c r="E488" s="8" t="s">
        <v>5480</v>
      </c>
      <c r="F488" s="8" t="s">
        <v>9202</v>
      </c>
      <c r="H488" s="8"/>
      <c r="I488" s="8" t="s">
        <v>8912</v>
      </c>
      <c r="J488" s="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s="8" t="s">
        <v>4</v>
      </c>
      <c r="E489" s="8" t="s">
        <v>9</v>
      </c>
      <c r="F489" s="8"/>
      <c r="H489" s="8"/>
      <c r="I489" s="8" t="s">
        <v>8915</v>
      </c>
      <c r="J489" s="8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s="8" t="s">
        <v>5476</v>
      </c>
      <c r="E490" s="8" t="s">
        <v>5480</v>
      </c>
      <c r="F490" s="8" t="s">
        <v>9203</v>
      </c>
      <c r="H490" s="8"/>
      <c r="I490" s="8" t="s">
        <v>8918</v>
      </c>
      <c r="J490" s="8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s="8" t="s">
        <v>4</v>
      </c>
      <c r="E491" s="8" t="s">
        <v>9204</v>
      </c>
      <c r="F491" s="8"/>
      <c r="H491" s="8"/>
      <c r="I491" s="8" t="s">
        <v>8921</v>
      </c>
      <c r="J491" s="8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s="8" t="s">
        <v>5476</v>
      </c>
      <c r="E492" s="8" t="s">
        <v>5480</v>
      </c>
      <c r="F492" s="8" t="s">
        <v>9203</v>
      </c>
      <c r="H492" s="8"/>
      <c r="I492" s="8" t="s">
        <v>8924</v>
      </c>
      <c r="J492" s="8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s="8" t="s">
        <v>5476</v>
      </c>
      <c r="E493" s="8" t="s">
        <v>5480</v>
      </c>
      <c r="F493" s="8" t="s">
        <v>9203</v>
      </c>
      <c r="H493" s="8"/>
      <c r="I493" s="8" t="s">
        <v>8927</v>
      </c>
      <c r="J493" s="8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s="8" t="s">
        <v>4</v>
      </c>
      <c r="E494" s="8" t="s">
        <v>9</v>
      </c>
      <c r="F494" s="8"/>
      <c r="H494" s="8"/>
      <c r="I494" s="8" t="s">
        <v>8930</v>
      </c>
      <c r="J494" s="8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s="8" t="s">
        <v>5476</v>
      </c>
      <c r="E495" s="8" t="s">
        <v>5480</v>
      </c>
      <c r="F495" s="8" t="s">
        <v>9203</v>
      </c>
      <c r="H495" s="8"/>
      <c r="I495" s="8" t="s">
        <v>8933</v>
      </c>
      <c r="J495" s="8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s="8" t="s">
        <v>5476</v>
      </c>
      <c r="E496" s="8" t="s">
        <v>5480</v>
      </c>
      <c r="F496" s="8" t="s">
        <v>9203</v>
      </c>
      <c r="H496" s="8"/>
      <c r="I496" s="8" t="s">
        <v>8936</v>
      </c>
      <c r="J496" s="8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s="8" t="s">
        <v>4</v>
      </c>
      <c r="E497" s="8" t="s">
        <v>9</v>
      </c>
      <c r="F497" s="8"/>
      <c r="H497" s="8"/>
      <c r="I497" s="8" t="s">
        <v>8939</v>
      </c>
      <c r="J497" s="8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s="8" t="s">
        <v>4</v>
      </c>
      <c r="E498" s="8" t="s">
        <v>86</v>
      </c>
      <c r="F498" s="8"/>
      <c r="H498" s="8" t="s">
        <v>5479</v>
      </c>
      <c r="I498" s="8" t="s">
        <v>8942</v>
      </c>
      <c r="J498" s="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s="8" t="s">
        <v>9205</v>
      </c>
      <c r="E499" s="8" t="s">
        <v>1304</v>
      </c>
      <c r="F499" s="8"/>
      <c r="H499" s="8"/>
      <c r="I499" s="8" t="s">
        <v>8945</v>
      </c>
      <c r="J499" s="8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s="8" t="s">
        <v>2024</v>
      </c>
      <c r="E500" s="8" t="s">
        <v>1304</v>
      </c>
      <c r="F500" s="8"/>
      <c r="H500" s="8"/>
      <c r="I500" s="8" t="s">
        <v>8948</v>
      </c>
      <c r="J500" s="8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s="8" t="s">
        <v>2024</v>
      </c>
      <c r="E501" s="8" t="s">
        <v>1304</v>
      </c>
      <c r="F501" s="8"/>
      <c r="H501" s="8"/>
      <c r="I501" s="8" t="s">
        <v>8951</v>
      </c>
      <c r="J501" s="8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s="8" t="s">
        <v>4</v>
      </c>
      <c r="E502" s="8" t="s">
        <v>9</v>
      </c>
      <c r="F502" s="8"/>
      <c r="H502" s="8"/>
      <c r="I502" s="8" t="s">
        <v>8954</v>
      </c>
      <c r="J502" s="8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s="8" t="s">
        <v>9200</v>
      </c>
      <c r="E503" s="8" t="s">
        <v>5137</v>
      </c>
      <c r="F503" s="8"/>
      <c r="H503" s="8"/>
      <c r="I503" s="8" t="s">
        <v>8957</v>
      </c>
      <c r="J503" s="8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s="8" t="s">
        <v>5476</v>
      </c>
      <c r="E504" s="8" t="s">
        <v>5480</v>
      </c>
      <c r="F504" s="8" t="s">
        <v>528</v>
      </c>
      <c r="H504" s="8"/>
      <c r="I504" s="8" t="s">
        <v>8960</v>
      </c>
      <c r="J504" s="8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s="8" t="s">
        <v>4</v>
      </c>
      <c r="E505" s="8" t="s">
        <v>7709</v>
      </c>
      <c r="F505" s="8"/>
      <c r="H505" s="8"/>
      <c r="I505" s="8" t="s">
        <v>8963</v>
      </c>
      <c r="J505" s="8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s="8" t="s">
        <v>9206</v>
      </c>
      <c r="E506" s="8" t="s">
        <v>1304</v>
      </c>
      <c r="F506" s="8"/>
      <c r="H506" s="8"/>
      <c r="I506" s="8" t="s">
        <v>8966</v>
      </c>
      <c r="J506" s="8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s="8" t="s">
        <v>9206</v>
      </c>
      <c r="E507" s="8" t="s">
        <v>1304</v>
      </c>
      <c r="F507" s="8"/>
      <c r="H507" s="8"/>
      <c r="I507" s="8" t="s">
        <v>8969</v>
      </c>
      <c r="J507" s="8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s="8" t="s">
        <v>4</v>
      </c>
      <c r="E508" s="8" t="s">
        <v>86</v>
      </c>
      <c r="F508" s="8"/>
      <c r="H508" s="8" t="s">
        <v>5479</v>
      </c>
      <c r="I508" s="8" t="s">
        <v>8972</v>
      </c>
      <c r="J508" s="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s="8" t="s">
        <v>9456</v>
      </c>
      <c r="E509" s="8" t="s">
        <v>1304</v>
      </c>
      <c r="F509" s="8"/>
      <c r="H509" s="8"/>
      <c r="I509" s="8" t="s">
        <v>9288</v>
      </c>
      <c r="J509" s="8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s="8" t="s">
        <v>9456</v>
      </c>
      <c r="E510" s="8" t="s">
        <v>1304</v>
      </c>
      <c r="F510" s="8"/>
      <c r="H510" s="8"/>
      <c r="I510" s="8" t="s">
        <v>9291</v>
      </c>
      <c r="J510" s="8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s="8" t="s">
        <v>9456</v>
      </c>
      <c r="E511" s="8" t="s">
        <v>9457</v>
      </c>
      <c r="F511" s="8"/>
      <c r="H511" s="8"/>
      <c r="I511" s="8" t="s">
        <v>9294</v>
      </c>
      <c r="J511" s="8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s="8" t="s">
        <v>4</v>
      </c>
      <c r="E512" s="8" t="s">
        <v>7709</v>
      </c>
      <c r="F512" s="8"/>
      <c r="H512" s="8"/>
      <c r="I512" s="8" t="s">
        <v>9297</v>
      </c>
      <c r="J512" s="8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s="8" t="s">
        <v>9456</v>
      </c>
      <c r="E513" s="8" t="s">
        <v>1304</v>
      </c>
      <c r="F513" s="8"/>
      <c r="H513" s="8"/>
      <c r="I513" s="8" t="s">
        <v>9458</v>
      </c>
      <c r="J513" s="8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s="8" t="s">
        <v>9456</v>
      </c>
      <c r="E514" s="8" t="s">
        <v>1304</v>
      </c>
      <c r="F514" s="8"/>
      <c r="H514" s="8"/>
      <c r="I514" s="8" t="s">
        <v>9461</v>
      </c>
      <c r="J514" s="8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s="8" t="s">
        <v>9456</v>
      </c>
      <c r="E515" s="8" t="s">
        <v>1304</v>
      </c>
      <c r="F515" s="8"/>
      <c r="H515" s="8"/>
      <c r="I515" s="8" t="s">
        <v>9464</v>
      </c>
      <c r="J515" s="8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s="8" t="s">
        <v>9456</v>
      </c>
      <c r="E516" s="8" t="s">
        <v>1304</v>
      </c>
      <c r="F516" s="8"/>
      <c r="H516" s="8"/>
      <c r="I516" s="8" t="s">
        <v>9467</v>
      </c>
      <c r="J516" s="8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s="8" t="s">
        <v>9456</v>
      </c>
      <c r="E517" s="8" t="s">
        <v>1304</v>
      </c>
      <c r="F517" s="8"/>
      <c r="H517" s="8"/>
      <c r="I517" s="8" t="s">
        <v>9470</v>
      </c>
      <c r="J517" s="8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s="8" t="s">
        <v>9456</v>
      </c>
      <c r="E518" s="8" t="s">
        <v>1304</v>
      </c>
      <c r="F518" s="8"/>
      <c r="H518" s="8"/>
      <c r="I518" s="8" t="s">
        <v>9473</v>
      </c>
      <c r="J518" s="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s="8" t="s">
        <v>9485</v>
      </c>
      <c r="E519" s="8" t="s">
        <v>1304</v>
      </c>
      <c r="F519" s="8"/>
      <c r="H519" s="8"/>
      <c r="I519" s="8" t="s">
        <v>9476</v>
      </c>
      <c r="J519" s="8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s="8" t="s">
        <v>9455</v>
      </c>
      <c r="E520" s="8" t="s">
        <v>5137</v>
      </c>
      <c r="F520" s="8"/>
      <c r="H520" s="8"/>
      <c r="I520" s="8" t="s">
        <v>9479</v>
      </c>
      <c r="J520" s="8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s="8" t="s">
        <v>4</v>
      </c>
      <c r="E521" s="8" t="s">
        <v>86</v>
      </c>
      <c r="F521" s="8"/>
      <c r="H521" s="8" t="s">
        <v>5479</v>
      </c>
      <c r="I521" s="8" t="s">
        <v>9482</v>
      </c>
      <c r="J521" s="8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s="8" t="s">
        <v>4</v>
      </c>
      <c r="E522" s="8" t="s">
        <v>86</v>
      </c>
      <c r="F522" s="8"/>
      <c r="H522" s="8" t="s">
        <v>5479</v>
      </c>
      <c r="I522" s="8" t="s">
        <v>9648</v>
      </c>
      <c r="J522" s="8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s="8" t="s">
        <v>4</v>
      </c>
      <c r="E523" s="8" t="s">
        <v>9691</v>
      </c>
      <c r="F523" s="8"/>
      <c r="H523" s="8"/>
      <c r="I523" s="8" t="s">
        <v>9651</v>
      </c>
      <c r="J523" s="8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s="8" t="s">
        <v>9692</v>
      </c>
      <c r="E524" s="8" t="s">
        <v>9201</v>
      </c>
      <c r="F524" s="8"/>
      <c r="H524" s="8"/>
      <c r="I524" s="8" t="s">
        <v>9654</v>
      </c>
      <c r="J524" s="8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s="8" t="s">
        <v>9456</v>
      </c>
      <c r="E525" s="8" t="s">
        <v>1304</v>
      </c>
      <c r="F525" s="8"/>
      <c r="H525" s="8"/>
      <c r="I525" s="8" t="s">
        <v>9795</v>
      </c>
      <c r="J525" s="8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s="8" t="s">
        <v>9456</v>
      </c>
      <c r="E526" s="8" t="s">
        <v>1304</v>
      </c>
      <c r="F526" s="8"/>
      <c r="H526" s="8"/>
      <c r="I526" s="8" t="s">
        <v>9798</v>
      </c>
      <c r="J526" s="8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s="8" t="s">
        <v>4</v>
      </c>
      <c r="E527" s="8" t="s">
        <v>9</v>
      </c>
      <c r="F527" s="8"/>
      <c r="H527" s="8"/>
      <c r="I527" s="8" t="s">
        <v>9801</v>
      </c>
      <c r="J527" s="8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s="8" t="s">
        <v>4</v>
      </c>
      <c r="E528" s="8" t="s">
        <v>5477</v>
      </c>
      <c r="F528" s="8"/>
      <c r="H528" s="8"/>
      <c r="I528" s="8" t="s">
        <v>9804</v>
      </c>
      <c r="J528" s="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s="8" t="s">
        <v>5476</v>
      </c>
      <c r="E529" s="8" t="s">
        <v>5480</v>
      </c>
      <c r="F529" s="8" t="s">
        <v>9202</v>
      </c>
      <c r="G529">
        <v>1</v>
      </c>
      <c r="H529" s="8"/>
      <c r="I529" s="8" t="s">
        <v>9807</v>
      </c>
      <c r="J529" s="8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s="8" t="s">
        <v>5476</v>
      </c>
      <c r="E530" s="8" t="s">
        <v>5480</v>
      </c>
      <c r="F530" s="8" t="s">
        <v>9202</v>
      </c>
      <c r="G530">
        <v>2</v>
      </c>
      <c r="H530" s="8"/>
      <c r="I530" s="8" t="s">
        <v>9810</v>
      </c>
      <c r="J530" s="8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s="8" t="s">
        <v>5476</v>
      </c>
      <c r="E531" s="8" t="s">
        <v>5480</v>
      </c>
      <c r="F531" s="8" t="s">
        <v>9202</v>
      </c>
      <c r="G531">
        <v>1</v>
      </c>
      <c r="H531" s="8"/>
      <c r="I531" s="8" t="s">
        <v>9813</v>
      </c>
      <c r="J531" s="8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s="8" t="s">
        <v>4</v>
      </c>
      <c r="E532" s="8" t="s">
        <v>5477</v>
      </c>
      <c r="F532" s="8"/>
      <c r="H532" s="8"/>
      <c r="I532" s="8" t="s">
        <v>9816</v>
      </c>
      <c r="J532" s="8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s="8" t="s">
        <v>4</v>
      </c>
      <c r="E533" s="8" t="s">
        <v>5477</v>
      </c>
      <c r="F533" s="8"/>
      <c r="H533" s="8"/>
      <c r="I533" s="8" t="s">
        <v>9819</v>
      </c>
      <c r="J533" s="8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s="8" t="s">
        <v>4</v>
      </c>
      <c r="E534" s="8" t="s">
        <v>86</v>
      </c>
      <c r="F534" s="8"/>
      <c r="H534" s="8" t="s">
        <v>5479</v>
      </c>
      <c r="I534" s="8" t="s">
        <v>9822</v>
      </c>
      <c r="J534" s="8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s="8" t="s">
        <v>9200</v>
      </c>
      <c r="E535" s="8" t="s">
        <v>5137</v>
      </c>
      <c r="F535" s="8"/>
      <c r="H535" s="8"/>
      <c r="I535" s="8" t="s">
        <v>10017</v>
      </c>
      <c r="J535" s="8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s="8" t="s">
        <v>4</v>
      </c>
      <c r="E536" s="8" t="s">
        <v>7709</v>
      </c>
      <c r="F536" s="8"/>
      <c r="H536" s="8"/>
      <c r="I536" s="8" t="s">
        <v>10020</v>
      </c>
      <c r="J536" s="8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s="8" t="s">
        <v>5476</v>
      </c>
      <c r="E537" s="8" t="s">
        <v>5480</v>
      </c>
      <c r="F537" s="8" t="s">
        <v>9202</v>
      </c>
      <c r="G537">
        <v>1</v>
      </c>
      <c r="H537" s="8"/>
      <c r="I537" s="8" t="s">
        <v>10023</v>
      </c>
      <c r="J537" s="8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s="8" t="s">
        <v>5476</v>
      </c>
      <c r="E538" s="8" t="s">
        <v>5480</v>
      </c>
      <c r="F538" s="8" t="s">
        <v>9202</v>
      </c>
      <c r="G538">
        <v>1</v>
      </c>
      <c r="H538" s="8"/>
      <c r="I538" s="8" t="s">
        <v>10026</v>
      </c>
      <c r="J538" s="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s="8" t="s">
        <v>9692</v>
      </c>
      <c r="E539" s="8" t="s">
        <v>5137</v>
      </c>
      <c r="F539" s="8"/>
      <c r="H539" s="8"/>
      <c r="I539" s="8" t="s">
        <v>10029</v>
      </c>
      <c r="J539" s="8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s="8" t="s">
        <v>5476</v>
      </c>
      <c r="E540" s="8" t="s">
        <v>5480</v>
      </c>
      <c r="F540" s="8" t="s">
        <v>9202</v>
      </c>
      <c r="G540">
        <v>2</v>
      </c>
      <c r="H540" s="8"/>
      <c r="I540" s="8" t="s">
        <v>10032</v>
      </c>
      <c r="J540" s="8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s="8" t="s">
        <v>158</v>
      </c>
      <c r="E541" s="8" t="s">
        <v>5480</v>
      </c>
      <c r="F541" s="8" t="s">
        <v>528</v>
      </c>
      <c r="G541">
        <v>1</v>
      </c>
      <c r="H541" s="8"/>
      <c r="I541" s="8" t="s">
        <v>10035</v>
      </c>
      <c r="J541" s="8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s="8" t="s">
        <v>650</v>
      </c>
      <c r="E542" s="8" t="s">
        <v>5480</v>
      </c>
      <c r="F542" s="8"/>
      <c r="H542" s="8"/>
      <c r="I542" s="8" t="s">
        <v>10038</v>
      </c>
      <c r="J542" s="8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s="8" t="s">
        <v>4</v>
      </c>
      <c r="E543" s="8" t="s">
        <v>8824</v>
      </c>
      <c r="F543" s="8"/>
      <c r="H543" s="8"/>
      <c r="I543" s="8" t="s">
        <v>10041</v>
      </c>
      <c r="J543" s="8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</sheetData>
  <conditionalFormatting sqref="D544:D554 E544:E557 G2:H543 D2:E543">
    <cfRule type="containsText" dxfId="527" priority="14" operator="containsText" text="Выезд с территории">
      <formula>NOT(ISERROR(SEARCH("Выезд с территории",D2)))</formula>
    </cfRule>
  </conditionalFormatting>
  <conditionalFormatting sqref="F2:F543">
    <cfRule type="notContainsText" dxfId="526" priority="13" operator="notContains" text="порожний">
      <formula>ISERROR(SEARCH("порожний",F2))</formula>
    </cfRule>
  </conditionalFormatting>
  <conditionalFormatting sqref="E2:E557">
    <cfRule type="containsText" dxfId="525" priority="11" operator="containsText" text="Газель базы">
      <formula>NOT(ISERROR(SEARCH("Газель базы",E2)))</formula>
    </cfRule>
    <cfRule type="containsText" dxfId="524" priority="12" operator="containsText" text="Погрузчик базы">
      <formula>NOT(ISERROR(SEARCH("Погрузчик базы",E2)))</formula>
    </cfRule>
  </conditionalFormatting>
  <conditionalFormatting sqref="E2:E557">
    <cfRule type="containsText" dxfId="523" priority="10" operator="containsText" text="Трактор базы">
      <formula>NOT(ISERROR(SEARCH("Трактор базы",E2)))</formula>
    </cfRule>
  </conditionalFormatting>
  <conditionalFormatting sqref="A2:C543">
    <cfRule type="expression" dxfId="522" priority="9">
      <formula>$A2="пн"</formula>
    </cfRule>
  </conditionalFormatting>
  <conditionalFormatting sqref="A2:C545">
    <cfRule type="expression" dxfId="521" priority="3">
      <formula>$A2="вс"</formula>
    </cfRule>
    <cfRule type="expression" dxfId="520" priority="4">
      <formula>$A2="сб"</formula>
    </cfRule>
    <cfRule type="expression" dxfId="519" priority="5">
      <formula>$A2="пт"</formula>
    </cfRule>
    <cfRule type="expression" dxfId="518" priority="6">
      <formula>$A2="чт"</formula>
    </cfRule>
    <cfRule type="expression" dxfId="517" priority="7">
      <formula>$A2="ср"</formula>
    </cfRule>
    <cfRule type="expression" dxfId="516" priority="8">
      <formula>$A2="вт"</formula>
    </cfRule>
  </conditionalFormatting>
  <conditionalFormatting sqref="D2:D554">
    <cfRule type="containsText" dxfId="5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54">
    <cfRule type="containsText" dxfId="5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558"/>
  <sheetViews>
    <sheetView zoomScale="90" zoomScaleNormal="90" workbookViewId="0">
      <pane ySplit="1" topLeftCell="A536" activePane="bottomLeft" state="frozen"/>
      <selection pane="bottomLeft" activeCell="I545" sqref="I545:I55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s="8" t="s">
        <v>2004</v>
      </c>
      <c r="E437" s="8" t="s">
        <v>8</v>
      </c>
      <c r="F437" s="8"/>
      <c r="H437" s="8"/>
      <c r="I437" s="8" t="s">
        <v>7490</v>
      </c>
      <c r="J437" s="8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s="8" t="s">
        <v>7711</v>
      </c>
      <c r="E438" s="8" t="s">
        <v>1607</v>
      </c>
      <c r="F438" s="8"/>
      <c r="H438" s="8"/>
      <c r="I438" s="8" t="s">
        <v>7493</v>
      </c>
      <c r="J438" s="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s="8" t="s">
        <v>7711</v>
      </c>
      <c r="E439" s="8" t="s">
        <v>1607</v>
      </c>
      <c r="F439" s="8"/>
      <c r="H439" s="8"/>
      <c r="I439" s="8" t="s">
        <v>7496</v>
      </c>
      <c r="J439" s="8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s="8" t="s">
        <v>2004</v>
      </c>
      <c r="E440" s="8" t="s">
        <v>8</v>
      </c>
      <c r="F440" s="8"/>
      <c r="H440" s="8"/>
      <c r="I440" s="8" t="s">
        <v>7499</v>
      </c>
      <c r="J440" s="8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s="8" t="s">
        <v>289</v>
      </c>
      <c r="E441" s="8" t="s">
        <v>70</v>
      </c>
      <c r="F441" s="8" t="s">
        <v>58</v>
      </c>
      <c r="H441" s="8" t="s">
        <v>1618</v>
      </c>
      <c r="I441" s="8" t="s">
        <v>7502</v>
      </c>
      <c r="J441" s="8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s="8" t="s">
        <v>289</v>
      </c>
      <c r="E442" s="8" t="s">
        <v>70</v>
      </c>
      <c r="F442" s="8" t="s">
        <v>58</v>
      </c>
      <c r="H442" s="8" t="s">
        <v>2936</v>
      </c>
      <c r="I442" s="8" t="s">
        <v>7505</v>
      </c>
      <c r="J442" s="8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s="8" t="s">
        <v>289</v>
      </c>
      <c r="E443" s="8" t="s">
        <v>70</v>
      </c>
      <c r="F443" s="8" t="s">
        <v>58</v>
      </c>
      <c r="H443" s="8" t="s">
        <v>2936</v>
      </c>
      <c r="I443" s="8" t="s">
        <v>7508</v>
      </c>
      <c r="J443" s="8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s="8" t="s">
        <v>289</v>
      </c>
      <c r="E444" s="8" t="s">
        <v>70</v>
      </c>
      <c r="F444" s="8" t="s">
        <v>58</v>
      </c>
      <c r="H444" s="8" t="s">
        <v>2936</v>
      </c>
      <c r="I444" s="8" t="s">
        <v>7511</v>
      </c>
      <c r="J444" s="8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s="8" t="s">
        <v>289</v>
      </c>
      <c r="E445" s="8" t="s">
        <v>70</v>
      </c>
      <c r="F445" s="8" t="s">
        <v>58</v>
      </c>
      <c r="H445" s="8" t="s">
        <v>2936</v>
      </c>
      <c r="I445" s="8" t="s">
        <v>7514</v>
      </c>
      <c r="J445" s="8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s="8" t="s">
        <v>650</v>
      </c>
      <c r="E446" s="8" t="s">
        <v>70</v>
      </c>
      <c r="F446" s="8" t="s">
        <v>58</v>
      </c>
      <c r="H446" s="8"/>
      <c r="I446" s="8" t="s">
        <v>7517</v>
      </c>
      <c r="J446" s="8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s="8" t="s">
        <v>7712</v>
      </c>
      <c r="E447" s="8" t="s">
        <v>531</v>
      </c>
      <c r="F447" s="8"/>
      <c r="H447" s="8"/>
      <c r="I447" s="8" t="s">
        <v>7520</v>
      </c>
      <c r="J447" s="8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s="8" t="s">
        <v>4223</v>
      </c>
      <c r="E448" s="8" t="s">
        <v>86</v>
      </c>
      <c r="F448" s="8" t="s">
        <v>7713</v>
      </c>
      <c r="H448" s="8"/>
      <c r="I448" s="8" t="s">
        <v>7523</v>
      </c>
      <c r="J448" s="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s="8" t="s">
        <v>4223</v>
      </c>
      <c r="E449" s="8" t="s">
        <v>86</v>
      </c>
      <c r="F449" s="8" t="s">
        <v>7713</v>
      </c>
      <c r="H449" s="8" t="s">
        <v>2936</v>
      </c>
      <c r="I449" s="8" t="s">
        <v>7526</v>
      </c>
      <c r="J449" s="8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s="8" t="s">
        <v>4223</v>
      </c>
      <c r="E450" s="8" t="s">
        <v>86</v>
      </c>
      <c r="F450" s="8" t="s">
        <v>7713</v>
      </c>
      <c r="H450" s="8"/>
      <c r="I450" s="8" t="s">
        <v>7529</v>
      </c>
      <c r="J450" s="8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s="8" t="s">
        <v>2004</v>
      </c>
      <c r="E451" s="8" t="s">
        <v>8</v>
      </c>
      <c r="F451" s="8"/>
      <c r="H451" s="8"/>
      <c r="I451" s="8" t="s">
        <v>7532</v>
      </c>
      <c r="J451" s="8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s="8" t="s">
        <v>2004</v>
      </c>
      <c r="E452" s="8" t="s">
        <v>8</v>
      </c>
      <c r="F452" s="8"/>
      <c r="H452" s="8"/>
      <c r="I452" s="8" t="s">
        <v>7535</v>
      </c>
      <c r="J452" s="8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s="8" t="s">
        <v>2004</v>
      </c>
      <c r="E453" s="8" t="s">
        <v>8</v>
      </c>
      <c r="F453" s="8"/>
      <c r="H453" s="8"/>
      <c r="I453" s="8" t="s">
        <v>7744</v>
      </c>
      <c r="J453" s="8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s="8" t="s">
        <v>1606</v>
      </c>
      <c r="E454" s="8" t="s">
        <v>6656</v>
      </c>
      <c r="F454" s="8" t="s">
        <v>5076</v>
      </c>
      <c r="H454" s="8"/>
      <c r="I454" s="8" t="s">
        <v>8028</v>
      </c>
      <c r="J454" s="8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s="8" t="s">
        <v>8042</v>
      </c>
      <c r="E455" s="8" t="s">
        <v>6656</v>
      </c>
      <c r="F455" s="8" t="s">
        <v>5076</v>
      </c>
      <c r="H455" s="8" t="s">
        <v>8052</v>
      </c>
      <c r="I455" s="8" t="s">
        <v>8031</v>
      </c>
      <c r="J455" s="8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s="8" t="s">
        <v>650</v>
      </c>
      <c r="E456" s="8" t="s">
        <v>6656</v>
      </c>
      <c r="F456" s="8" t="s">
        <v>5076</v>
      </c>
      <c r="H456" s="8"/>
      <c r="I456" s="8" t="s">
        <v>8034</v>
      </c>
      <c r="J456" s="8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s="8" t="s">
        <v>4</v>
      </c>
      <c r="E457" s="8" t="s">
        <v>1607</v>
      </c>
      <c r="F457" s="8" t="s">
        <v>8053</v>
      </c>
      <c r="H457" s="8"/>
      <c r="I457" s="8" t="s">
        <v>8037</v>
      </c>
      <c r="J457" s="8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s="8" t="s">
        <v>1606</v>
      </c>
      <c r="E458" s="8" t="s">
        <v>70</v>
      </c>
      <c r="F458" s="8"/>
      <c r="H458" s="8"/>
      <c r="I458" s="8" t="s">
        <v>8198</v>
      </c>
      <c r="J458" s="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s="8" t="s">
        <v>290</v>
      </c>
      <c r="E459" s="8" t="s">
        <v>70</v>
      </c>
      <c r="F459" s="8" t="s">
        <v>5093</v>
      </c>
      <c r="H459" s="8" t="s">
        <v>2949</v>
      </c>
      <c r="I459" s="8" t="s">
        <v>8201</v>
      </c>
      <c r="J459" s="8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s="8" t="s">
        <v>290</v>
      </c>
      <c r="E460" s="8" t="s">
        <v>70</v>
      </c>
      <c r="F460" s="8" t="s">
        <v>5093</v>
      </c>
      <c r="H460" s="8" t="s">
        <v>2949</v>
      </c>
      <c r="I460" s="8" t="s">
        <v>8204</v>
      </c>
      <c r="J460" s="8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s="8" t="s">
        <v>290</v>
      </c>
      <c r="E461" s="8" t="s">
        <v>70</v>
      </c>
      <c r="F461" s="8" t="s">
        <v>5093</v>
      </c>
      <c r="H461" s="8" t="s">
        <v>2949</v>
      </c>
      <c r="I461" s="8" t="s">
        <v>8207</v>
      </c>
      <c r="J461" s="8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s="8" t="s">
        <v>650</v>
      </c>
      <c r="E462" s="8" t="s">
        <v>70</v>
      </c>
      <c r="F462" s="8"/>
      <c r="H462" s="8"/>
      <c r="I462" s="8" t="s">
        <v>8210</v>
      </c>
      <c r="J462" s="8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s="8" t="s">
        <v>533</v>
      </c>
      <c r="E463" s="8" t="s">
        <v>531</v>
      </c>
      <c r="F463" s="8" t="s">
        <v>8350</v>
      </c>
      <c r="H463" s="8"/>
      <c r="I463" s="8" t="s">
        <v>8213</v>
      </c>
      <c r="J463" s="8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s="8" t="s">
        <v>4</v>
      </c>
      <c r="E464" s="8" t="s">
        <v>531</v>
      </c>
      <c r="F464" s="8"/>
      <c r="H464" s="8"/>
      <c r="I464" s="8" t="s">
        <v>8216</v>
      </c>
      <c r="J464" s="8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s="8" t="s">
        <v>4</v>
      </c>
      <c r="E465" s="8" t="s">
        <v>8351</v>
      </c>
      <c r="F465" s="8"/>
      <c r="H465" s="8"/>
      <c r="I465" s="8" t="s">
        <v>8219</v>
      </c>
      <c r="J465" s="8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s="8" t="s">
        <v>4</v>
      </c>
      <c r="E466" s="8" t="s">
        <v>8351</v>
      </c>
      <c r="F466" s="8"/>
      <c r="H466" s="8"/>
      <c r="I466" s="8" t="s">
        <v>8222</v>
      </c>
      <c r="J466" s="8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s="8" t="s">
        <v>4</v>
      </c>
      <c r="E467" s="8" t="s">
        <v>8353</v>
      </c>
      <c r="F467" s="8"/>
      <c r="H467" s="8"/>
      <c r="I467" s="8" t="s">
        <v>8225</v>
      </c>
      <c r="J467" s="8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s="8" t="s">
        <v>289</v>
      </c>
      <c r="E468" s="8" t="s">
        <v>8352</v>
      </c>
      <c r="F468" s="8" t="s">
        <v>1621</v>
      </c>
      <c r="H468" s="8"/>
      <c r="I468" s="8" t="s">
        <v>8228</v>
      </c>
      <c r="J468" s="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s="8" t="s">
        <v>4</v>
      </c>
      <c r="E469" s="8" t="s">
        <v>8</v>
      </c>
      <c r="F469" s="8"/>
      <c r="H469" s="8"/>
      <c r="I469" s="8" t="s">
        <v>8231</v>
      </c>
      <c r="J469" s="8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s="8" t="s">
        <v>4</v>
      </c>
      <c r="E470" s="8" t="s">
        <v>8</v>
      </c>
      <c r="F470" s="8"/>
      <c r="H470" s="8"/>
      <c r="I470" s="8" t="s">
        <v>8234</v>
      </c>
      <c r="J470" s="8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s="8" t="s">
        <v>4</v>
      </c>
      <c r="E471" s="8" t="s">
        <v>8</v>
      </c>
      <c r="F471" s="8"/>
      <c r="H471" s="8"/>
      <c r="I471" s="8" t="s">
        <v>8237</v>
      </c>
      <c r="J471" s="8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s="8" t="s">
        <v>1606</v>
      </c>
      <c r="E472" s="8" t="s">
        <v>70</v>
      </c>
      <c r="F472" s="8"/>
      <c r="H472" s="8"/>
      <c r="I472" s="8" t="s">
        <v>8240</v>
      </c>
      <c r="J472" s="8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s="8" t="s">
        <v>290</v>
      </c>
      <c r="E473" s="8" t="s">
        <v>70</v>
      </c>
      <c r="F473" s="8" t="s">
        <v>5093</v>
      </c>
      <c r="H473" s="8"/>
      <c r="I473" s="8" t="s">
        <v>8243</v>
      </c>
      <c r="J473" s="8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s="8" t="s">
        <v>290</v>
      </c>
      <c r="E474" s="8" t="s">
        <v>70</v>
      </c>
      <c r="F474" s="8" t="s">
        <v>5093</v>
      </c>
      <c r="H474" s="8"/>
      <c r="I474" s="8" t="s">
        <v>8246</v>
      </c>
      <c r="J474" s="8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s="8" t="s">
        <v>290</v>
      </c>
      <c r="E475" s="8" t="s">
        <v>70</v>
      </c>
      <c r="F475" s="8" t="s">
        <v>5093</v>
      </c>
      <c r="H475" s="8"/>
      <c r="I475" s="8" t="s">
        <v>8249</v>
      </c>
      <c r="J475" s="8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s="8" t="s">
        <v>650</v>
      </c>
      <c r="E476" s="8" t="s">
        <v>70</v>
      </c>
      <c r="F476" s="8"/>
      <c r="H476" s="8"/>
      <c r="I476" s="8" t="s">
        <v>8252</v>
      </c>
      <c r="J476" s="8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s="8" t="s">
        <v>1606</v>
      </c>
      <c r="E477" s="8" t="s">
        <v>8354</v>
      </c>
      <c r="F477" s="8"/>
      <c r="H477" s="8" t="s">
        <v>8355</v>
      </c>
      <c r="I477" s="8" t="s">
        <v>8255</v>
      </c>
      <c r="J477" s="8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s="8" t="s">
        <v>6171</v>
      </c>
      <c r="E478" s="8" t="s">
        <v>8354</v>
      </c>
      <c r="F478" s="8"/>
      <c r="H478" s="8" t="s">
        <v>8356</v>
      </c>
      <c r="I478" s="8" t="s">
        <v>8258</v>
      </c>
      <c r="J478" s="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s="8" t="s">
        <v>650</v>
      </c>
      <c r="E479" s="8" t="s">
        <v>8354</v>
      </c>
      <c r="F479" s="8"/>
      <c r="H479" s="8"/>
      <c r="I479" s="8" t="s">
        <v>8261</v>
      </c>
      <c r="J479" s="8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s="8" t="s">
        <v>8357</v>
      </c>
      <c r="E480" s="8" t="s">
        <v>5093</v>
      </c>
      <c r="F480" s="8"/>
      <c r="H480" s="8" t="s">
        <v>8358</v>
      </c>
      <c r="I480" s="8" t="s">
        <v>8264</v>
      </c>
      <c r="J480" s="8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s="8" t="s">
        <v>2004</v>
      </c>
      <c r="E481" s="8" t="s">
        <v>8</v>
      </c>
      <c r="F481" s="8"/>
      <c r="H481" s="8"/>
      <c r="I481" s="8" t="s">
        <v>8267</v>
      </c>
      <c r="J481" s="8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s="8" t="s">
        <v>2004</v>
      </c>
      <c r="E482" s="8" t="s">
        <v>8</v>
      </c>
      <c r="F482" s="8"/>
      <c r="H482" s="8"/>
      <c r="I482" s="8" t="s">
        <v>8270</v>
      </c>
      <c r="J482" s="8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s="8" t="s">
        <v>2004</v>
      </c>
      <c r="E483" s="8" t="s">
        <v>8</v>
      </c>
      <c r="F483" s="8"/>
      <c r="H483" s="8"/>
      <c r="I483" s="8" t="s">
        <v>8438</v>
      </c>
      <c r="J483" s="8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s="8" t="s">
        <v>2004</v>
      </c>
      <c r="E484" s="8" t="s">
        <v>8</v>
      </c>
      <c r="F484" s="8"/>
      <c r="H484" s="8"/>
      <c r="I484" s="8" t="s">
        <v>8441</v>
      </c>
      <c r="J484" s="8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s="8" t="s">
        <v>2004</v>
      </c>
      <c r="E485" s="8" t="s">
        <v>8</v>
      </c>
      <c r="F485" s="8"/>
      <c r="H485" s="8"/>
      <c r="I485" s="8" t="s">
        <v>8444</v>
      </c>
      <c r="J485" s="8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s="8" t="s">
        <v>2004</v>
      </c>
      <c r="E486" s="8" t="s">
        <v>8</v>
      </c>
      <c r="F486" s="8"/>
      <c r="H486" s="8"/>
      <c r="I486" s="8" t="s">
        <v>8703</v>
      </c>
      <c r="J486" s="8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s="8" t="s">
        <v>2004</v>
      </c>
      <c r="E487" s="8" t="s">
        <v>8826</v>
      </c>
      <c r="F487" s="8"/>
      <c r="H487" s="8"/>
      <c r="I487" s="8" t="s">
        <v>8706</v>
      </c>
      <c r="J487" s="8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s="8" t="s">
        <v>2004</v>
      </c>
      <c r="E488" s="8" t="s">
        <v>8826</v>
      </c>
      <c r="F488" s="8"/>
      <c r="H488" s="8"/>
      <c r="I488" s="8" t="s">
        <v>8709</v>
      </c>
      <c r="J488" s="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s="8" t="s">
        <v>2004</v>
      </c>
      <c r="E489" s="8" t="s">
        <v>8</v>
      </c>
      <c r="F489" s="8"/>
      <c r="H489" s="8"/>
      <c r="I489" s="8" t="s">
        <v>8712</v>
      </c>
      <c r="J489" s="8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s="8" t="s">
        <v>2004</v>
      </c>
      <c r="E490" s="8" t="s">
        <v>8826</v>
      </c>
      <c r="F490" s="8"/>
      <c r="H490" s="8"/>
      <c r="I490" s="8" t="s">
        <v>8715</v>
      </c>
      <c r="J490" s="8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s="8" t="s">
        <v>2004</v>
      </c>
      <c r="E491" s="8" t="s">
        <v>8826</v>
      </c>
      <c r="F491" s="8"/>
      <c r="H491" s="8"/>
      <c r="I491" s="8" t="s">
        <v>8718</v>
      </c>
      <c r="J491" s="8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s="8" t="s">
        <v>4</v>
      </c>
      <c r="E492" s="8" t="s">
        <v>8805</v>
      </c>
      <c r="F492" s="8"/>
      <c r="H492" s="8"/>
      <c r="I492" s="8" t="s">
        <v>8721</v>
      </c>
      <c r="J492" s="8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s="8" t="s">
        <v>4</v>
      </c>
      <c r="E493" s="8" t="s">
        <v>8</v>
      </c>
      <c r="F493" s="8"/>
      <c r="H493" s="8"/>
      <c r="I493" s="8" t="s">
        <v>9027</v>
      </c>
      <c r="J493" s="8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s="8" t="s">
        <v>289</v>
      </c>
      <c r="E494" s="8" t="s">
        <v>86</v>
      </c>
      <c r="F494" s="8" t="s">
        <v>9190</v>
      </c>
      <c r="H494" s="8"/>
      <c r="I494" s="8" t="s">
        <v>9030</v>
      </c>
      <c r="J494" s="8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s="8" t="s">
        <v>4221</v>
      </c>
      <c r="E495" s="8" t="s">
        <v>86</v>
      </c>
      <c r="F495" s="8" t="s">
        <v>9190</v>
      </c>
      <c r="H495" s="8"/>
      <c r="I495" s="8" t="s">
        <v>9033</v>
      </c>
      <c r="J495" s="8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s="8" t="s">
        <v>4221</v>
      </c>
      <c r="E496" s="8" t="s">
        <v>9207</v>
      </c>
      <c r="F496" s="8" t="s">
        <v>9190</v>
      </c>
      <c r="H496" s="8"/>
      <c r="I496" s="8" t="s">
        <v>9036</v>
      </c>
      <c r="J496" s="8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s="8" t="s">
        <v>4223</v>
      </c>
      <c r="E497" s="8" t="s">
        <v>86</v>
      </c>
      <c r="F497" s="8" t="s">
        <v>60</v>
      </c>
      <c r="H497" s="8" t="s">
        <v>1605</v>
      </c>
      <c r="I497" s="8" t="s">
        <v>9039</v>
      </c>
      <c r="J497" s="8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s="8" t="s">
        <v>4223</v>
      </c>
      <c r="E498" s="8" t="s">
        <v>86</v>
      </c>
      <c r="F498" s="8" t="s">
        <v>9202</v>
      </c>
      <c r="H498" s="8"/>
      <c r="I498" s="8" t="s">
        <v>9042</v>
      </c>
      <c r="J498" s="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s="8" t="s">
        <v>4223</v>
      </c>
      <c r="E499" s="8" t="s">
        <v>86</v>
      </c>
      <c r="F499" s="8" t="s">
        <v>9202</v>
      </c>
      <c r="H499" s="8" t="s">
        <v>2936</v>
      </c>
      <c r="I499" s="8" t="s">
        <v>9045</v>
      </c>
      <c r="J499" s="8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s="8" t="s">
        <v>4223</v>
      </c>
      <c r="E500" s="8" t="s">
        <v>86</v>
      </c>
      <c r="F500" s="8" t="s">
        <v>9203</v>
      </c>
      <c r="H500" s="8"/>
      <c r="I500" s="8" t="s">
        <v>9048</v>
      </c>
      <c r="J500" s="8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s="8" t="s">
        <v>4223</v>
      </c>
      <c r="E501" s="8" t="s">
        <v>86</v>
      </c>
      <c r="F501" s="8" t="s">
        <v>9203</v>
      </c>
      <c r="H501" s="8"/>
      <c r="I501" s="8" t="s">
        <v>9051</v>
      </c>
      <c r="J501" s="8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s="8" t="s">
        <v>4223</v>
      </c>
      <c r="E502" s="8" t="s">
        <v>86</v>
      </c>
      <c r="F502" s="8" t="s">
        <v>9203</v>
      </c>
      <c r="H502" s="8"/>
      <c r="I502" s="8" t="s">
        <v>9054</v>
      </c>
      <c r="J502" s="8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s="8" t="s">
        <v>4223</v>
      </c>
      <c r="E503" s="8" t="s">
        <v>86</v>
      </c>
      <c r="F503" s="8" t="s">
        <v>9203</v>
      </c>
      <c r="H503" s="8"/>
      <c r="I503" s="8" t="s">
        <v>9057</v>
      </c>
      <c r="J503" s="8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s="8" t="s">
        <v>4223</v>
      </c>
      <c r="E504" s="8" t="s">
        <v>86</v>
      </c>
      <c r="F504" s="8" t="s">
        <v>9203</v>
      </c>
      <c r="H504" s="8"/>
      <c r="I504" s="8" t="s">
        <v>9060</v>
      </c>
      <c r="J504" s="8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s="8" t="s">
        <v>4223</v>
      </c>
      <c r="E505" s="8" t="s">
        <v>86</v>
      </c>
      <c r="F505" s="8" t="s">
        <v>60</v>
      </c>
      <c r="H505" s="8" t="s">
        <v>1605</v>
      </c>
      <c r="I505" s="8" t="s">
        <v>9063</v>
      </c>
      <c r="J505" s="8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s="8" t="s">
        <v>4223</v>
      </c>
      <c r="E506" s="8" t="s">
        <v>86</v>
      </c>
      <c r="F506" s="8" t="s">
        <v>60</v>
      </c>
      <c r="H506" s="8" t="s">
        <v>1605</v>
      </c>
      <c r="I506" s="8" t="s">
        <v>9066</v>
      </c>
      <c r="J506" s="8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s="8" t="s">
        <v>4223</v>
      </c>
      <c r="E507" s="8" t="s">
        <v>86</v>
      </c>
      <c r="F507" s="8" t="s">
        <v>9203</v>
      </c>
      <c r="H507" s="8"/>
      <c r="I507" s="8" t="s">
        <v>9069</v>
      </c>
      <c r="J507" s="8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s="8" t="s">
        <v>533</v>
      </c>
      <c r="E508" s="8" t="s">
        <v>531</v>
      </c>
      <c r="F508" s="8" t="s">
        <v>58</v>
      </c>
      <c r="H508" s="8"/>
      <c r="I508" s="8" t="s">
        <v>9072</v>
      </c>
      <c r="J508" s="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s="8" t="s">
        <v>533</v>
      </c>
      <c r="E509" s="8" t="s">
        <v>531</v>
      </c>
      <c r="F509" s="8" t="s">
        <v>58</v>
      </c>
      <c r="H509" s="8"/>
      <c r="I509" s="8" t="s">
        <v>9075</v>
      </c>
      <c r="J509" s="8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s="8" t="s">
        <v>533</v>
      </c>
      <c r="E510" s="8" t="s">
        <v>531</v>
      </c>
      <c r="F510" s="8" t="s">
        <v>58</v>
      </c>
      <c r="H510" s="8"/>
      <c r="I510" s="8" t="s">
        <v>9078</v>
      </c>
      <c r="J510" s="8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s="8" t="s">
        <v>533</v>
      </c>
      <c r="E511" s="8" t="s">
        <v>531</v>
      </c>
      <c r="F511" s="8" t="s">
        <v>58</v>
      </c>
      <c r="H511" s="8"/>
      <c r="I511" s="8" t="s">
        <v>9081</v>
      </c>
      <c r="J511" s="8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s="8" t="s">
        <v>533</v>
      </c>
      <c r="E512" s="8" t="s">
        <v>531</v>
      </c>
      <c r="F512" s="8" t="s">
        <v>58</v>
      </c>
      <c r="H512" s="8"/>
      <c r="I512" s="8" t="s">
        <v>9084</v>
      </c>
      <c r="J512" s="8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s="8" t="s">
        <v>533</v>
      </c>
      <c r="E513" s="8" t="s">
        <v>531</v>
      </c>
      <c r="F513" s="8" t="s">
        <v>9208</v>
      </c>
      <c r="H513" s="8"/>
      <c r="I513" s="8" t="s">
        <v>9087</v>
      </c>
      <c r="J513" s="8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s="8" t="s">
        <v>533</v>
      </c>
      <c r="E514" s="8" t="s">
        <v>531</v>
      </c>
      <c r="F514" s="8" t="s">
        <v>58</v>
      </c>
      <c r="H514" s="8"/>
      <c r="I514" s="8" t="s">
        <v>9090</v>
      </c>
      <c r="J514" s="8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s="8" t="s">
        <v>533</v>
      </c>
      <c r="E515" s="8" t="s">
        <v>531</v>
      </c>
      <c r="F515" s="8" t="s">
        <v>9202</v>
      </c>
      <c r="H515" s="8"/>
      <c r="I515" s="8" t="s">
        <v>9093</v>
      </c>
      <c r="J515" s="8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s="8" t="s">
        <v>4223</v>
      </c>
      <c r="E516" s="8" t="s">
        <v>86</v>
      </c>
      <c r="F516" s="8" t="s">
        <v>528</v>
      </c>
      <c r="H516" s="8"/>
      <c r="I516" s="8" t="s">
        <v>9096</v>
      </c>
      <c r="J516" s="8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s="8" t="s">
        <v>4223</v>
      </c>
      <c r="E517" s="8" t="s">
        <v>86</v>
      </c>
      <c r="F517" s="8" t="s">
        <v>528</v>
      </c>
      <c r="H517" s="8" t="s">
        <v>2936</v>
      </c>
      <c r="I517" s="8" t="s">
        <v>9099</v>
      </c>
      <c r="J517" s="8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s="8" t="s">
        <v>533</v>
      </c>
      <c r="E518" s="8" t="s">
        <v>531</v>
      </c>
      <c r="F518" s="8" t="s">
        <v>58</v>
      </c>
      <c r="H518" s="8"/>
      <c r="I518" s="8" t="s">
        <v>9102</v>
      </c>
      <c r="J518" s="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s="8" t="s">
        <v>533</v>
      </c>
      <c r="E519" s="8" t="s">
        <v>531</v>
      </c>
      <c r="F519" s="8" t="s">
        <v>58</v>
      </c>
      <c r="H519" s="8"/>
      <c r="I519" s="8" t="s">
        <v>9105</v>
      </c>
      <c r="J519" s="8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s="8" t="s">
        <v>533</v>
      </c>
      <c r="E520" s="8" t="s">
        <v>531</v>
      </c>
      <c r="F520" s="8" t="s">
        <v>9209</v>
      </c>
      <c r="H520" s="8"/>
      <c r="I520" s="8" t="s">
        <v>9108</v>
      </c>
      <c r="J520" s="8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s="8" t="s">
        <v>533</v>
      </c>
      <c r="E521" s="8" t="s">
        <v>531</v>
      </c>
      <c r="F521" s="8" t="s">
        <v>9210</v>
      </c>
      <c r="H521" s="8"/>
      <c r="I521" s="8" t="s">
        <v>9111</v>
      </c>
      <c r="J521" s="8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s="8" t="s">
        <v>8042</v>
      </c>
      <c r="E522" s="8" t="s">
        <v>4193</v>
      </c>
      <c r="F522" s="8"/>
      <c r="H522" s="8"/>
      <c r="I522" s="8" t="s">
        <v>9300</v>
      </c>
      <c r="J522" s="8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s="8" t="s">
        <v>533</v>
      </c>
      <c r="E523" s="8" t="s">
        <v>1607</v>
      </c>
      <c r="F523" s="8" t="s">
        <v>58</v>
      </c>
      <c r="H523" s="8"/>
      <c r="I523" s="8" t="s">
        <v>9303</v>
      </c>
      <c r="J523" s="8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s="8" t="s">
        <v>8042</v>
      </c>
      <c r="E524" s="8" t="s">
        <v>4193</v>
      </c>
      <c r="F524" s="8"/>
      <c r="H524" s="8"/>
      <c r="I524" s="8" t="s">
        <v>9306</v>
      </c>
      <c r="J524" s="8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s="8" t="s">
        <v>4</v>
      </c>
      <c r="E525" s="8" t="s">
        <v>8</v>
      </c>
      <c r="F525" s="8"/>
      <c r="H525" s="8"/>
      <c r="I525" s="8" t="s">
        <v>9309</v>
      </c>
      <c r="J525" s="8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s="8" t="s">
        <v>533</v>
      </c>
      <c r="E526" s="8" t="s">
        <v>1607</v>
      </c>
      <c r="F526" s="8" t="s">
        <v>58</v>
      </c>
      <c r="H526" s="8" t="s">
        <v>9519</v>
      </c>
      <c r="I526" s="8" t="s">
        <v>9486</v>
      </c>
      <c r="J526" s="8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s="8" t="s">
        <v>533</v>
      </c>
      <c r="E527" s="8" t="s">
        <v>1607</v>
      </c>
      <c r="F527" s="8" t="s">
        <v>58</v>
      </c>
      <c r="H527" s="8" t="s">
        <v>9519</v>
      </c>
      <c r="I527" s="8" t="s">
        <v>9489</v>
      </c>
      <c r="J527" s="8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s="8" t="s">
        <v>533</v>
      </c>
      <c r="E528" s="8" t="s">
        <v>1607</v>
      </c>
      <c r="F528" s="8" t="s">
        <v>58</v>
      </c>
      <c r="H528" s="8" t="s">
        <v>2949</v>
      </c>
      <c r="I528" s="8" t="s">
        <v>9492</v>
      </c>
      <c r="J528" s="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s="8" t="s">
        <v>1606</v>
      </c>
      <c r="E529" s="8" t="s">
        <v>9520</v>
      </c>
      <c r="F529" s="8"/>
      <c r="H529" s="8"/>
      <c r="I529" s="8" t="s">
        <v>9495</v>
      </c>
      <c r="J529" s="8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s="8" t="s">
        <v>650</v>
      </c>
      <c r="E530" s="8" t="s">
        <v>9520</v>
      </c>
      <c r="F530" s="8"/>
      <c r="H530" s="8"/>
      <c r="I530" s="8" t="s">
        <v>9498</v>
      </c>
      <c r="J530" s="8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s="8" t="s">
        <v>533</v>
      </c>
      <c r="E531" s="8" t="s">
        <v>1607</v>
      </c>
      <c r="F531" s="8" t="s">
        <v>58</v>
      </c>
      <c r="H531" s="8" t="s">
        <v>9519</v>
      </c>
      <c r="I531" s="8" t="s">
        <v>9501</v>
      </c>
      <c r="J531" s="8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s="8" t="s">
        <v>1606</v>
      </c>
      <c r="E532" s="8" t="s">
        <v>9521</v>
      </c>
      <c r="F532" s="8"/>
      <c r="H532" s="8"/>
      <c r="I532" s="8" t="s">
        <v>9504</v>
      </c>
      <c r="J532" s="8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s="8" t="s">
        <v>289</v>
      </c>
      <c r="E533" s="8" t="s">
        <v>9521</v>
      </c>
      <c r="F533" s="8" t="s">
        <v>2944</v>
      </c>
      <c r="H533" s="8"/>
      <c r="I533" s="8" t="s">
        <v>9507</v>
      </c>
      <c r="J533" s="8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s="8" t="s">
        <v>650</v>
      </c>
      <c r="E534" s="8" t="s">
        <v>9521</v>
      </c>
      <c r="F534" s="8" t="s">
        <v>2944</v>
      </c>
      <c r="H534" s="8"/>
      <c r="I534" s="8" t="s">
        <v>9510</v>
      </c>
      <c r="J534" s="8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s="8" t="s">
        <v>533</v>
      </c>
      <c r="E535" s="8" t="s">
        <v>1607</v>
      </c>
      <c r="F535" s="8" t="s">
        <v>58</v>
      </c>
      <c r="H535" s="8" t="s">
        <v>9519</v>
      </c>
      <c r="I535" s="8" t="s">
        <v>9513</v>
      </c>
      <c r="J535" s="8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s="8" t="s">
        <v>4</v>
      </c>
      <c r="E536" s="8" t="s">
        <v>8</v>
      </c>
      <c r="F536" s="8"/>
      <c r="H536" s="8"/>
      <c r="I536" s="8" t="s">
        <v>9516</v>
      </c>
      <c r="J536" s="8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s="8" t="s">
        <v>4</v>
      </c>
      <c r="E537" s="8" t="s">
        <v>6656</v>
      </c>
      <c r="F537" s="8" t="s">
        <v>9339</v>
      </c>
      <c r="H537" s="8"/>
      <c r="I537" s="8" t="s">
        <v>9657</v>
      </c>
      <c r="J537" s="8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s="8" t="s">
        <v>4</v>
      </c>
      <c r="E538" s="8" t="s">
        <v>6656</v>
      </c>
      <c r="F538" s="8" t="s">
        <v>9339</v>
      </c>
      <c r="H538" s="8"/>
      <c r="I538" s="8" t="s">
        <v>9660</v>
      </c>
      <c r="J538" s="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s="8" t="s">
        <v>533</v>
      </c>
      <c r="E539" s="8" t="s">
        <v>1607</v>
      </c>
      <c r="F539" s="8" t="s">
        <v>58</v>
      </c>
      <c r="H539" s="8"/>
      <c r="I539" s="8" t="s">
        <v>9663</v>
      </c>
      <c r="J539" s="8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s="8" t="s">
        <v>2004</v>
      </c>
      <c r="E540" s="8" t="s">
        <v>8</v>
      </c>
      <c r="F540" s="8"/>
      <c r="H540" s="8"/>
      <c r="I540" s="8" t="s">
        <v>9825</v>
      </c>
      <c r="J540" s="8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s="8" t="s">
        <v>533</v>
      </c>
      <c r="E541" s="8" t="s">
        <v>1607</v>
      </c>
      <c r="F541" s="8" t="s">
        <v>58</v>
      </c>
      <c r="H541" s="8"/>
      <c r="I541" s="8" t="s">
        <v>9828</v>
      </c>
      <c r="J541" s="8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s="8" t="s">
        <v>4223</v>
      </c>
      <c r="E542" s="8" t="s">
        <v>86</v>
      </c>
      <c r="F542" s="8" t="s">
        <v>9202</v>
      </c>
      <c r="H542" s="8"/>
      <c r="I542" s="8" t="s">
        <v>9831</v>
      </c>
      <c r="J542" s="8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s="8" t="s">
        <v>4223</v>
      </c>
      <c r="E543" s="8" t="s">
        <v>86</v>
      </c>
      <c r="F543" s="8" t="s">
        <v>9202</v>
      </c>
      <c r="H543" s="8"/>
      <c r="I543" s="8" t="s">
        <v>9834</v>
      </c>
      <c r="J543" s="8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s="8" t="s">
        <v>4223</v>
      </c>
      <c r="E544" s="8" t="s">
        <v>86</v>
      </c>
      <c r="F544" s="8" t="s">
        <v>9202</v>
      </c>
      <c r="H544" s="8"/>
      <c r="I544" s="8" t="s">
        <v>9837</v>
      </c>
      <c r="J544" s="8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s="8" t="s">
        <v>1606</v>
      </c>
      <c r="E545" s="8" t="s">
        <v>10140</v>
      </c>
      <c r="F545" s="8"/>
      <c r="H545" s="8"/>
      <c r="I545" s="8" t="s">
        <v>10044</v>
      </c>
      <c r="J545" s="8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s="8" t="s">
        <v>650</v>
      </c>
      <c r="E546" s="8" t="s">
        <v>10140</v>
      </c>
      <c r="F546" s="8"/>
      <c r="H546" s="8"/>
      <c r="I546" s="8" t="s">
        <v>10047</v>
      </c>
      <c r="J546" s="8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s="8" t="s">
        <v>159</v>
      </c>
      <c r="E547" s="8" t="s">
        <v>10140</v>
      </c>
      <c r="F547" s="8"/>
      <c r="H547" s="8"/>
      <c r="I547" s="8" t="s">
        <v>10050</v>
      </c>
      <c r="J547" s="8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s="8" t="s">
        <v>533</v>
      </c>
      <c r="E548" s="8" t="s">
        <v>1607</v>
      </c>
      <c r="F548" s="8" t="s">
        <v>58</v>
      </c>
      <c r="H548" s="8"/>
      <c r="I548" s="8" t="s">
        <v>10053</v>
      </c>
      <c r="J548" s="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s="8" t="s">
        <v>10141</v>
      </c>
      <c r="E549" s="8" t="s">
        <v>10140</v>
      </c>
      <c r="F549" s="8"/>
      <c r="H549" s="8"/>
      <c r="I549" s="8" t="s">
        <v>10056</v>
      </c>
      <c r="J549" s="8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s="8" t="s">
        <v>533</v>
      </c>
      <c r="E550" s="8" t="s">
        <v>1607</v>
      </c>
      <c r="F550" s="8" t="s">
        <v>58</v>
      </c>
      <c r="H550" s="8"/>
      <c r="I550" s="8" t="s">
        <v>10059</v>
      </c>
      <c r="J550" s="8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s="8" t="s">
        <v>4223</v>
      </c>
      <c r="E551" s="8" t="s">
        <v>86</v>
      </c>
      <c r="F551" s="8" t="s">
        <v>9202</v>
      </c>
      <c r="H551" s="8"/>
      <c r="I551" s="8" t="s">
        <v>10062</v>
      </c>
      <c r="J551" s="8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s="8" t="s">
        <v>159</v>
      </c>
      <c r="E552" s="8" t="s">
        <v>4193</v>
      </c>
      <c r="F552" s="8"/>
      <c r="H552" s="8"/>
      <c r="I552" s="8" t="s">
        <v>10065</v>
      </c>
      <c r="J552" s="8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s="8" t="s">
        <v>533</v>
      </c>
      <c r="E553" s="8" t="s">
        <v>1607</v>
      </c>
      <c r="F553" s="8" t="s">
        <v>58</v>
      </c>
      <c r="H553" s="8"/>
      <c r="I553" s="8" t="s">
        <v>10068</v>
      </c>
      <c r="J553" s="8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s="8" t="s">
        <v>10142</v>
      </c>
      <c r="E554" s="8" t="s">
        <v>4193</v>
      </c>
      <c r="F554" s="8"/>
      <c r="H554" s="8"/>
      <c r="I554" s="8" t="s">
        <v>10071</v>
      </c>
      <c r="J554" s="8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s="8" t="s">
        <v>533</v>
      </c>
      <c r="E555" s="8" t="s">
        <v>1607</v>
      </c>
      <c r="F555" s="8" t="s">
        <v>58</v>
      </c>
      <c r="H555" s="8"/>
      <c r="I555" s="8" t="s">
        <v>10074</v>
      </c>
      <c r="J555" s="8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s="8" t="s">
        <v>4223</v>
      </c>
      <c r="E556" s="8" t="s">
        <v>86</v>
      </c>
      <c r="F556" s="8" t="s">
        <v>9202</v>
      </c>
      <c r="H556" s="8" t="s">
        <v>4236</v>
      </c>
      <c r="I556" s="8" t="s">
        <v>10077</v>
      </c>
      <c r="J556" s="8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s="8" t="s">
        <v>4223</v>
      </c>
      <c r="E557" s="8" t="s">
        <v>86</v>
      </c>
      <c r="F557" s="8" t="s">
        <v>9202</v>
      </c>
      <c r="H557" s="8" t="s">
        <v>4236</v>
      </c>
      <c r="I557" s="8" t="s">
        <v>10080</v>
      </c>
      <c r="J557" s="8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s="8" t="s">
        <v>533</v>
      </c>
      <c r="E558" s="8" t="s">
        <v>1607</v>
      </c>
      <c r="F558" s="8" t="s">
        <v>53</v>
      </c>
      <c r="H558" s="8"/>
      <c r="I558" s="8" t="s">
        <v>10083</v>
      </c>
      <c r="J558" s="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</sheetData>
  <conditionalFormatting sqref="D559:D569 E559:E572 G2:H558 D2:E558">
    <cfRule type="containsText" dxfId="513" priority="14" operator="containsText" text="Выезд с территории">
      <formula>NOT(ISERROR(SEARCH("Выезд с территории",D2)))</formula>
    </cfRule>
  </conditionalFormatting>
  <conditionalFormatting sqref="F2:F558">
    <cfRule type="notContainsText" dxfId="512" priority="13" operator="notContains" text="порожний">
      <formula>ISERROR(SEARCH("порожний",F2))</formula>
    </cfRule>
  </conditionalFormatting>
  <conditionalFormatting sqref="E2:E572">
    <cfRule type="containsText" dxfId="511" priority="11" operator="containsText" text="Газель базы">
      <formula>NOT(ISERROR(SEARCH("Газель базы",E2)))</formula>
    </cfRule>
    <cfRule type="containsText" dxfId="510" priority="12" operator="containsText" text="Погрузчик базы">
      <formula>NOT(ISERROR(SEARCH("Погрузчик базы",E2)))</formula>
    </cfRule>
  </conditionalFormatting>
  <conditionalFormatting sqref="E2:E572">
    <cfRule type="containsText" dxfId="509" priority="10" operator="containsText" text="Трактор базы">
      <formula>NOT(ISERROR(SEARCH("Трактор базы",E2)))</formula>
    </cfRule>
  </conditionalFormatting>
  <conditionalFormatting sqref="A2:C558">
    <cfRule type="expression" dxfId="508" priority="9">
      <formula>$A2="пн"</formula>
    </cfRule>
  </conditionalFormatting>
  <conditionalFormatting sqref="A2:C560">
    <cfRule type="expression" dxfId="507" priority="3">
      <formula>$A2="вс"</formula>
    </cfRule>
    <cfRule type="expression" dxfId="506" priority="4">
      <formula>$A2="сб"</formula>
    </cfRule>
    <cfRule type="expression" dxfId="505" priority="5">
      <formula>$A2="пт"</formula>
    </cfRule>
    <cfRule type="expression" dxfId="504" priority="6">
      <formula>$A2="чт"</formula>
    </cfRule>
    <cfRule type="expression" dxfId="503" priority="7">
      <formula>$A2="ср"</formula>
    </cfRule>
    <cfRule type="expression" dxfId="502" priority="8">
      <formula>$A2="вт"</formula>
    </cfRule>
  </conditionalFormatting>
  <conditionalFormatting sqref="D2:D569">
    <cfRule type="containsText" dxfId="50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69">
    <cfRule type="containsText" dxfId="50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248"/>
  <sheetViews>
    <sheetView zoomScale="90" zoomScaleNormal="90" workbookViewId="0">
      <pane ySplit="1" topLeftCell="A228" activePane="bottomLeft" state="frozen"/>
      <selection pane="bottomLeft" activeCell="I243" sqref="I243:I24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s="8" t="s">
        <v>290</v>
      </c>
      <c r="E168" s="8" t="s">
        <v>86</v>
      </c>
      <c r="F168" s="8" t="s">
        <v>60</v>
      </c>
      <c r="H168" s="8" t="s">
        <v>5104</v>
      </c>
      <c r="I168" s="8" t="s">
        <v>7538</v>
      </c>
      <c r="J168" s="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s="8" t="s">
        <v>290</v>
      </c>
      <c r="E169" s="8" t="s">
        <v>86</v>
      </c>
      <c r="F169" s="8" t="s">
        <v>60</v>
      </c>
      <c r="H169" s="8" t="s">
        <v>5104</v>
      </c>
      <c r="I169" s="8" t="s">
        <v>7541</v>
      </c>
      <c r="J169" s="8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s="8" t="s">
        <v>290</v>
      </c>
      <c r="E170" s="8" t="s">
        <v>86</v>
      </c>
      <c r="F170" s="8" t="s">
        <v>60</v>
      </c>
      <c r="H170" s="8" t="s">
        <v>5104</v>
      </c>
      <c r="I170" s="8" t="s">
        <v>7544</v>
      </c>
      <c r="J170" s="8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s="8" t="s">
        <v>4</v>
      </c>
      <c r="E171" s="8" t="s">
        <v>8</v>
      </c>
      <c r="F171" s="8"/>
      <c r="H171" s="8"/>
      <c r="I171" s="8" t="s">
        <v>7547</v>
      </c>
      <c r="J171" s="8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s="8" t="s">
        <v>4</v>
      </c>
      <c r="E172" s="8" t="s">
        <v>86</v>
      </c>
      <c r="F172" s="8" t="s">
        <v>7713</v>
      </c>
      <c r="H172" s="8"/>
      <c r="I172" s="8" t="s">
        <v>7550</v>
      </c>
      <c r="J172" s="8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s="8" t="s">
        <v>4</v>
      </c>
      <c r="E173" s="8" t="s">
        <v>86</v>
      </c>
      <c r="F173" s="8" t="s">
        <v>7713</v>
      </c>
      <c r="H173" s="8" t="s">
        <v>2936</v>
      </c>
      <c r="I173" s="8" t="s">
        <v>7553</v>
      </c>
      <c r="J173" s="8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s="8" t="s">
        <v>4</v>
      </c>
      <c r="E174" s="8" t="s">
        <v>86</v>
      </c>
      <c r="F174" s="8" t="s">
        <v>7713</v>
      </c>
      <c r="H174" s="8"/>
      <c r="I174" s="8" t="s">
        <v>7556</v>
      </c>
      <c r="J174" s="8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s="8" t="s">
        <v>4</v>
      </c>
      <c r="E175" s="8" t="s">
        <v>86</v>
      </c>
      <c r="F175" s="8" t="s">
        <v>7714</v>
      </c>
      <c r="H175" s="8"/>
      <c r="I175" s="8" t="s">
        <v>7559</v>
      </c>
      <c r="J175" s="8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s="8" t="s">
        <v>4</v>
      </c>
      <c r="E176" s="8" t="s">
        <v>4193</v>
      </c>
      <c r="F176" s="8" t="s">
        <v>4240</v>
      </c>
      <c r="H176" s="8"/>
      <c r="I176" s="8" t="s">
        <v>7562</v>
      </c>
      <c r="J176" s="8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s="8" t="s">
        <v>650</v>
      </c>
      <c r="E177" s="8" t="s">
        <v>4193</v>
      </c>
      <c r="F177" s="8" t="s">
        <v>4240</v>
      </c>
      <c r="H177" s="8"/>
      <c r="I177" s="8" t="s">
        <v>7565</v>
      </c>
      <c r="J177" s="8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s="8" t="s">
        <v>289</v>
      </c>
      <c r="E178" s="8" t="s">
        <v>86</v>
      </c>
      <c r="F178" s="8" t="s">
        <v>7719</v>
      </c>
      <c r="H178" s="8"/>
      <c r="I178" s="8" t="s">
        <v>7747</v>
      </c>
      <c r="J178" s="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s="8" t="s">
        <v>158</v>
      </c>
      <c r="E179" s="8" t="s">
        <v>86</v>
      </c>
      <c r="F179" s="8" t="s">
        <v>7714</v>
      </c>
      <c r="H179" s="8"/>
      <c r="I179" s="8" t="s">
        <v>7750</v>
      </c>
      <c r="J179" s="8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s="8" t="s">
        <v>1606</v>
      </c>
      <c r="E180" s="8" t="s">
        <v>4193</v>
      </c>
      <c r="F180" s="8" t="s">
        <v>5076</v>
      </c>
      <c r="H180" s="8"/>
      <c r="I180" s="8" t="s">
        <v>7753</v>
      </c>
      <c r="J180" s="8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s="8" t="s">
        <v>1606</v>
      </c>
      <c r="E181" s="8" t="s">
        <v>4193</v>
      </c>
      <c r="F181" s="8" t="s">
        <v>5076</v>
      </c>
      <c r="H181" s="8" t="s">
        <v>2936</v>
      </c>
      <c r="I181" s="8" t="s">
        <v>7756</v>
      </c>
      <c r="J181" s="8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s="8" t="s">
        <v>4223</v>
      </c>
      <c r="E182" s="8" t="s">
        <v>86</v>
      </c>
      <c r="F182" s="8" t="s">
        <v>528</v>
      </c>
      <c r="H182" s="8"/>
      <c r="I182" s="8" t="s">
        <v>7759</v>
      </c>
      <c r="J182" s="8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s="8" t="s">
        <v>4223</v>
      </c>
      <c r="E183" s="8" t="s">
        <v>86</v>
      </c>
      <c r="F183" s="8" t="s">
        <v>528</v>
      </c>
      <c r="H183" s="8" t="s">
        <v>2936</v>
      </c>
      <c r="I183" s="8" t="s">
        <v>7762</v>
      </c>
      <c r="J183" s="8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s="8" t="s">
        <v>7871</v>
      </c>
      <c r="E184" s="8" t="s">
        <v>531</v>
      </c>
      <c r="F184" s="8"/>
      <c r="H184" s="8"/>
      <c r="I184" s="8" t="s">
        <v>7765</v>
      </c>
      <c r="J184" s="8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s="8" t="s">
        <v>650</v>
      </c>
      <c r="E185" s="8" t="s">
        <v>4193</v>
      </c>
      <c r="F185" s="8" t="s">
        <v>5076</v>
      </c>
      <c r="H185" s="8"/>
      <c r="I185" s="8" t="s">
        <v>7768</v>
      </c>
      <c r="J185" s="8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s="8" t="s">
        <v>4223</v>
      </c>
      <c r="E186" s="8" t="s">
        <v>86</v>
      </c>
      <c r="F186" s="8" t="s">
        <v>528</v>
      </c>
      <c r="H186" s="8"/>
      <c r="I186" s="8" t="s">
        <v>7771</v>
      </c>
      <c r="J186" s="8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s="8" t="s">
        <v>4</v>
      </c>
      <c r="E187" s="8" t="s">
        <v>8</v>
      </c>
      <c r="F187" s="8"/>
      <c r="H187" s="8"/>
      <c r="I187" s="8" t="s">
        <v>7774</v>
      </c>
      <c r="J187" s="8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s="8" t="s">
        <v>8042</v>
      </c>
      <c r="E188" s="8" t="s">
        <v>6656</v>
      </c>
      <c r="F188" s="8" t="s">
        <v>5076</v>
      </c>
      <c r="H188" s="8"/>
      <c r="I188" s="8" t="s">
        <v>7962</v>
      </c>
      <c r="J188" s="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s="8" t="s">
        <v>4</v>
      </c>
      <c r="E189" s="8" t="s">
        <v>8045</v>
      </c>
      <c r="F189" s="8"/>
      <c r="H189" s="8"/>
      <c r="I189" s="8" t="s">
        <v>7965</v>
      </c>
      <c r="J189" s="8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s="8" t="s">
        <v>4</v>
      </c>
      <c r="E190" s="8" t="s">
        <v>8</v>
      </c>
      <c r="F190" s="8"/>
      <c r="H190" s="8"/>
      <c r="I190" s="8" t="s">
        <v>7968</v>
      </c>
      <c r="J190" s="8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s="8" t="s">
        <v>290</v>
      </c>
      <c r="E191" s="8" t="s">
        <v>70</v>
      </c>
      <c r="F191" s="8" t="s">
        <v>58</v>
      </c>
      <c r="H191" s="8" t="s">
        <v>8359</v>
      </c>
      <c r="I191" s="8" t="s">
        <v>8159</v>
      </c>
      <c r="J191" s="8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s="8" t="s">
        <v>290</v>
      </c>
      <c r="E192" s="8" t="s">
        <v>70</v>
      </c>
      <c r="F192" s="8" t="s">
        <v>58</v>
      </c>
      <c r="H192" s="8" t="s">
        <v>2936</v>
      </c>
      <c r="I192" s="8" t="s">
        <v>8162</v>
      </c>
      <c r="J192" s="8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s="8" t="s">
        <v>290</v>
      </c>
      <c r="E193" s="8" t="s">
        <v>70</v>
      </c>
      <c r="F193" s="8" t="s">
        <v>58</v>
      </c>
      <c r="H193" s="8" t="s">
        <v>2936</v>
      </c>
      <c r="I193" s="8" t="s">
        <v>8165</v>
      </c>
      <c r="J193" s="8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s="8" t="s">
        <v>290</v>
      </c>
      <c r="E194" s="8" t="s">
        <v>70</v>
      </c>
      <c r="F194" s="8" t="s">
        <v>58</v>
      </c>
      <c r="H194" s="8" t="s">
        <v>2936</v>
      </c>
      <c r="I194" s="8" t="s">
        <v>8168</v>
      </c>
      <c r="J194" s="8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s="8" t="s">
        <v>290</v>
      </c>
      <c r="E195" s="8" t="s">
        <v>70</v>
      </c>
      <c r="F195" s="8" t="s">
        <v>58</v>
      </c>
      <c r="H195" s="8" t="s">
        <v>2936</v>
      </c>
      <c r="I195" s="8" t="s">
        <v>8171</v>
      </c>
      <c r="J195" s="8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s="8" t="s">
        <v>290</v>
      </c>
      <c r="E196" s="8" t="s">
        <v>70</v>
      </c>
      <c r="F196" s="8" t="s">
        <v>58</v>
      </c>
      <c r="H196" s="8" t="s">
        <v>2936</v>
      </c>
      <c r="I196" s="8" t="s">
        <v>8174</v>
      </c>
      <c r="J196" s="8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s="8" t="s">
        <v>650</v>
      </c>
      <c r="E197" s="8" t="s">
        <v>70</v>
      </c>
      <c r="F197" s="8" t="s">
        <v>51</v>
      </c>
      <c r="H197" s="8"/>
      <c r="I197" s="8" t="s">
        <v>8177</v>
      </c>
      <c r="J197" s="8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s="8" t="s">
        <v>650</v>
      </c>
      <c r="E198" s="8" t="s">
        <v>8360</v>
      </c>
      <c r="F198" s="8" t="s">
        <v>1621</v>
      </c>
      <c r="H198" s="8"/>
      <c r="I198" s="8" t="s">
        <v>8180</v>
      </c>
      <c r="J198" s="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s="8" t="s">
        <v>4</v>
      </c>
      <c r="E199" s="8" t="s">
        <v>8045</v>
      </c>
      <c r="F199" s="8"/>
      <c r="H199" s="8"/>
      <c r="I199" s="8" t="s">
        <v>8183</v>
      </c>
      <c r="J199" s="8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s="8" t="s">
        <v>4</v>
      </c>
      <c r="E200" s="8" t="s">
        <v>8045</v>
      </c>
      <c r="F200" s="8"/>
      <c r="H200" s="8"/>
      <c r="I200" s="8" t="s">
        <v>8186</v>
      </c>
      <c r="J200" s="8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s="8" t="s">
        <v>2004</v>
      </c>
      <c r="E201" s="8" t="s">
        <v>8</v>
      </c>
      <c r="F201" s="8"/>
      <c r="H201" s="8"/>
      <c r="I201" s="8" t="s">
        <v>8189</v>
      </c>
      <c r="J201" s="8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s="8" t="s">
        <v>4</v>
      </c>
      <c r="E202" s="8" t="s">
        <v>8045</v>
      </c>
      <c r="F202" s="8"/>
      <c r="H202" s="8"/>
      <c r="I202" s="8" t="s">
        <v>8192</v>
      </c>
      <c r="J202" s="8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s="8" t="s">
        <v>4</v>
      </c>
      <c r="E203" s="8" t="s">
        <v>8045</v>
      </c>
      <c r="F203" s="8"/>
      <c r="H203" s="8"/>
      <c r="I203" s="8" t="s">
        <v>8195</v>
      </c>
      <c r="J203" s="8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s="8" t="s">
        <v>2004</v>
      </c>
      <c r="E204" s="8" t="s">
        <v>8</v>
      </c>
      <c r="F204" s="8"/>
      <c r="H204" s="8"/>
      <c r="I204" s="8" t="s">
        <v>8447</v>
      </c>
      <c r="J204" s="8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s="8" t="s">
        <v>2004</v>
      </c>
      <c r="E205" s="8" t="s">
        <v>8</v>
      </c>
      <c r="F205" s="8"/>
      <c r="H205" s="8"/>
      <c r="I205" s="8" t="s">
        <v>8450</v>
      </c>
      <c r="J205" s="8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s="8" t="s">
        <v>2004</v>
      </c>
      <c r="E206" s="8" t="s">
        <v>8</v>
      </c>
      <c r="F206" s="8"/>
      <c r="H206" s="8"/>
      <c r="I206" s="8" t="s">
        <v>8453</v>
      </c>
      <c r="J206" s="8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s="8" t="s">
        <v>4</v>
      </c>
      <c r="E207" s="8" t="s">
        <v>8045</v>
      </c>
      <c r="F207" s="8"/>
      <c r="H207" s="8"/>
      <c r="I207" s="8" t="s">
        <v>8724</v>
      </c>
      <c r="J207" s="8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s="8" t="s">
        <v>4</v>
      </c>
      <c r="E208" s="8" t="s">
        <v>8045</v>
      </c>
      <c r="F208" s="8"/>
      <c r="H208" s="8"/>
      <c r="I208" s="8" t="s">
        <v>8727</v>
      </c>
      <c r="J208" s="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s="8" t="s">
        <v>4</v>
      </c>
      <c r="E209" s="8" t="s">
        <v>8045</v>
      </c>
      <c r="F209" s="8"/>
      <c r="H209" s="8"/>
      <c r="I209" s="8" t="s">
        <v>8730</v>
      </c>
      <c r="J209" s="8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s="8" t="s">
        <v>4</v>
      </c>
      <c r="E210" s="8" t="s">
        <v>8045</v>
      </c>
      <c r="F210" s="8"/>
      <c r="H210" s="8"/>
      <c r="I210" s="8" t="s">
        <v>8733</v>
      </c>
      <c r="J210" s="8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s="8" t="s">
        <v>4</v>
      </c>
      <c r="E211" s="8" t="s">
        <v>8045</v>
      </c>
      <c r="F211" s="8"/>
      <c r="H211" s="8"/>
      <c r="I211" s="8" t="s">
        <v>8736</v>
      </c>
      <c r="J211" s="8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s="8" t="s">
        <v>4</v>
      </c>
      <c r="E212" s="8" t="s">
        <v>8045</v>
      </c>
      <c r="F212" s="8"/>
      <c r="H212" s="8"/>
      <c r="I212" s="8" t="s">
        <v>8739</v>
      </c>
      <c r="J212" s="8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s="8" t="s">
        <v>4</v>
      </c>
      <c r="E213" s="8" t="s">
        <v>8045</v>
      </c>
      <c r="F213" s="8"/>
      <c r="H213" s="8"/>
      <c r="I213" s="8" t="s">
        <v>8742</v>
      </c>
      <c r="J213" s="8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s="8" t="s">
        <v>2004</v>
      </c>
      <c r="E214" s="8" t="s">
        <v>8</v>
      </c>
      <c r="F214" s="8"/>
      <c r="H214" s="8"/>
      <c r="I214" s="8" t="s">
        <v>8745</v>
      </c>
      <c r="J214" s="8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s="8" t="s">
        <v>4</v>
      </c>
      <c r="E215" s="8" t="s">
        <v>8045</v>
      </c>
      <c r="F215" s="8"/>
      <c r="H215" s="8"/>
      <c r="I215" s="8" t="s">
        <v>8748</v>
      </c>
      <c r="J215" s="8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s="8" t="s">
        <v>4</v>
      </c>
      <c r="E216" s="8" t="s">
        <v>8827</v>
      </c>
      <c r="F216" s="8"/>
      <c r="H216" s="8"/>
      <c r="I216" s="8" t="s">
        <v>8751</v>
      </c>
      <c r="J216" s="8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s="8" t="s">
        <v>2004</v>
      </c>
      <c r="E217" s="8" t="s">
        <v>8</v>
      </c>
      <c r="F217" s="8"/>
      <c r="H217" s="8"/>
      <c r="I217" s="8" t="s">
        <v>8754</v>
      </c>
      <c r="J217" s="8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s="8" t="s">
        <v>7171</v>
      </c>
      <c r="E218" s="8" t="s">
        <v>5480</v>
      </c>
      <c r="F218" s="8" t="s">
        <v>9190</v>
      </c>
      <c r="H218" s="8"/>
      <c r="I218" s="8" t="s">
        <v>9114</v>
      </c>
      <c r="J218" s="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s="8" t="s">
        <v>651</v>
      </c>
      <c r="E219" s="8" t="s">
        <v>5480</v>
      </c>
      <c r="F219" s="8"/>
      <c r="H219" s="8"/>
      <c r="I219" s="8" t="s">
        <v>9117</v>
      </c>
      <c r="J219" s="8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s="8" t="s">
        <v>651</v>
      </c>
      <c r="E220" s="8" t="s">
        <v>5480</v>
      </c>
      <c r="F220" s="8"/>
      <c r="H220" s="8"/>
      <c r="I220" s="8" t="s">
        <v>9120</v>
      </c>
      <c r="J220" s="8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s="8" t="s">
        <v>651</v>
      </c>
      <c r="E221" s="8" t="s">
        <v>5480</v>
      </c>
      <c r="F221" s="8"/>
      <c r="H221" s="8"/>
      <c r="I221" s="8" t="s">
        <v>9123</v>
      </c>
      <c r="J221" s="8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s="8" t="s">
        <v>7171</v>
      </c>
      <c r="E222" s="8" t="s">
        <v>5480</v>
      </c>
      <c r="F222" s="8" t="s">
        <v>9202</v>
      </c>
      <c r="H222" s="8"/>
      <c r="I222" s="8" t="s">
        <v>9126</v>
      </c>
      <c r="J222" s="8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s="8" t="s">
        <v>4</v>
      </c>
      <c r="E223" s="8" t="s">
        <v>8</v>
      </c>
      <c r="F223" s="8"/>
      <c r="H223" s="8"/>
      <c r="I223" s="8" t="s">
        <v>9129</v>
      </c>
      <c r="J223" s="8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s="8" t="s">
        <v>651</v>
      </c>
      <c r="E224" s="8" t="s">
        <v>5480</v>
      </c>
      <c r="F224" s="8"/>
      <c r="H224" s="8"/>
      <c r="I224" s="8" t="s">
        <v>9132</v>
      </c>
      <c r="J224" s="8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s="8" t="s">
        <v>651</v>
      </c>
      <c r="E225" s="8" t="s">
        <v>5480</v>
      </c>
      <c r="F225" s="8"/>
      <c r="H225" s="8"/>
      <c r="I225" s="8" t="s">
        <v>9135</v>
      </c>
      <c r="J225" s="8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s="8" t="s">
        <v>651</v>
      </c>
      <c r="E226" s="8" t="s">
        <v>5480</v>
      </c>
      <c r="F226" s="8"/>
      <c r="H226" s="8"/>
      <c r="I226" s="8" t="s">
        <v>9138</v>
      </c>
      <c r="J226" s="8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s="8" t="s">
        <v>651</v>
      </c>
      <c r="E227" s="8" t="s">
        <v>5480</v>
      </c>
      <c r="F227" s="8"/>
      <c r="H227" s="8"/>
      <c r="I227" s="8" t="s">
        <v>9141</v>
      </c>
      <c r="J227" s="8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s="8" t="s">
        <v>4</v>
      </c>
      <c r="E228" s="8" t="s">
        <v>8</v>
      </c>
      <c r="F228" s="8"/>
      <c r="H228" s="8"/>
      <c r="I228" s="8" t="s">
        <v>9144</v>
      </c>
      <c r="J228" s="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s="8" t="s">
        <v>2004</v>
      </c>
      <c r="E229" s="8" t="s">
        <v>8</v>
      </c>
      <c r="F229" s="8"/>
      <c r="H229" s="8"/>
      <c r="I229" s="8" t="s">
        <v>9312</v>
      </c>
      <c r="J229" s="8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s="8" t="s">
        <v>4</v>
      </c>
      <c r="E230" s="8" t="s">
        <v>8</v>
      </c>
      <c r="F230" s="8"/>
      <c r="H230" s="8"/>
      <c r="I230" s="8" t="s">
        <v>9522</v>
      </c>
      <c r="J230" s="8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s="8" t="s">
        <v>651</v>
      </c>
      <c r="E231" s="8" t="s">
        <v>5480</v>
      </c>
      <c r="F231" s="8"/>
      <c r="H231" s="8"/>
      <c r="I231" s="8" t="s">
        <v>9525</v>
      </c>
      <c r="J231" s="8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s="8" t="s">
        <v>651</v>
      </c>
      <c r="E232" s="8" t="s">
        <v>5480</v>
      </c>
      <c r="F232" s="8"/>
      <c r="H232" s="8"/>
      <c r="I232" s="8" t="s">
        <v>9528</v>
      </c>
      <c r="J232" s="8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s="8" t="s">
        <v>651</v>
      </c>
      <c r="E233" s="8" t="s">
        <v>5480</v>
      </c>
      <c r="F233" s="8"/>
      <c r="H233" s="8"/>
      <c r="I233" s="8" t="s">
        <v>9531</v>
      </c>
      <c r="J233" s="8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s="8" t="s">
        <v>651</v>
      </c>
      <c r="E234" s="8" t="s">
        <v>5480</v>
      </c>
      <c r="F234" s="8"/>
      <c r="H234" s="8"/>
      <c r="I234" s="8" t="s">
        <v>9534</v>
      </c>
      <c r="J234" s="8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s="8" t="s">
        <v>651</v>
      </c>
      <c r="E235" s="8" t="s">
        <v>5480</v>
      </c>
      <c r="F235" s="8"/>
      <c r="H235" s="8"/>
      <c r="I235" s="8" t="s">
        <v>9537</v>
      </c>
      <c r="J235" s="8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s="8" t="s">
        <v>4</v>
      </c>
      <c r="E236" s="8" t="s">
        <v>8</v>
      </c>
      <c r="F236" s="8"/>
      <c r="H236" s="8"/>
      <c r="I236" s="8" t="s">
        <v>9540</v>
      </c>
      <c r="J236" s="8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s="8" t="s">
        <v>2004</v>
      </c>
      <c r="E237" s="8" t="s">
        <v>8</v>
      </c>
      <c r="F237" s="8"/>
      <c r="H237" s="8"/>
      <c r="I237" s="8" t="s">
        <v>9666</v>
      </c>
      <c r="J237" s="8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s="8" t="s">
        <v>2004</v>
      </c>
      <c r="E238" s="8" t="s">
        <v>8</v>
      </c>
      <c r="F238" s="8"/>
      <c r="H238" s="8"/>
      <c r="I238" s="8" t="s">
        <v>9668</v>
      </c>
      <c r="J238" s="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s="8" t="s">
        <v>2004</v>
      </c>
      <c r="E239" s="8" t="s">
        <v>8</v>
      </c>
      <c r="F239" s="8"/>
      <c r="H239" s="8"/>
      <c r="I239" s="8" t="s">
        <v>9840</v>
      </c>
      <c r="J239" s="8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s="8" t="s">
        <v>7171</v>
      </c>
      <c r="E240" s="8" t="s">
        <v>5480</v>
      </c>
      <c r="F240" s="8"/>
      <c r="H240" s="8"/>
      <c r="I240" s="8" t="s">
        <v>9843</v>
      </c>
      <c r="J240" s="8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s="8" t="s">
        <v>7171</v>
      </c>
      <c r="E241" s="8" t="s">
        <v>5480</v>
      </c>
      <c r="F241" s="8"/>
      <c r="H241" s="8" t="s">
        <v>2936</v>
      </c>
      <c r="I241" s="8" t="s">
        <v>9846</v>
      </c>
      <c r="J241" s="8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s="8" t="s">
        <v>7171</v>
      </c>
      <c r="E242" s="8" t="s">
        <v>5480</v>
      </c>
      <c r="F242" s="8" t="s">
        <v>9202</v>
      </c>
      <c r="H242" s="8"/>
      <c r="I242" s="8" t="s">
        <v>9849</v>
      </c>
      <c r="J242" s="8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s="8" t="s">
        <v>4</v>
      </c>
      <c r="E243" s="8" t="s">
        <v>8</v>
      </c>
      <c r="F243" s="8"/>
      <c r="H243" s="8"/>
      <c r="I243" s="8" t="s">
        <v>10086</v>
      </c>
      <c r="J243" s="8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s="8" t="s">
        <v>7171</v>
      </c>
      <c r="E244" s="8" t="s">
        <v>5480</v>
      </c>
      <c r="F244" s="8" t="s">
        <v>9202</v>
      </c>
      <c r="H244" s="8"/>
      <c r="I244" s="8" t="s">
        <v>10089</v>
      </c>
      <c r="J244" s="8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s="8" t="s">
        <v>651</v>
      </c>
      <c r="E245" s="8" t="s">
        <v>5480</v>
      </c>
      <c r="F245" s="8"/>
      <c r="H245" s="8"/>
      <c r="I245" s="8" t="s">
        <v>10092</v>
      </c>
      <c r="J245" s="8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s="8" t="s">
        <v>651</v>
      </c>
      <c r="E246" s="8" t="s">
        <v>5480</v>
      </c>
      <c r="F246" s="8"/>
      <c r="H246" s="8"/>
      <c r="I246" s="8" t="s">
        <v>10095</v>
      </c>
      <c r="J246" s="8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s="8" t="s">
        <v>651</v>
      </c>
      <c r="E247" s="8" t="s">
        <v>5480</v>
      </c>
      <c r="F247" s="8"/>
      <c r="H247" s="8"/>
      <c r="I247" s="8" t="s">
        <v>10098</v>
      </c>
      <c r="J247" s="8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s="8" t="s">
        <v>651</v>
      </c>
      <c r="E248" s="8" t="s">
        <v>5480</v>
      </c>
      <c r="F248" s="8"/>
      <c r="H248" s="8"/>
      <c r="I248" s="8" t="s">
        <v>10101</v>
      </c>
      <c r="J248" s="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</sheetData>
  <conditionalFormatting sqref="D249:D259 E249:E262 G2:H248 D2:E248">
    <cfRule type="containsText" dxfId="499" priority="14" operator="containsText" text="Выезд с территории">
      <formula>NOT(ISERROR(SEARCH("Выезд с территории",D2)))</formula>
    </cfRule>
  </conditionalFormatting>
  <conditionalFormatting sqref="F2:F248">
    <cfRule type="notContainsText" dxfId="498" priority="13" operator="notContains" text="порожний">
      <formula>ISERROR(SEARCH("порожний",F2))</formula>
    </cfRule>
  </conditionalFormatting>
  <conditionalFormatting sqref="E2:E262">
    <cfRule type="containsText" dxfId="497" priority="11" operator="containsText" text="Газель базы">
      <formula>NOT(ISERROR(SEARCH("Газель базы",E2)))</formula>
    </cfRule>
    <cfRule type="containsText" dxfId="496" priority="12" operator="containsText" text="Погрузчик базы">
      <formula>NOT(ISERROR(SEARCH("Погрузчик базы",E2)))</formula>
    </cfRule>
  </conditionalFormatting>
  <conditionalFormatting sqref="E2:E262">
    <cfRule type="containsText" dxfId="495" priority="10" operator="containsText" text="Трактор базы">
      <formula>NOT(ISERROR(SEARCH("Трактор базы",E2)))</formula>
    </cfRule>
  </conditionalFormatting>
  <conditionalFormatting sqref="A2:C248">
    <cfRule type="expression" dxfId="494" priority="9">
      <formula>$A2="пн"</formula>
    </cfRule>
  </conditionalFormatting>
  <conditionalFormatting sqref="A2:C250">
    <cfRule type="expression" dxfId="493" priority="3">
      <formula>$A2="вс"</formula>
    </cfRule>
    <cfRule type="expression" dxfId="492" priority="4">
      <formula>$A2="сб"</formula>
    </cfRule>
    <cfRule type="expression" dxfId="491" priority="5">
      <formula>$A2="пт"</formula>
    </cfRule>
    <cfRule type="expression" dxfId="490" priority="6">
      <formula>$A2="чт"</formula>
    </cfRule>
    <cfRule type="expression" dxfId="489" priority="7">
      <formula>$A2="ср"</formula>
    </cfRule>
    <cfRule type="expression" dxfId="488" priority="8">
      <formula>$A2="вт"</formula>
    </cfRule>
  </conditionalFormatting>
  <conditionalFormatting sqref="D2:D259">
    <cfRule type="containsText" dxfId="48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9">
    <cfRule type="containsText" dxfId="48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62"/>
  <sheetViews>
    <sheetView zoomScale="90" zoomScaleNormal="90" workbookViewId="0">
      <pane ySplit="1" topLeftCell="A143" activePane="bottomLeft" state="frozen"/>
      <selection pane="bottomLeft" activeCell="I160" sqref="I160:I16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7109375" bestFit="1" customWidth="1"/>
    <col min="5" max="5" width="25.285156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8" t="s">
        <v>4</v>
      </c>
      <c r="E112" s="8" t="s">
        <v>7715</v>
      </c>
      <c r="F112" s="8"/>
      <c r="H112" s="8"/>
      <c r="I112" s="8" t="s">
        <v>7583</v>
      </c>
      <c r="J112" s="8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8" t="s">
        <v>4</v>
      </c>
      <c r="E113" s="8" t="s">
        <v>7716</v>
      </c>
      <c r="F113" s="8"/>
      <c r="H113" s="8" t="s">
        <v>2936</v>
      </c>
      <c r="I113" s="8" t="s">
        <v>7586</v>
      </c>
      <c r="J113" s="8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8" t="s">
        <v>4</v>
      </c>
      <c r="E114" s="8" t="s">
        <v>8</v>
      </c>
      <c r="F114" s="8"/>
      <c r="H114" s="8" t="s">
        <v>7717</v>
      </c>
      <c r="I114" s="8" t="s">
        <v>7589</v>
      </c>
      <c r="J114" s="8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8" t="s">
        <v>4</v>
      </c>
      <c r="E115" s="8" t="s">
        <v>8</v>
      </c>
      <c r="F115" s="8"/>
      <c r="H115" s="8" t="s">
        <v>3078</v>
      </c>
      <c r="I115" s="8" t="s">
        <v>7592</v>
      </c>
      <c r="J115" s="8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8" t="s">
        <v>4</v>
      </c>
      <c r="E116" s="8" t="s">
        <v>8</v>
      </c>
      <c r="F116" s="8"/>
      <c r="H116" s="8"/>
      <c r="I116" s="8" t="s">
        <v>7777</v>
      </c>
      <c r="J116" s="8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8" t="s">
        <v>4</v>
      </c>
      <c r="E117" s="8" t="s">
        <v>8</v>
      </c>
      <c r="F117" s="8"/>
      <c r="H117" s="8" t="s">
        <v>2936</v>
      </c>
      <c r="I117" s="8" t="s">
        <v>7780</v>
      </c>
      <c r="J117" s="8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8" t="s">
        <v>4</v>
      </c>
      <c r="E118" s="8" t="s">
        <v>8</v>
      </c>
      <c r="F118" s="8"/>
      <c r="H118" s="8" t="s">
        <v>2936</v>
      </c>
      <c r="I118" s="8" t="s">
        <v>7783</v>
      </c>
      <c r="J118" s="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8" t="s">
        <v>4</v>
      </c>
      <c r="E119" s="8" t="s">
        <v>8</v>
      </c>
      <c r="F119" s="8"/>
      <c r="H119" s="8" t="s">
        <v>2936</v>
      </c>
      <c r="I119" s="8" t="s">
        <v>7786</v>
      </c>
      <c r="J119" s="8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8" t="s">
        <v>4</v>
      </c>
      <c r="E120" s="8" t="s">
        <v>8</v>
      </c>
      <c r="F120" s="8"/>
      <c r="H120" s="8" t="s">
        <v>2936</v>
      </c>
      <c r="I120" s="8" t="s">
        <v>7789</v>
      </c>
      <c r="J120" s="8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8" t="s">
        <v>4</v>
      </c>
      <c r="E121" s="8" t="s">
        <v>8</v>
      </c>
      <c r="F121" s="8"/>
      <c r="H121" s="8"/>
      <c r="I121" s="8" t="s">
        <v>7971</v>
      </c>
      <c r="J121" s="8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8" t="s">
        <v>4</v>
      </c>
      <c r="E122" s="8" t="s">
        <v>12</v>
      </c>
      <c r="F122" s="8"/>
      <c r="H122" s="8"/>
      <c r="I122" s="8" t="s">
        <v>7974</v>
      </c>
      <c r="J122" s="8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8" t="s">
        <v>4</v>
      </c>
      <c r="E123" s="8" t="s">
        <v>8</v>
      </c>
      <c r="F123" s="8"/>
      <c r="H123" s="8"/>
      <c r="I123" s="8" t="s">
        <v>7977</v>
      </c>
      <c r="J123" s="8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8" t="s">
        <v>4</v>
      </c>
      <c r="E124" s="8" t="s">
        <v>12</v>
      </c>
      <c r="F124" s="8"/>
      <c r="H124" s="8"/>
      <c r="I124" s="8" t="s">
        <v>7980</v>
      </c>
      <c r="J124" s="8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8" t="s">
        <v>2004</v>
      </c>
      <c r="E125" s="8" t="s">
        <v>8</v>
      </c>
      <c r="F125" s="8"/>
      <c r="H125" s="8"/>
      <c r="I125" s="8" t="s">
        <v>8315</v>
      </c>
      <c r="J125" s="8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8" t="s">
        <v>2004</v>
      </c>
      <c r="E126" s="8" t="s">
        <v>8</v>
      </c>
      <c r="F126" s="8"/>
      <c r="H126" s="8"/>
      <c r="I126" s="8" t="s">
        <v>8318</v>
      </c>
      <c r="J126" s="8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8" t="s">
        <v>2004</v>
      </c>
      <c r="E127" s="8" t="s">
        <v>8</v>
      </c>
      <c r="F127" s="8"/>
      <c r="H127" s="8"/>
      <c r="I127" s="8" t="s">
        <v>8321</v>
      </c>
      <c r="J127" s="8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8" t="s">
        <v>2004</v>
      </c>
      <c r="E128" s="8" t="s">
        <v>8</v>
      </c>
      <c r="F128" s="8"/>
      <c r="H128" s="8"/>
      <c r="I128" s="8" t="s">
        <v>8324</v>
      </c>
      <c r="J128" s="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8" t="s">
        <v>2004</v>
      </c>
      <c r="E129" s="8" t="s">
        <v>8</v>
      </c>
      <c r="F129" s="8"/>
      <c r="H129" s="8"/>
      <c r="I129" s="8" t="s">
        <v>8327</v>
      </c>
      <c r="J129" s="8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8" t="s">
        <v>2004</v>
      </c>
      <c r="E130" s="8" t="s">
        <v>8</v>
      </c>
      <c r="F130" s="8"/>
      <c r="H130" s="8"/>
      <c r="I130" s="8" t="s">
        <v>8456</v>
      </c>
      <c r="J130" s="8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8" t="s">
        <v>2004</v>
      </c>
      <c r="E131" s="8" t="s">
        <v>8</v>
      </c>
      <c r="F131" s="8"/>
      <c r="H131" s="8"/>
      <c r="I131" s="8" t="s">
        <v>8459</v>
      </c>
      <c r="J131" s="8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8" t="s">
        <v>2004</v>
      </c>
      <c r="E132" s="8" t="s">
        <v>8</v>
      </c>
      <c r="F132" s="8"/>
      <c r="H132" s="8"/>
      <c r="I132" s="8" t="s">
        <v>8462</v>
      </c>
      <c r="J132" s="8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8" t="s">
        <v>2004</v>
      </c>
      <c r="E133" s="8" t="s">
        <v>8</v>
      </c>
      <c r="F133" s="8"/>
      <c r="H133" s="8"/>
      <c r="I133" s="8" t="s">
        <v>8757</v>
      </c>
      <c r="J133" s="8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8" t="s">
        <v>2004</v>
      </c>
      <c r="E134" s="8" t="s">
        <v>8</v>
      </c>
      <c r="F134" s="8"/>
      <c r="H134" s="8"/>
      <c r="I134" s="8" t="s">
        <v>8760</v>
      </c>
      <c r="J134" s="8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8" t="s">
        <v>2004</v>
      </c>
      <c r="E135" s="8" t="s">
        <v>8</v>
      </c>
      <c r="F135" s="8"/>
      <c r="H135" s="8"/>
      <c r="I135" s="8" t="s">
        <v>8763</v>
      </c>
      <c r="J135" s="8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8" t="s">
        <v>2004</v>
      </c>
      <c r="E136" s="8" t="s">
        <v>8</v>
      </c>
      <c r="F136" s="8"/>
      <c r="H136" s="8"/>
      <c r="I136" s="8" t="s">
        <v>8766</v>
      </c>
      <c r="J136" s="8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8" t="s">
        <v>2004</v>
      </c>
      <c r="E137" s="8" t="s">
        <v>8</v>
      </c>
      <c r="F137" s="8"/>
      <c r="H137" s="8"/>
      <c r="I137" s="8" t="s">
        <v>8769</v>
      </c>
      <c r="J137" s="8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8" t="s">
        <v>2004</v>
      </c>
      <c r="E138" s="8" t="s">
        <v>8</v>
      </c>
      <c r="F138" s="8"/>
      <c r="H138" s="8"/>
      <c r="I138" s="8" t="s">
        <v>8772</v>
      </c>
      <c r="J138" s="8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8" t="s">
        <v>2004</v>
      </c>
      <c r="E139" s="8" t="s">
        <v>8</v>
      </c>
      <c r="F139" s="8"/>
      <c r="H139" s="8"/>
      <c r="I139" s="8" t="s">
        <v>8775</v>
      </c>
      <c r="J139" s="8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8" t="s">
        <v>4</v>
      </c>
      <c r="E140" s="8" t="s">
        <v>5480</v>
      </c>
      <c r="F140" s="8" t="s">
        <v>9190</v>
      </c>
      <c r="H140" s="8"/>
      <c r="I140" s="8" t="s">
        <v>9147</v>
      </c>
      <c r="J140" s="8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8" t="s">
        <v>4</v>
      </c>
      <c r="E141" s="8" t="s">
        <v>8</v>
      </c>
      <c r="F141" s="8"/>
      <c r="H141" s="8"/>
      <c r="I141" s="8" t="s">
        <v>9150</v>
      </c>
      <c r="J141" s="8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8" t="s">
        <v>4</v>
      </c>
      <c r="E142" s="8" t="s">
        <v>12</v>
      </c>
      <c r="F142" s="8"/>
      <c r="H142" s="8"/>
      <c r="I142" s="8" t="s">
        <v>9153</v>
      </c>
      <c r="J142" s="8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8" t="s">
        <v>4</v>
      </c>
      <c r="E143" s="8" t="s">
        <v>9211</v>
      </c>
      <c r="F143" s="8"/>
      <c r="H143" s="8"/>
      <c r="I143" s="8" t="s">
        <v>9156</v>
      </c>
      <c r="J143" s="8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8" t="s">
        <v>4</v>
      </c>
      <c r="E144" s="8" t="s">
        <v>8</v>
      </c>
      <c r="F144" s="8"/>
      <c r="H144" s="8"/>
      <c r="I144" s="8" t="s">
        <v>9159</v>
      </c>
      <c r="J144" s="8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8" t="s">
        <v>4</v>
      </c>
      <c r="E145" s="8" t="s">
        <v>12</v>
      </c>
      <c r="F145" s="8"/>
      <c r="H145" s="8"/>
      <c r="I145" s="8" t="s">
        <v>9162</v>
      </c>
      <c r="J145" s="8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8" t="s">
        <v>4</v>
      </c>
      <c r="E146" s="8" t="s">
        <v>12</v>
      </c>
      <c r="F146" s="8"/>
      <c r="H146" s="8"/>
      <c r="I146" s="8" t="s">
        <v>9165</v>
      </c>
      <c r="J146" s="8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8" t="s">
        <v>4</v>
      </c>
      <c r="E147" s="8" t="s">
        <v>8</v>
      </c>
      <c r="F147" s="8"/>
      <c r="H147" s="8"/>
      <c r="I147" s="8" t="s">
        <v>9315</v>
      </c>
      <c r="J147" s="8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8" t="s">
        <v>4</v>
      </c>
      <c r="E148" s="8" t="s">
        <v>12</v>
      </c>
      <c r="F148" s="8"/>
      <c r="H148" s="8"/>
      <c r="I148" s="8" t="s">
        <v>9318</v>
      </c>
      <c r="J148" s="8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8" t="s">
        <v>4</v>
      </c>
      <c r="E149" s="8" t="s">
        <v>8</v>
      </c>
      <c r="F149" s="8"/>
      <c r="H149" s="8"/>
      <c r="I149" s="8" t="s">
        <v>9321</v>
      </c>
      <c r="J149" s="8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8" t="s">
        <v>4</v>
      </c>
      <c r="E150" s="8" t="s">
        <v>12</v>
      </c>
      <c r="F150" s="8"/>
      <c r="H150" s="8"/>
      <c r="I150" s="8" t="s">
        <v>9543</v>
      </c>
      <c r="J150" s="8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8" t="s">
        <v>4</v>
      </c>
      <c r="E151" s="8" t="s">
        <v>12</v>
      </c>
      <c r="F151" s="8"/>
      <c r="H151" s="8"/>
      <c r="I151" s="8" t="s">
        <v>9546</v>
      </c>
      <c r="J151" s="8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8" t="s">
        <v>2004</v>
      </c>
      <c r="E152" s="8" t="s">
        <v>8</v>
      </c>
      <c r="F152" s="8"/>
      <c r="H152" s="8"/>
      <c r="I152" s="8" t="s">
        <v>9671</v>
      </c>
      <c r="J152" s="8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8" t="s">
        <v>2004</v>
      </c>
      <c r="E153" s="8" t="s">
        <v>8</v>
      </c>
      <c r="F153" s="8"/>
      <c r="H153" s="8"/>
      <c r="I153" s="8" t="s">
        <v>9674</v>
      </c>
      <c r="J153" s="8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s="8" t="s">
        <v>9876</v>
      </c>
      <c r="E154" s="8" t="s">
        <v>9201</v>
      </c>
      <c r="F154" s="8"/>
      <c r="H154" s="8"/>
      <c r="I154" s="8" t="s">
        <v>9852</v>
      </c>
      <c r="J154" s="8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s="8" t="s">
        <v>9876</v>
      </c>
      <c r="E155" s="8" t="s">
        <v>9201</v>
      </c>
      <c r="F155" s="8"/>
      <c r="H155" s="8" t="s">
        <v>2936</v>
      </c>
      <c r="I155" s="8" t="s">
        <v>9855</v>
      </c>
      <c r="J155" s="8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s="8" t="s">
        <v>9876</v>
      </c>
      <c r="E156" s="8" t="s">
        <v>9201</v>
      </c>
      <c r="F156" s="8"/>
      <c r="H156" s="8" t="s">
        <v>2936</v>
      </c>
      <c r="I156" s="8" t="s">
        <v>9858</v>
      </c>
      <c r="J156" s="8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s="8" t="s">
        <v>9914</v>
      </c>
      <c r="E157" s="8" t="s">
        <v>4247</v>
      </c>
      <c r="F157" s="8"/>
      <c r="H157" s="8" t="s">
        <v>2936</v>
      </c>
      <c r="I157" s="8" t="s">
        <v>9861</v>
      </c>
      <c r="J157" s="8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s="8" t="s">
        <v>9876</v>
      </c>
      <c r="E158" s="8" t="s">
        <v>9201</v>
      </c>
      <c r="F158" s="8"/>
      <c r="H158" s="8" t="s">
        <v>2936</v>
      </c>
      <c r="I158" s="8" t="s">
        <v>9864</v>
      </c>
      <c r="J158" s="8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s="8" t="s">
        <v>4</v>
      </c>
      <c r="E159" s="8" t="s">
        <v>8</v>
      </c>
      <c r="F159" s="8"/>
      <c r="H159" s="8"/>
      <c r="I159" s="8" t="s">
        <v>9867</v>
      </c>
      <c r="J159" s="8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s="8" t="s">
        <v>4</v>
      </c>
      <c r="E160" s="8" t="s">
        <v>8</v>
      </c>
      <c r="F160" s="8"/>
      <c r="H160" s="8"/>
      <c r="I160" s="8" t="s">
        <v>10104</v>
      </c>
      <c r="J160" s="8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s="8" t="s">
        <v>9876</v>
      </c>
      <c r="E161" s="8" t="s">
        <v>9201</v>
      </c>
      <c r="F161" s="8"/>
      <c r="H161" s="8"/>
      <c r="I161" s="8" t="s">
        <v>10107</v>
      </c>
      <c r="J161" s="8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s="8" t="s">
        <v>9876</v>
      </c>
      <c r="E162" s="8" t="s">
        <v>9201</v>
      </c>
      <c r="F162" s="8"/>
      <c r="H162" s="8"/>
      <c r="I162" s="8" t="s">
        <v>10110</v>
      </c>
      <c r="J162" s="8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</sheetData>
  <conditionalFormatting sqref="D163:D173 E163:E176 G2:H162 D2:E162">
    <cfRule type="containsText" dxfId="485" priority="14" operator="containsText" text="Выезд с территории">
      <formula>NOT(ISERROR(SEARCH("Выезд с территории",D2)))</formula>
    </cfRule>
  </conditionalFormatting>
  <conditionalFormatting sqref="F2:F162">
    <cfRule type="notContainsText" dxfId="484" priority="13" operator="notContains" text="порожний">
      <formula>ISERROR(SEARCH("порожний",F2))</formula>
    </cfRule>
  </conditionalFormatting>
  <conditionalFormatting sqref="E2:E176">
    <cfRule type="containsText" dxfId="483" priority="11" operator="containsText" text="Газель базы">
      <formula>NOT(ISERROR(SEARCH("Газель базы",E2)))</formula>
    </cfRule>
    <cfRule type="containsText" dxfId="482" priority="12" operator="containsText" text="Погрузчик базы">
      <formula>NOT(ISERROR(SEARCH("Погрузчик базы",E2)))</formula>
    </cfRule>
  </conditionalFormatting>
  <conditionalFormatting sqref="E2:E176">
    <cfRule type="containsText" dxfId="481" priority="10" operator="containsText" text="Трактор базы">
      <formula>NOT(ISERROR(SEARCH("Трактор базы",E2)))</formula>
    </cfRule>
  </conditionalFormatting>
  <conditionalFormatting sqref="A2:C162">
    <cfRule type="expression" dxfId="480" priority="9">
      <formula>$A2="пн"</formula>
    </cfRule>
  </conditionalFormatting>
  <conditionalFormatting sqref="A2:C164">
    <cfRule type="expression" dxfId="479" priority="3">
      <formula>$A2="вс"</formula>
    </cfRule>
    <cfRule type="expression" dxfId="478" priority="4">
      <formula>$A2="сб"</formula>
    </cfRule>
    <cfRule type="expression" dxfId="477" priority="5">
      <formula>$A2="пт"</formula>
    </cfRule>
    <cfRule type="expression" dxfId="476" priority="6">
      <formula>$A2="чт"</formula>
    </cfRule>
    <cfRule type="expression" dxfId="475" priority="7">
      <formula>$A2="ср"</formula>
    </cfRule>
    <cfRule type="expression" dxfId="474" priority="8">
      <formula>$A2="вт"</formula>
    </cfRule>
  </conditionalFormatting>
  <conditionalFormatting sqref="D2:D173">
    <cfRule type="containsText" dxfId="47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3">
    <cfRule type="containsText" dxfId="47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40"/>
  <sheetViews>
    <sheetView tabSelected="1" zoomScale="90" zoomScaleNormal="90" workbookViewId="0">
      <pane ySplit="1" topLeftCell="A122" activePane="bottomLeft" state="frozen"/>
      <selection pane="bottomLeft" activeCell="I138" sqref="I138:I14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8" t="s">
        <v>4223</v>
      </c>
      <c r="E86" s="8" t="s">
        <v>5480</v>
      </c>
      <c r="F86" s="8" t="s">
        <v>60</v>
      </c>
      <c r="H86" s="8"/>
      <c r="I86" s="8" t="s">
        <v>7679</v>
      </c>
      <c r="J86" s="8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8" t="s">
        <v>2004</v>
      </c>
      <c r="E87" s="8" t="s">
        <v>8</v>
      </c>
      <c r="F87" s="8"/>
      <c r="H87" s="8"/>
      <c r="I87" s="8" t="s">
        <v>7682</v>
      </c>
      <c r="J87" s="8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8" t="s">
        <v>4</v>
      </c>
      <c r="E88" s="8" t="s">
        <v>4193</v>
      </c>
      <c r="F88" s="8"/>
      <c r="H88" s="8" t="s">
        <v>7718</v>
      </c>
      <c r="I88" s="8" t="s">
        <v>7685</v>
      </c>
      <c r="J88" s="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8" t="s">
        <v>4223</v>
      </c>
      <c r="E89" s="8" t="s">
        <v>5480</v>
      </c>
      <c r="F89" s="8" t="s">
        <v>7713</v>
      </c>
      <c r="H89" s="8"/>
      <c r="I89" s="8" t="s">
        <v>7688</v>
      </c>
      <c r="J89" s="8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8" t="s">
        <v>4223</v>
      </c>
      <c r="E90" s="8" t="s">
        <v>5480</v>
      </c>
      <c r="F90" s="8" t="s">
        <v>7719</v>
      </c>
      <c r="H90" s="8"/>
      <c r="I90" s="8" t="s">
        <v>7691</v>
      </c>
      <c r="J90" s="8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8" t="s">
        <v>4223</v>
      </c>
      <c r="E91" s="8" t="s">
        <v>5480</v>
      </c>
      <c r="F91" s="8" t="s">
        <v>60</v>
      </c>
      <c r="H91" s="8"/>
      <c r="I91" s="8" t="s">
        <v>7792</v>
      </c>
      <c r="J91" s="8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8" t="s">
        <v>4223</v>
      </c>
      <c r="E92" s="8" t="s">
        <v>5480</v>
      </c>
      <c r="F92" s="8" t="s">
        <v>60</v>
      </c>
      <c r="H92" s="8"/>
      <c r="I92" s="8" t="s">
        <v>7795</v>
      </c>
      <c r="J92" s="8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8" t="s">
        <v>4223</v>
      </c>
      <c r="E93" s="8" t="s">
        <v>5480</v>
      </c>
      <c r="F93" s="8" t="s">
        <v>7719</v>
      </c>
      <c r="H93" s="8"/>
      <c r="I93" s="8" t="s">
        <v>7798</v>
      </c>
      <c r="J93" s="8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8" t="s">
        <v>4</v>
      </c>
      <c r="E94" s="8" t="s">
        <v>4193</v>
      </c>
      <c r="F94" s="8"/>
      <c r="H94" s="8" t="s">
        <v>7718</v>
      </c>
      <c r="I94" s="8" t="s">
        <v>7801</v>
      </c>
      <c r="J94" s="8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8" t="s">
        <v>4</v>
      </c>
      <c r="E95" s="8" t="s">
        <v>8</v>
      </c>
      <c r="F95" s="8"/>
      <c r="H95" s="8" t="s">
        <v>2936</v>
      </c>
      <c r="I95" s="8" t="s">
        <v>7804</v>
      </c>
      <c r="J95" s="8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8" t="s">
        <v>4</v>
      </c>
      <c r="E96" s="8" t="s">
        <v>8</v>
      </c>
      <c r="F96" s="8"/>
      <c r="H96" s="8" t="s">
        <v>2936</v>
      </c>
      <c r="I96" s="8" t="s">
        <v>7807</v>
      </c>
      <c r="J96" s="8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8" t="s">
        <v>4223</v>
      </c>
      <c r="E97" s="8" t="s">
        <v>5480</v>
      </c>
      <c r="F97" s="8" t="s">
        <v>7714</v>
      </c>
      <c r="H97" s="8"/>
      <c r="I97" s="8" t="s">
        <v>7810</v>
      </c>
      <c r="J97" s="8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8" t="s">
        <v>4223</v>
      </c>
      <c r="E98" s="8" t="s">
        <v>5480</v>
      </c>
      <c r="F98" s="8" t="s">
        <v>60</v>
      </c>
      <c r="H98" s="8"/>
      <c r="I98" s="8" t="s">
        <v>7813</v>
      </c>
      <c r="J98" s="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8" t="s">
        <v>4</v>
      </c>
      <c r="E99" s="8" t="s">
        <v>8</v>
      </c>
      <c r="F99" s="8"/>
      <c r="H99" s="8"/>
      <c r="I99" s="8" t="s">
        <v>7816</v>
      </c>
      <c r="J99" s="8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8" t="s">
        <v>4</v>
      </c>
      <c r="E100" s="8" t="s">
        <v>8</v>
      </c>
      <c r="F100" s="8"/>
      <c r="H100" s="8"/>
      <c r="I100" s="8" t="s">
        <v>7983</v>
      </c>
      <c r="J100" s="8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8" t="s">
        <v>4</v>
      </c>
      <c r="E101" s="8" t="s">
        <v>8</v>
      </c>
      <c r="F101" s="8"/>
      <c r="H101" s="8"/>
      <c r="I101" s="8" t="s">
        <v>7986</v>
      </c>
      <c r="J101" s="8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8" t="s">
        <v>4</v>
      </c>
      <c r="E102" s="8" t="s">
        <v>8</v>
      </c>
      <c r="F102" s="8"/>
      <c r="H102" s="8"/>
      <c r="I102" s="8" t="s">
        <v>7989</v>
      </c>
      <c r="J102" s="8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8" t="s">
        <v>533</v>
      </c>
      <c r="E103" s="8" t="s">
        <v>531</v>
      </c>
      <c r="F103" s="8" t="s">
        <v>8361</v>
      </c>
      <c r="H103" s="8"/>
      <c r="I103" s="8" t="s">
        <v>8273</v>
      </c>
      <c r="J103" s="8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8" t="s">
        <v>2004</v>
      </c>
      <c r="E104" s="8" t="s">
        <v>8</v>
      </c>
      <c r="F104" s="8"/>
      <c r="H104" s="8"/>
      <c r="I104" s="8" t="s">
        <v>8276</v>
      </c>
      <c r="J104" s="8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8" t="s">
        <v>2004</v>
      </c>
      <c r="E105" s="8" t="s">
        <v>8</v>
      </c>
      <c r="F105" s="8"/>
      <c r="H105" s="8"/>
      <c r="I105" s="8" t="s">
        <v>8279</v>
      </c>
      <c r="J105" s="8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8" t="s">
        <v>2004</v>
      </c>
      <c r="E106" s="8" t="s">
        <v>8</v>
      </c>
      <c r="F106" s="8"/>
      <c r="H106" s="8"/>
      <c r="I106" s="8" t="s">
        <v>8282</v>
      </c>
      <c r="J106" s="8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8" t="s">
        <v>2004</v>
      </c>
      <c r="E107" s="8" t="s">
        <v>8</v>
      </c>
      <c r="F107" s="8"/>
      <c r="H107" s="8"/>
      <c r="I107" s="8" t="s">
        <v>8465</v>
      </c>
      <c r="J107" s="8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8" t="s">
        <v>2004</v>
      </c>
      <c r="E108" s="8" t="s">
        <v>8</v>
      </c>
      <c r="F108" s="8"/>
      <c r="H108" s="8"/>
      <c r="I108" s="8" t="s">
        <v>8468</v>
      </c>
      <c r="J108" s="8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8" t="s">
        <v>2004</v>
      </c>
      <c r="E109" s="8" t="s">
        <v>8</v>
      </c>
      <c r="F109" s="8"/>
      <c r="H109" s="8"/>
      <c r="I109" s="8" t="s">
        <v>8471</v>
      </c>
      <c r="J109" s="8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8" t="s">
        <v>2004</v>
      </c>
      <c r="E110" s="8" t="s">
        <v>8</v>
      </c>
      <c r="F110" s="8"/>
      <c r="H110" s="8"/>
      <c r="I110" s="8" t="s">
        <v>8778</v>
      </c>
      <c r="J110" s="8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8" t="s">
        <v>2004</v>
      </c>
      <c r="E111" s="8" t="s">
        <v>8</v>
      </c>
      <c r="F111" s="8"/>
      <c r="H111" s="8"/>
      <c r="I111" s="8" t="s">
        <v>8781</v>
      </c>
      <c r="J111" s="8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8" t="s">
        <v>2004</v>
      </c>
      <c r="E112" s="8" t="s">
        <v>8</v>
      </c>
      <c r="F112" s="8"/>
      <c r="H112" s="8"/>
      <c r="I112" s="8" t="s">
        <v>8784</v>
      </c>
      <c r="J112" s="8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8" t="s">
        <v>2004</v>
      </c>
      <c r="E113" s="8" t="s">
        <v>8</v>
      </c>
      <c r="F113" s="8"/>
      <c r="H113" s="8"/>
      <c r="I113" s="8" t="s">
        <v>8787</v>
      </c>
      <c r="J113" s="8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8" t="s">
        <v>2004</v>
      </c>
      <c r="E114" s="8" t="s">
        <v>8</v>
      </c>
      <c r="F114" s="8"/>
      <c r="H114" s="8"/>
      <c r="I114" s="8" t="s">
        <v>8790</v>
      </c>
      <c r="J114" s="8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8" t="s">
        <v>2004</v>
      </c>
      <c r="E115" s="8" t="s">
        <v>8</v>
      </c>
      <c r="F115" s="8"/>
      <c r="H115" s="8"/>
      <c r="I115" s="8" t="s">
        <v>8793</v>
      </c>
      <c r="J115" s="8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8" t="s">
        <v>2004</v>
      </c>
      <c r="E116" s="8" t="s">
        <v>8</v>
      </c>
      <c r="F116" s="8"/>
      <c r="H116" s="8"/>
      <c r="I116" s="8" t="s">
        <v>8796</v>
      </c>
      <c r="J116" s="8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8" t="s">
        <v>4</v>
      </c>
      <c r="E117" s="8" t="s">
        <v>8045</v>
      </c>
      <c r="F117" s="8"/>
      <c r="H117" s="8"/>
      <c r="I117" s="8" t="s">
        <v>9168</v>
      </c>
      <c r="J117" s="8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8" t="s">
        <v>7171</v>
      </c>
      <c r="E118" s="8" t="s">
        <v>5480</v>
      </c>
      <c r="F118" s="8" t="s">
        <v>9202</v>
      </c>
      <c r="H118" s="8"/>
      <c r="I118" s="8" t="s">
        <v>9171</v>
      </c>
      <c r="J118" s="8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8" t="s">
        <v>4</v>
      </c>
      <c r="E119" s="8" t="s">
        <v>8</v>
      </c>
      <c r="F119" s="8"/>
      <c r="H119" s="8"/>
      <c r="I119" s="8" t="s">
        <v>9174</v>
      </c>
      <c r="J119" s="8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8" t="s">
        <v>4</v>
      </c>
      <c r="E120" s="8" t="s">
        <v>9212</v>
      </c>
      <c r="F120" s="8"/>
      <c r="H120" s="8"/>
      <c r="I120" s="8" t="s">
        <v>9177</v>
      </c>
      <c r="J120" s="8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8" t="s">
        <v>4</v>
      </c>
      <c r="E121" s="8" t="s">
        <v>9212</v>
      </c>
      <c r="F121" s="8"/>
      <c r="H121" s="8"/>
      <c r="I121" s="8" t="s">
        <v>9180</v>
      </c>
      <c r="J121" s="8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8" t="s">
        <v>4</v>
      </c>
      <c r="E122" s="8" t="s">
        <v>8</v>
      </c>
      <c r="F122" s="8"/>
      <c r="H122" s="8"/>
      <c r="I122" s="8" t="s">
        <v>9183</v>
      </c>
      <c r="J122" s="8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8" t="s">
        <v>4</v>
      </c>
      <c r="E123" s="8" t="s">
        <v>8045</v>
      </c>
      <c r="F123" s="8"/>
      <c r="H123" s="8"/>
      <c r="I123" s="8" t="s">
        <v>9324</v>
      </c>
      <c r="J123" s="8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8" t="s">
        <v>4</v>
      </c>
      <c r="E124" s="8" t="s">
        <v>8045</v>
      </c>
      <c r="F124" s="8"/>
      <c r="H124" s="8"/>
      <c r="I124" s="8" t="s">
        <v>9327</v>
      </c>
      <c r="J124" s="8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8" t="s">
        <v>4</v>
      </c>
      <c r="E125" s="8" t="s">
        <v>8045</v>
      </c>
      <c r="F125" s="8"/>
      <c r="H125" s="8"/>
      <c r="I125" s="8" t="s">
        <v>9330</v>
      </c>
      <c r="J125" s="8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8" t="s">
        <v>4</v>
      </c>
      <c r="E126" s="8" t="s">
        <v>8</v>
      </c>
      <c r="F126" s="8"/>
      <c r="H126" s="8"/>
      <c r="I126" s="8" t="s">
        <v>9333</v>
      </c>
      <c r="J126" s="8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8" t="s">
        <v>4</v>
      </c>
      <c r="E127" s="8" t="s">
        <v>8</v>
      </c>
      <c r="F127" s="8"/>
      <c r="H127" s="8"/>
      <c r="I127" s="8" t="s">
        <v>9549</v>
      </c>
      <c r="J127" s="8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8" t="s">
        <v>4</v>
      </c>
      <c r="E128" s="8" t="s">
        <v>8</v>
      </c>
      <c r="F128" s="8"/>
      <c r="H128" s="8"/>
      <c r="I128" s="8" t="s">
        <v>9552</v>
      </c>
      <c r="J128" s="8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8" t="s">
        <v>4</v>
      </c>
      <c r="E129" s="8" t="s">
        <v>9212</v>
      </c>
      <c r="F129" s="8"/>
      <c r="H129" s="8"/>
      <c r="I129" s="8" t="s">
        <v>9555</v>
      </c>
      <c r="J129" s="8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8" t="s">
        <v>4</v>
      </c>
      <c r="E130" s="8" t="s">
        <v>9212</v>
      </c>
      <c r="F130" s="8"/>
      <c r="H130" s="8"/>
      <c r="I130" s="8" t="s">
        <v>9558</v>
      </c>
      <c r="J130" s="8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8" t="s">
        <v>4</v>
      </c>
      <c r="E131" s="8" t="s">
        <v>9212</v>
      </c>
      <c r="F131" s="8"/>
      <c r="H131" s="8"/>
      <c r="I131" s="8" t="s">
        <v>9561</v>
      </c>
      <c r="J131" s="8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8" t="s">
        <v>4</v>
      </c>
      <c r="E132" s="8" t="s">
        <v>9212</v>
      </c>
      <c r="F132" s="8"/>
      <c r="H132" s="8"/>
      <c r="I132" s="8" t="s">
        <v>9564</v>
      </c>
      <c r="J132" s="8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8" t="s">
        <v>4</v>
      </c>
      <c r="E133" s="8" t="s">
        <v>8</v>
      </c>
      <c r="F133" s="8"/>
      <c r="H133" s="8"/>
      <c r="I133" s="8" t="s">
        <v>9567</v>
      </c>
      <c r="J133" s="8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8" t="s">
        <v>2004</v>
      </c>
      <c r="E134" s="8" t="s">
        <v>8</v>
      </c>
      <c r="F134" s="8"/>
      <c r="H134" s="8"/>
      <c r="I134" s="8" t="s">
        <v>9677</v>
      </c>
      <c r="J134" s="8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8" t="s">
        <v>2004</v>
      </c>
      <c r="E135" s="8" t="s">
        <v>8</v>
      </c>
      <c r="F135" s="8"/>
      <c r="H135" s="8"/>
      <c r="I135" s="8" t="s">
        <v>9680</v>
      </c>
      <c r="J135" s="8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s="8" t="s">
        <v>2004</v>
      </c>
      <c r="E136" s="8" t="s">
        <v>8</v>
      </c>
      <c r="F136" s="8"/>
      <c r="H136" s="8"/>
      <c r="I136" s="8" t="s">
        <v>9870</v>
      </c>
      <c r="J136" s="8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s="8" t="s">
        <v>2004</v>
      </c>
      <c r="E137" s="8" t="s">
        <v>8</v>
      </c>
      <c r="F137" s="8"/>
      <c r="H137" s="8"/>
      <c r="I137" s="8" t="s">
        <v>9873</v>
      </c>
      <c r="J137" s="8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s="8" t="s">
        <v>2004</v>
      </c>
      <c r="E138" s="8" t="s">
        <v>8</v>
      </c>
      <c r="F138" s="8"/>
      <c r="H138" s="8"/>
      <c r="I138" s="8" t="s">
        <v>10113</v>
      </c>
      <c r="J138" s="8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s="8" t="s">
        <v>7171</v>
      </c>
      <c r="E139" s="8" t="s">
        <v>5480</v>
      </c>
      <c r="F139" s="8" t="s">
        <v>9202</v>
      </c>
      <c r="H139" s="8"/>
      <c r="I139" s="8" t="s">
        <v>10116</v>
      </c>
      <c r="J139" s="8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s="8" t="s">
        <v>4</v>
      </c>
      <c r="E140" s="8" t="s">
        <v>8</v>
      </c>
      <c r="F140" s="8"/>
      <c r="H140" s="8"/>
      <c r="I140" s="8" t="s">
        <v>10119</v>
      </c>
      <c r="J140" s="8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</sheetData>
  <conditionalFormatting sqref="D141:D151 E141:E154 G2:H140 D2:E140">
    <cfRule type="containsText" dxfId="471" priority="14" operator="containsText" text="Выезд с территории">
      <formula>NOT(ISERROR(SEARCH("Выезд с территории",D2)))</formula>
    </cfRule>
  </conditionalFormatting>
  <conditionalFormatting sqref="F2:F140">
    <cfRule type="notContainsText" dxfId="470" priority="13" operator="notContains" text="порожний">
      <formula>ISERROR(SEARCH("порожний",F2))</formula>
    </cfRule>
  </conditionalFormatting>
  <conditionalFormatting sqref="E2:E154">
    <cfRule type="containsText" dxfId="469" priority="11" operator="containsText" text="Газель базы">
      <formula>NOT(ISERROR(SEARCH("Газель базы",E2)))</formula>
    </cfRule>
    <cfRule type="containsText" dxfId="468" priority="12" operator="containsText" text="Погрузчик базы">
      <formula>NOT(ISERROR(SEARCH("Погрузчик базы",E2)))</formula>
    </cfRule>
  </conditionalFormatting>
  <conditionalFormatting sqref="E2:E154">
    <cfRule type="containsText" dxfId="467" priority="10" operator="containsText" text="Трактор базы">
      <formula>NOT(ISERROR(SEARCH("Трактор базы",E2)))</formula>
    </cfRule>
  </conditionalFormatting>
  <conditionalFormatting sqref="A2:C140">
    <cfRule type="expression" dxfId="466" priority="9">
      <formula>$A2="пн"</formula>
    </cfRule>
  </conditionalFormatting>
  <conditionalFormatting sqref="A2:C142">
    <cfRule type="expression" dxfId="465" priority="3">
      <formula>$A2="вс"</formula>
    </cfRule>
    <cfRule type="expression" dxfId="464" priority="4">
      <formula>$A2="сб"</formula>
    </cfRule>
    <cfRule type="expression" dxfId="463" priority="5">
      <formula>$A2="пт"</formula>
    </cfRule>
    <cfRule type="expression" dxfId="462" priority="6">
      <formula>$A2="чт"</formula>
    </cfRule>
    <cfRule type="expression" dxfId="461" priority="7">
      <formula>$A2="ср"</formula>
    </cfRule>
    <cfRule type="expression" dxfId="460" priority="8">
      <formula>$A2="вт"</formula>
    </cfRule>
  </conditionalFormatting>
  <conditionalFormatting sqref="D2:D151">
    <cfRule type="containsText" dxfId="4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1">
    <cfRule type="containsText" dxfId="4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219"/>
  <sheetViews>
    <sheetView topLeftCell="A3027" zoomScale="90" zoomScaleNormal="90" workbookViewId="0">
      <selection activeCell="A3219" sqref="A3219:B3219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t="s">
        <v>9708</v>
      </c>
      <c r="G3072" t="s">
        <v>1102</v>
      </c>
    </row>
    <row r="3073" spans="1:7" hidden="1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hidden="1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hidden="1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hidden="1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hidden="1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hidden="1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hidden="1" x14ac:dyDescent="0.25">
      <c r="A3145" t="s">
        <v>2004</v>
      </c>
      <c r="F3145" s="8" t="s">
        <v>9927</v>
      </c>
      <c r="G3145" t="s">
        <v>1102</v>
      </c>
    </row>
    <row r="3146" spans="1:7" hidden="1" x14ac:dyDescent="0.25">
      <c r="A3146" t="s">
        <v>91</v>
      </c>
      <c r="B3146" t="s">
        <v>4193</v>
      </c>
      <c r="C3146" t="s">
        <v>5076</v>
      </c>
      <c r="F3146" s="8" t="s">
        <v>9930</v>
      </c>
      <c r="G3146" t="s">
        <v>1102</v>
      </c>
    </row>
    <row r="3147" spans="1:7" hidden="1" x14ac:dyDescent="0.25">
      <c r="A3147" t="s">
        <v>62</v>
      </c>
      <c r="B3147" t="s">
        <v>4193</v>
      </c>
      <c r="C3147" t="s">
        <v>5076</v>
      </c>
      <c r="F3147" s="8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s="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s="8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s="8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s="8" t="s">
        <v>9924</v>
      </c>
      <c r="G3151" t="s">
        <v>1103</v>
      </c>
    </row>
    <row r="3152" spans="1:7" hidden="1" x14ac:dyDescent="0.25">
      <c r="A3152" t="s">
        <v>4</v>
      </c>
      <c r="B3152" t="s">
        <v>8803</v>
      </c>
      <c r="F3152" s="8" t="s">
        <v>9951</v>
      </c>
      <c r="G3152" t="s">
        <v>91</v>
      </c>
    </row>
    <row r="3153" spans="1:7" hidden="1" x14ac:dyDescent="0.25">
      <c r="A3153" t="s">
        <v>4</v>
      </c>
      <c r="B3153" t="s">
        <v>8803</v>
      </c>
      <c r="F3153" s="8" t="s">
        <v>9954</v>
      </c>
      <c r="G3153" t="s">
        <v>91</v>
      </c>
    </row>
    <row r="3154" spans="1:7" hidden="1" x14ac:dyDescent="0.25">
      <c r="A3154" t="s">
        <v>4</v>
      </c>
      <c r="B3154" t="s">
        <v>8803</v>
      </c>
      <c r="F3154" s="8" t="s">
        <v>9957</v>
      </c>
      <c r="G3154" t="s">
        <v>91</v>
      </c>
    </row>
    <row r="3155" spans="1:7" hidden="1" x14ac:dyDescent="0.25">
      <c r="A3155" t="s">
        <v>4</v>
      </c>
      <c r="B3155" t="s">
        <v>8803</v>
      </c>
      <c r="F3155" s="8" t="s">
        <v>10122</v>
      </c>
      <c r="G3155" t="s">
        <v>1104</v>
      </c>
    </row>
    <row r="3156" spans="1:7" hidden="1" x14ac:dyDescent="0.25">
      <c r="A3156" t="s">
        <v>4</v>
      </c>
      <c r="B3156" t="s">
        <v>8803</v>
      </c>
      <c r="F3156" s="8" t="s">
        <v>9960</v>
      </c>
      <c r="G3156" t="s">
        <v>1104</v>
      </c>
    </row>
    <row r="3157" spans="1:7" hidden="1" x14ac:dyDescent="0.25">
      <c r="A3157" t="s">
        <v>4</v>
      </c>
      <c r="B3157" t="s">
        <v>8803</v>
      </c>
      <c r="F3157" s="8" t="s">
        <v>9963</v>
      </c>
      <c r="G3157" t="s">
        <v>1104</v>
      </c>
    </row>
    <row r="3158" spans="1:7" hidden="1" x14ac:dyDescent="0.25">
      <c r="A3158" t="s">
        <v>4</v>
      </c>
      <c r="B3158" t="s">
        <v>8803</v>
      </c>
      <c r="F3158" s="8" t="s">
        <v>9966</v>
      </c>
      <c r="G3158" t="s">
        <v>1104</v>
      </c>
    </row>
    <row r="3159" spans="1:7" hidden="1" x14ac:dyDescent="0.25">
      <c r="A3159" t="s">
        <v>4</v>
      </c>
      <c r="B3159" t="s">
        <v>9876</v>
      </c>
      <c r="F3159" s="8" t="s">
        <v>9936</v>
      </c>
      <c r="G3159" t="s">
        <v>1105</v>
      </c>
    </row>
    <row r="3160" spans="1:7" hidden="1" x14ac:dyDescent="0.25">
      <c r="A3160" t="s">
        <v>4</v>
      </c>
      <c r="B3160" t="s">
        <v>9876</v>
      </c>
      <c r="F3160" s="8" t="s">
        <v>9939</v>
      </c>
      <c r="G3160" t="s">
        <v>1105</v>
      </c>
    </row>
    <row r="3161" spans="1:7" hidden="1" x14ac:dyDescent="0.25">
      <c r="A3161" t="s">
        <v>4</v>
      </c>
      <c r="B3161" t="s">
        <v>9876</v>
      </c>
      <c r="F3161" s="8" t="s">
        <v>9942</v>
      </c>
      <c r="G3161" t="s">
        <v>1105</v>
      </c>
    </row>
    <row r="3162" spans="1:7" hidden="1" x14ac:dyDescent="0.25">
      <c r="A3162" t="s">
        <v>4</v>
      </c>
      <c r="B3162" t="s">
        <v>9876</v>
      </c>
      <c r="F3162" s="8" t="s">
        <v>9945</v>
      </c>
      <c r="G3162" t="s">
        <v>1105</v>
      </c>
    </row>
    <row r="3163" spans="1:7" hidden="1" x14ac:dyDescent="0.25">
      <c r="A3163" t="s">
        <v>4</v>
      </c>
      <c r="B3163" t="s">
        <v>8</v>
      </c>
      <c r="F3163" s="8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s="8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s="8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s="8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s="8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s="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s="8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s="8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s="8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s="8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s="8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s="8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s="8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s="8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s="8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s="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s="8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s="8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s="8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s="8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s="8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s="8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s="8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s="8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s="8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s="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s="8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s="8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s="8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s="8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s="8" t="s">
        <v>10041</v>
      </c>
      <c r="G3193" t="s">
        <v>1100</v>
      </c>
    </row>
    <row r="3194" spans="1:7" hidden="1" x14ac:dyDescent="0.25">
      <c r="A3194" t="s">
        <v>1606</v>
      </c>
      <c r="B3194" t="s">
        <v>10140</v>
      </c>
      <c r="F3194" s="8" t="s">
        <v>10044</v>
      </c>
      <c r="G3194" s="1" t="s">
        <v>1603</v>
      </c>
    </row>
    <row r="3195" spans="1:7" hidden="1" x14ac:dyDescent="0.25">
      <c r="A3195" t="s">
        <v>650</v>
      </c>
      <c r="B3195" t="s">
        <v>10140</v>
      </c>
      <c r="F3195" s="8" t="s">
        <v>10047</v>
      </c>
      <c r="G3195" s="1" t="s">
        <v>1603</v>
      </c>
    </row>
    <row r="3196" spans="1:7" hidden="1" x14ac:dyDescent="0.25">
      <c r="A3196" t="s">
        <v>159</v>
      </c>
      <c r="B3196" t="s">
        <v>10140</v>
      </c>
      <c r="F3196" s="8" t="s">
        <v>10050</v>
      </c>
      <c r="G3196" s="1" t="s">
        <v>1603</v>
      </c>
    </row>
    <row r="3197" spans="1:7" hidden="1" x14ac:dyDescent="0.25">
      <c r="A3197" t="s">
        <v>533</v>
      </c>
      <c r="B3197" t="s">
        <v>1607</v>
      </c>
      <c r="C3197" t="s">
        <v>58</v>
      </c>
      <c r="F3197" s="8" t="s">
        <v>10053</v>
      </c>
      <c r="G3197" s="1" t="s">
        <v>1603</v>
      </c>
    </row>
    <row r="3198" spans="1:7" hidden="1" x14ac:dyDescent="0.25">
      <c r="A3198" t="s">
        <v>10141</v>
      </c>
      <c r="B3198" t="s">
        <v>10140</v>
      </c>
      <c r="F3198" s="8" t="s">
        <v>10056</v>
      </c>
      <c r="G3198" s="1" t="s">
        <v>1603</v>
      </c>
    </row>
    <row r="3199" spans="1:7" hidden="1" x14ac:dyDescent="0.25">
      <c r="A3199" t="s">
        <v>533</v>
      </c>
      <c r="B3199" t="s">
        <v>1607</v>
      </c>
      <c r="C3199" t="s">
        <v>58</v>
      </c>
      <c r="F3199" s="8" t="s">
        <v>10059</v>
      </c>
      <c r="G3199" s="1" t="s">
        <v>1603</v>
      </c>
    </row>
    <row r="3200" spans="1:7" hidden="1" x14ac:dyDescent="0.25">
      <c r="A3200" t="s">
        <v>4223</v>
      </c>
      <c r="B3200" t="s">
        <v>86</v>
      </c>
      <c r="C3200" t="s">
        <v>9202</v>
      </c>
      <c r="F3200" s="8" t="s">
        <v>10062</v>
      </c>
      <c r="G3200" s="1" t="s">
        <v>1603</v>
      </c>
    </row>
    <row r="3201" spans="1:7" hidden="1" x14ac:dyDescent="0.25">
      <c r="A3201" t="s">
        <v>159</v>
      </c>
      <c r="B3201" t="s">
        <v>4193</v>
      </c>
      <c r="F3201" s="8" t="s">
        <v>10065</v>
      </c>
      <c r="G3201" s="1" t="s">
        <v>1603</v>
      </c>
    </row>
    <row r="3202" spans="1:7" hidden="1" x14ac:dyDescent="0.25">
      <c r="A3202" t="s">
        <v>533</v>
      </c>
      <c r="B3202" t="s">
        <v>1607</v>
      </c>
      <c r="C3202" t="s">
        <v>58</v>
      </c>
      <c r="F3202" s="8" t="s">
        <v>10068</v>
      </c>
      <c r="G3202" s="1" t="s">
        <v>1603</v>
      </c>
    </row>
    <row r="3203" spans="1:7" hidden="1" x14ac:dyDescent="0.25">
      <c r="A3203" t="s">
        <v>10142</v>
      </c>
      <c r="B3203" t="s">
        <v>4193</v>
      </c>
      <c r="F3203" s="8" t="s">
        <v>10071</v>
      </c>
      <c r="G3203" s="1" t="s">
        <v>1603</v>
      </c>
    </row>
    <row r="3204" spans="1:7" hidden="1" x14ac:dyDescent="0.25">
      <c r="A3204" t="s">
        <v>533</v>
      </c>
      <c r="B3204" t="s">
        <v>1607</v>
      </c>
      <c r="C3204" t="s">
        <v>58</v>
      </c>
      <c r="F3204" s="8" t="s">
        <v>10074</v>
      </c>
      <c r="G3204" s="1" t="s">
        <v>1603</v>
      </c>
    </row>
    <row r="3205" spans="1:7" hidden="1" x14ac:dyDescent="0.25">
      <c r="A3205" t="s">
        <v>4223</v>
      </c>
      <c r="B3205" t="s">
        <v>86</v>
      </c>
      <c r="C3205" t="s">
        <v>9202</v>
      </c>
      <c r="E3205" t="s">
        <v>4236</v>
      </c>
      <c r="F3205" s="8" t="s">
        <v>10077</v>
      </c>
      <c r="G3205" s="1" t="s">
        <v>1603</v>
      </c>
    </row>
    <row r="3206" spans="1:7" hidden="1" x14ac:dyDescent="0.25">
      <c r="A3206" t="s">
        <v>4223</v>
      </c>
      <c r="B3206" t="s">
        <v>86</v>
      </c>
      <c r="C3206" t="s">
        <v>9202</v>
      </c>
      <c r="E3206" t="s">
        <v>4236</v>
      </c>
      <c r="F3206" s="8" t="s">
        <v>10080</v>
      </c>
      <c r="G3206" s="1" t="s">
        <v>1603</v>
      </c>
    </row>
    <row r="3207" spans="1:7" hidden="1" x14ac:dyDescent="0.25">
      <c r="A3207" t="s">
        <v>533</v>
      </c>
      <c r="B3207" t="s">
        <v>1607</v>
      </c>
      <c r="C3207" t="s">
        <v>53</v>
      </c>
      <c r="F3207" s="8" t="s">
        <v>10083</v>
      </c>
      <c r="G3207" s="1" t="s">
        <v>1603</v>
      </c>
    </row>
    <row r="3208" spans="1:7" hidden="1" x14ac:dyDescent="0.25">
      <c r="A3208" t="s">
        <v>4</v>
      </c>
      <c r="B3208" t="s">
        <v>8</v>
      </c>
      <c r="F3208" s="8" t="s">
        <v>10086</v>
      </c>
      <c r="G3208" t="s">
        <v>1817</v>
      </c>
    </row>
    <row r="3209" spans="1:7" hidden="1" x14ac:dyDescent="0.25">
      <c r="A3209" t="s">
        <v>7171</v>
      </c>
      <c r="B3209" t="s">
        <v>5480</v>
      </c>
      <c r="C3209" t="s">
        <v>9202</v>
      </c>
      <c r="F3209" s="8" t="s">
        <v>10089</v>
      </c>
      <c r="G3209" t="s">
        <v>1817</v>
      </c>
    </row>
    <row r="3210" spans="1:7" hidden="1" x14ac:dyDescent="0.25">
      <c r="A3210" t="s">
        <v>651</v>
      </c>
      <c r="B3210" t="s">
        <v>5480</v>
      </c>
      <c r="F3210" s="8" t="s">
        <v>10092</v>
      </c>
      <c r="G3210" t="s">
        <v>1817</v>
      </c>
    </row>
    <row r="3211" spans="1:7" hidden="1" x14ac:dyDescent="0.25">
      <c r="A3211" t="s">
        <v>651</v>
      </c>
      <c r="B3211" t="s">
        <v>5480</v>
      </c>
      <c r="F3211" s="8" t="s">
        <v>10095</v>
      </c>
      <c r="G3211" t="s">
        <v>1817</v>
      </c>
    </row>
    <row r="3212" spans="1:7" hidden="1" x14ac:dyDescent="0.25">
      <c r="A3212" t="s">
        <v>651</v>
      </c>
      <c r="B3212" t="s">
        <v>5480</v>
      </c>
      <c r="F3212" s="8" t="s">
        <v>10098</v>
      </c>
      <c r="G3212" t="s">
        <v>1817</v>
      </c>
    </row>
    <row r="3213" spans="1:7" hidden="1" x14ac:dyDescent="0.25">
      <c r="A3213" t="s">
        <v>651</v>
      </c>
      <c r="B3213" t="s">
        <v>5480</v>
      </c>
      <c r="F3213" s="8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s="8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s="8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s="8" t="s">
        <v>10110</v>
      </c>
      <c r="G3216" t="s">
        <v>1934</v>
      </c>
    </row>
    <row r="3217" spans="1:7" x14ac:dyDescent="0.25">
      <c r="A3217" t="s">
        <v>2004</v>
      </c>
      <c r="B3217" t="s">
        <v>8</v>
      </c>
      <c r="F3217" s="8" t="s">
        <v>10113</v>
      </c>
      <c r="G3217" t="s">
        <v>1997</v>
      </c>
    </row>
    <row r="3218" spans="1:7" x14ac:dyDescent="0.25">
      <c r="A3218" t="s">
        <v>7171</v>
      </c>
      <c r="B3218" t="s">
        <v>5480</v>
      </c>
      <c r="C3218" t="s">
        <v>9202</v>
      </c>
      <c r="F3218" s="8" t="s">
        <v>10116</v>
      </c>
      <c r="G3218" t="s">
        <v>1997</v>
      </c>
    </row>
    <row r="3219" spans="1:7" x14ac:dyDescent="0.25">
      <c r="A3219" t="s">
        <v>4</v>
      </c>
      <c r="B3219" t="s">
        <v>8</v>
      </c>
      <c r="F3219" s="8" t="s">
        <v>10119</v>
      </c>
      <c r="G3219" t="s">
        <v>1997</v>
      </c>
    </row>
  </sheetData>
  <phoneticPr fontId="2" type="noConversion"/>
  <conditionalFormatting sqref="C2:C11 C14 C16:C18 C23:C24">
    <cfRule type="notContainsText" dxfId="457" priority="453" operator="notContains" text="порожний">
      <formula>ISERROR(SEARCH("порожний",C2))</formula>
    </cfRule>
  </conditionalFormatting>
  <conditionalFormatting sqref="B11 A695 A697:A701 A825 B932">
    <cfRule type="containsText" dxfId="456" priority="452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455" priority="451" operator="notContains" text="порожний">
      <formula>ISERROR(SEARCH("порожний",C12))</formula>
    </cfRule>
  </conditionalFormatting>
  <conditionalFormatting sqref="B12:B14">
    <cfRule type="containsText" dxfId="454" priority="450" operator="containsText" text="Выезд с территории">
      <formula>NOT(ISERROR(SEARCH("Выезд с территории",B12)))</formula>
    </cfRule>
  </conditionalFormatting>
  <conditionalFormatting sqref="C15">
    <cfRule type="notContainsText" dxfId="453" priority="449" operator="notContains" text="порожний">
      <formula>ISERROR(SEARCH("порожний",C15))</formula>
    </cfRule>
  </conditionalFormatting>
  <conditionalFormatting sqref="C19:C22">
    <cfRule type="notContainsText" dxfId="452" priority="448" operator="notContains" text="порожний">
      <formula>ISERROR(SEARCH("порожний",C19))</formula>
    </cfRule>
  </conditionalFormatting>
  <conditionalFormatting sqref="C25">
    <cfRule type="notContainsText" dxfId="451" priority="447" operator="notContains" text="порожний">
      <formula>ISERROR(SEARCH("порожний",C25))</formula>
    </cfRule>
  </conditionalFormatting>
  <conditionalFormatting sqref="C26:C27">
    <cfRule type="notContainsText" dxfId="450" priority="446" operator="notContains" text="порожний">
      <formula>ISERROR(SEARCH("порожний",C26))</formula>
    </cfRule>
  </conditionalFormatting>
  <conditionalFormatting sqref="C29">
    <cfRule type="notContainsText" dxfId="449" priority="445" operator="notContains" text="порожний">
      <formula>ISERROR(SEARCH("порожний",C29))</formula>
    </cfRule>
  </conditionalFormatting>
  <conditionalFormatting sqref="C39">
    <cfRule type="notContainsText" dxfId="448" priority="440" operator="notContains" text="порожний">
      <formula>ISERROR(SEARCH("порожний",C39))</formula>
    </cfRule>
  </conditionalFormatting>
  <conditionalFormatting sqref="C32">
    <cfRule type="notContainsText" dxfId="447" priority="444" operator="notContains" text="порожний">
      <formula>ISERROR(SEARCH("порожний",C32))</formula>
    </cfRule>
  </conditionalFormatting>
  <conditionalFormatting sqref="C34">
    <cfRule type="notContainsText" dxfId="446" priority="443" operator="notContains" text="порожний">
      <formula>ISERROR(SEARCH("порожний",C34))</formula>
    </cfRule>
  </conditionalFormatting>
  <conditionalFormatting sqref="C36">
    <cfRule type="notContainsText" dxfId="445" priority="442" operator="notContains" text="порожний">
      <formula>ISERROR(SEARCH("порожний",C36))</formula>
    </cfRule>
  </conditionalFormatting>
  <conditionalFormatting sqref="C38">
    <cfRule type="notContainsText" dxfId="444" priority="441" operator="notContains" text="порожний">
      <formula>ISERROR(SEARCH("порожний",C38))</formula>
    </cfRule>
  </conditionalFormatting>
  <conditionalFormatting sqref="E147">
    <cfRule type="containsText" dxfId="443" priority="439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442" priority="438" operator="notContains" text="порожний">
      <formula>ISERROR(SEARCH("порожний",C581))</formula>
    </cfRule>
  </conditionalFormatting>
  <conditionalFormatting sqref="C586">
    <cfRule type="notContainsText" dxfId="441" priority="437" operator="notContains" text="порожний">
      <formula>ISERROR(SEARCH("порожний",C586))</formula>
    </cfRule>
  </conditionalFormatting>
  <conditionalFormatting sqref="B609">
    <cfRule type="containsText" dxfId="440" priority="436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439" priority="434" operator="containsText" text="Газель базы">
      <formula>NOT(ISERROR(SEARCH("Газель базы",B609)))</formula>
    </cfRule>
    <cfRule type="containsText" dxfId="438" priority="435" operator="containsText" text="Погрузчик базы">
      <formula>NOT(ISERROR(SEARCH("Погрузчик базы",B609)))</formula>
    </cfRule>
  </conditionalFormatting>
  <conditionalFormatting sqref="B609 B932">
    <cfRule type="containsText" dxfId="437" priority="433" operator="containsText" text="Трактор базы">
      <formula>NOT(ISERROR(SEARCH("Трактор базы",B609)))</formula>
    </cfRule>
  </conditionalFormatting>
  <conditionalFormatting sqref="B614">
    <cfRule type="containsText" dxfId="436" priority="429" operator="containsText" text="Трактор базы">
      <formula>NOT(ISERROR(SEARCH("Трактор базы",B614)))</formula>
    </cfRule>
  </conditionalFormatting>
  <conditionalFormatting sqref="B614">
    <cfRule type="containsText" dxfId="435" priority="432" operator="containsText" text="Выезд с территории">
      <formula>NOT(ISERROR(SEARCH("Выезд с территории",B614)))</formula>
    </cfRule>
  </conditionalFormatting>
  <conditionalFormatting sqref="B614">
    <cfRule type="containsText" dxfId="434" priority="430" operator="containsText" text="Газель базы">
      <formula>NOT(ISERROR(SEARCH("Газель базы",B614)))</formula>
    </cfRule>
    <cfRule type="containsText" dxfId="433" priority="431" operator="containsText" text="Погрузчик базы">
      <formula>NOT(ISERROR(SEARCH("Погрузчик базы",B614)))</formula>
    </cfRule>
  </conditionalFormatting>
  <conditionalFormatting sqref="C649">
    <cfRule type="notContainsText" dxfId="432" priority="428" operator="notContains" text="порожний">
      <formula>ISERROR(SEARCH("порожний",C649))</formula>
    </cfRule>
  </conditionalFormatting>
  <conditionalFormatting sqref="C655">
    <cfRule type="notContainsText" dxfId="431" priority="425" operator="notContains" text="порожний">
      <formula>ISERROR(SEARCH("порожний",C655))</formula>
    </cfRule>
  </conditionalFormatting>
  <conditionalFormatting sqref="C650">
    <cfRule type="notContainsText" dxfId="430" priority="427" operator="notContains" text="порожний">
      <formula>ISERROR(SEARCH("порожний",C650))</formula>
    </cfRule>
  </conditionalFormatting>
  <conditionalFormatting sqref="C654">
    <cfRule type="notContainsText" dxfId="429" priority="426" operator="notContains" text="порожний">
      <formula>ISERROR(SEARCH("порожний",C654))</formula>
    </cfRule>
  </conditionalFormatting>
  <conditionalFormatting sqref="A663:A666 A668:A670 A695 A697:A701 A825">
    <cfRule type="containsText" dxfId="428" priority="422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427" priority="424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426" priority="423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425" priority="419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424" priority="421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423" priority="420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422" priority="409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421" priority="418" operator="containsText" text="Выезд с территории">
      <formula>NOT(ISERROR(SEARCH("Выезд с территории",A681)))</formula>
    </cfRule>
  </conditionalFormatting>
  <conditionalFormatting sqref="A681">
    <cfRule type="containsText" dxfId="420" priority="417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419" priority="416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418" priority="412" operator="containsText" text="Трактор базы">
      <formula>NOT(ISERROR(SEARCH("Трактор базы",B682)))</formula>
    </cfRule>
  </conditionalFormatting>
  <conditionalFormatting sqref="B682">
    <cfRule type="containsText" dxfId="417" priority="415" operator="containsText" text="Выезд с территории">
      <formula>NOT(ISERROR(SEARCH("Выезд с территории",B682)))</formula>
    </cfRule>
  </conditionalFormatting>
  <conditionalFormatting sqref="B682">
    <cfRule type="containsText" dxfId="416" priority="413" operator="containsText" text="Газель базы">
      <formula>NOT(ISERROR(SEARCH("Газель базы",B682)))</formula>
    </cfRule>
    <cfRule type="containsText" dxfId="415" priority="414" operator="containsText" text="Погрузчик базы">
      <formula>NOT(ISERROR(SEARCH("Погрузчик базы",B682)))</formula>
    </cfRule>
  </conditionalFormatting>
  <conditionalFormatting sqref="A684:A687">
    <cfRule type="containsText" dxfId="414" priority="411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413" priority="410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412" priority="400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411" priority="402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410" priority="401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409" priority="397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408" priority="399" operator="containsText" text="Выезд с территории">
      <formula>NOT(ISERROR(SEARCH("Выезд с территории",A824)))</formula>
    </cfRule>
  </conditionalFormatting>
  <conditionalFormatting sqref="A824">
    <cfRule type="containsText" dxfId="407" priority="398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406" priority="393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405" priority="391" operator="containsText" text="Газель базы">
      <formula>NOT(ISERROR(SEARCH("Газель базы",B846)))</formula>
    </cfRule>
    <cfRule type="containsText" dxfId="404" priority="392" operator="containsText" text="Погрузчик базы">
      <formula>NOT(ISERROR(SEARCH("Погрузчик базы",B846)))</formula>
    </cfRule>
  </conditionalFormatting>
  <conditionalFormatting sqref="B846:B850">
    <cfRule type="containsText" dxfId="403" priority="390" operator="containsText" text="Трактор базы">
      <formula>NOT(ISERROR(SEARCH("Трактор базы",B846)))</formula>
    </cfRule>
  </conditionalFormatting>
  <conditionalFormatting sqref="A916:A917">
    <cfRule type="containsText" dxfId="402" priority="384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401" priority="389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400" priority="387" operator="containsText" text="Газель базы">
      <formula>NOT(ISERROR(SEARCH("Газель базы",B916)))</formula>
    </cfRule>
    <cfRule type="containsText" dxfId="399" priority="388" operator="containsText" text="Погрузчик базы">
      <formula>NOT(ISERROR(SEARCH("Погрузчик базы",B916)))</formula>
    </cfRule>
  </conditionalFormatting>
  <conditionalFormatting sqref="B916:B917">
    <cfRule type="containsText" dxfId="398" priority="386" operator="containsText" text="Трактор базы">
      <formula>NOT(ISERROR(SEARCH("Трактор базы",B916)))</formula>
    </cfRule>
  </conditionalFormatting>
  <conditionalFormatting sqref="A916:A917">
    <cfRule type="containsText" dxfId="397" priority="385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396" priority="383" operator="containsText" text="Выезд с территории">
      <formula>NOT(ISERROR(SEARCH("Выезд с территории",E916)))</formula>
    </cfRule>
  </conditionalFormatting>
  <conditionalFormatting sqref="A932">
    <cfRule type="containsText" dxfId="395" priority="360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394" priority="382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393" priority="380" operator="containsText" text="Газель базы">
      <formula>NOT(ISERROR(SEARCH("Газель базы",B918)))</formula>
    </cfRule>
    <cfRule type="containsText" dxfId="392" priority="381" operator="containsText" text="Погрузчик базы">
      <formula>NOT(ISERROR(SEARCH("Погрузчик базы",B918)))</formula>
    </cfRule>
  </conditionalFormatting>
  <conditionalFormatting sqref="B918:B924">
    <cfRule type="containsText" dxfId="391" priority="379" operator="containsText" text="Трактор базы">
      <formula>NOT(ISERROR(SEARCH("Трактор базы",B918)))</formula>
    </cfRule>
  </conditionalFormatting>
  <conditionalFormatting sqref="A918">
    <cfRule type="containsText" dxfId="390" priority="378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389" priority="377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388" priority="371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387" priority="376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386" priority="374" operator="containsText" text="Газель базы">
      <formula>NOT(ISERROR(SEARCH("Газель базы",B926)))</formula>
    </cfRule>
    <cfRule type="containsText" dxfId="385" priority="375" operator="containsText" text="Погрузчик базы">
      <formula>NOT(ISERROR(SEARCH("Погрузчик базы",B926)))</formula>
    </cfRule>
  </conditionalFormatting>
  <conditionalFormatting sqref="B926:B928">
    <cfRule type="containsText" dxfId="384" priority="373" operator="containsText" text="Трактор базы">
      <formula>NOT(ISERROR(SEARCH("Трактор базы",B926)))</formula>
    </cfRule>
  </conditionalFormatting>
  <conditionalFormatting sqref="A926:A928">
    <cfRule type="containsText" dxfId="383" priority="372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382" priority="370" operator="containsText" text="Выезд с территории">
      <formula>NOT(ISERROR(SEARCH("Выезд с территории",E926)))</formula>
    </cfRule>
  </conditionalFormatting>
  <conditionalFormatting sqref="A930">
    <cfRule type="containsText" dxfId="381" priority="364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380" priority="369" operator="containsText" text="Выезд с территории">
      <formula>NOT(ISERROR(SEARCH("Выезд с территории",A930)))</formula>
    </cfRule>
  </conditionalFormatting>
  <conditionalFormatting sqref="B930">
    <cfRule type="containsText" dxfId="379" priority="367" operator="containsText" text="Газель базы">
      <formula>NOT(ISERROR(SEARCH("Газель базы",B930)))</formula>
    </cfRule>
    <cfRule type="containsText" dxfId="378" priority="368" operator="containsText" text="Погрузчик базы">
      <formula>NOT(ISERROR(SEARCH("Погрузчик базы",B930)))</formula>
    </cfRule>
  </conditionalFormatting>
  <conditionalFormatting sqref="B930">
    <cfRule type="containsText" dxfId="377" priority="366" operator="containsText" text="Трактор базы">
      <formula>NOT(ISERROR(SEARCH("Трактор базы",B930)))</formula>
    </cfRule>
  </conditionalFormatting>
  <conditionalFormatting sqref="A930">
    <cfRule type="containsText" dxfId="376" priority="365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375" priority="363" operator="containsText" text="Выезд с территории">
      <formula>NOT(ISERROR(SEARCH("Выезд с территории",E930)))</formula>
    </cfRule>
  </conditionalFormatting>
  <conditionalFormatting sqref="A932">
    <cfRule type="containsText" dxfId="374" priority="362" operator="containsText" text="Выезд с территории">
      <formula>NOT(ISERROR(SEARCH("Выезд с территории",A932)))</formula>
    </cfRule>
  </conditionalFormatting>
  <conditionalFormatting sqref="A932">
    <cfRule type="containsText" dxfId="373" priority="361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372" priority="357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371" priority="359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370" priority="358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369" priority="356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368" priority="355" operator="notContains" text="порожний">
      <formula>ISERROR(SEARCH("порожний",C954))</formula>
    </cfRule>
  </conditionalFormatting>
  <conditionalFormatting sqref="B954:B956">
    <cfRule type="containsText" dxfId="367" priority="353" operator="containsText" text="Газель базы">
      <formula>NOT(ISERROR(SEARCH("Газель базы",B954)))</formula>
    </cfRule>
    <cfRule type="containsText" dxfId="366" priority="354" operator="containsText" text="Погрузчик базы">
      <formula>NOT(ISERROR(SEARCH("Погрузчик базы",B954)))</formula>
    </cfRule>
  </conditionalFormatting>
  <conditionalFormatting sqref="B954:B956">
    <cfRule type="containsText" dxfId="365" priority="352" operator="containsText" text="Трактор базы">
      <formula>NOT(ISERROR(SEARCH("Трактор базы",B954)))</formula>
    </cfRule>
  </conditionalFormatting>
  <conditionalFormatting sqref="A954:A956">
    <cfRule type="containsText" dxfId="364" priority="351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363" priority="350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362" priority="348" operator="notContains" text="порожний">
      <formula>ISERROR(SEARCH("порожний",C995))</formula>
    </cfRule>
  </conditionalFormatting>
  <conditionalFormatting sqref="C987">
    <cfRule type="notContainsText" dxfId="361" priority="349" operator="notContains" text="порожний">
      <formula>ISERROR(SEARCH("порожний",C987))</formula>
    </cfRule>
  </conditionalFormatting>
  <conditionalFormatting sqref="B999">
    <cfRule type="containsText" dxfId="360" priority="347" operator="containsText" text="Выезд с территории">
      <formula>NOT(ISERROR(SEARCH("Выезд с территории",B999)))</formula>
    </cfRule>
  </conditionalFormatting>
  <conditionalFormatting sqref="B999">
    <cfRule type="containsText" dxfId="359" priority="345" operator="containsText" text="Газель базы">
      <formula>NOT(ISERROR(SEARCH("Газель базы",B999)))</formula>
    </cfRule>
    <cfRule type="containsText" dxfId="358" priority="346" operator="containsText" text="Погрузчик базы">
      <formula>NOT(ISERROR(SEARCH("Погрузчик базы",B999)))</formula>
    </cfRule>
  </conditionalFormatting>
  <conditionalFormatting sqref="B999">
    <cfRule type="containsText" dxfId="357" priority="344" operator="containsText" text="Трактор базы">
      <formula>NOT(ISERROR(SEARCH("Трактор базы",B999)))</formula>
    </cfRule>
  </conditionalFormatting>
  <conditionalFormatting sqref="B1019:B1022">
    <cfRule type="containsText" dxfId="356" priority="340" operator="containsText" text="Трактор базы">
      <formula>NOT(ISERROR(SEARCH("Трактор базы",B1019)))</formula>
    </cfRule>
  </conditionalFormatting>
  <conditionalFormatting sqref="B1019:B1022">
    <cfRule type="containsText" dxfId="355" priority="343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354" priority="341" operator="containsText" text="Газель базы">
      <formula>NOT(ISERROR(SEARCH("Газель базы",B1019)))</formula>
    </cfRule>
    <cfRule type="containsText" dxfId="353" priority="342" operator="containsText" text="Погрузчик базы">
      <formula>NOT(ISERROR(SEARCH("Погрузчик базы",B1019)))</formula>
    </cfRule>
  </conditionalFormatting>
  <conditionalFormatting sqref="C966">
    <cfRule type="notContainsText" dxfId="352" priority="339" operator="notContains" text="порожний">
      <formula>ISERROR(SEARCH("порожний",C966))</formula>
    </cfRule>
  </conditionalFormatting>
  <conditionalFormatting sqref="A1029">
    <cfRule type="containsText" dxfId="351" priority="336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350" priority="338" operator="containsText" text="Выезд с территории">
      <formula>NOT(ISERROR(SEARCH("Выезд с территории",A1029)))</formula>
    </cfRule>
  </conditionalFormatting>
  <conditionalFormatting sqref="A1029">
    <cfRule type="containsText" dxfId="349" priority="337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348" priority="335" operator="containsText" text="Выезд с территории">
      <formula>NOT(ISERROR(SEARCH("Выезд с территории",B1030)))</formula>
    </cfRule>
  </conditionalFormatting>
  <conditionalFormatting sqref="B1030">
    <cfRule type="containsText" dxfId="347" priority="333" operator="containsText" text="Газель базы">
      <formula>NOT(ISERROR(SEARCH("Газель базы",B1030)))</formula>
    </cfRule>
    <cfRule type="containsText" dxfId="346" priority="334" operator="containsText" text="Погрузчик базы">
      <formula>NOT(ISERROR(SEARCH("Погрузчик базы",B1030)))</formula>
    </cfRule>
  </conditionalFormatting>
  <conditionalFormatting sqref="B1030">
    <cfRule type="containsText" dxfId="345" priority="332" operator="containsText" text="Трактор базы">
      <formula>NOT(ISERROR(SEARCH("Трактор базы",B1030)))</formula>
    </cfRule>
  </conditionalFormatting>
  <conditionalFormatting sqref="A1035">
    <cfRule type="containsText" dxfId="344" priority="326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343" priority="329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342" priority="331" operator="containsText" text="Выезд с территории">
      <formula>NOT(ISERROR(SEARCH("Выезд с территории",A1033)))</formula>
    </cfRule>
  </conditionalFormatting>
  <conditionalFormatting sqref="A1033">
    <cfRule type="containsText" dxfId="341" priority="330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340" priority="328" operator="containsText" text="Выезд с территории">
      <formula>NOT(ISERROR(SEARCH("Выезд с территории",A1035)))</formula>
    </cfRule>
  </conditionalFormatting>
  <conditionalFormatting sqref="A1035">
    <cfRule type="containsText" dxfId="339" priority="327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338" priority="325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337" priority="323" operator="containsText" text="Газель базы">
      <formula>NOT(ISERROR(SEARCH("Газель базы",B1138)))</formula>
    </cfRule>
    <cfRule type="containsText" dxfId="336" priority="324" operator="containsText" text="Погрузчик базы">
      <formula>NOT(ISERROR(SEARCH("Погрузчик базы",B1138)))</formula>
    </cfRule>
  </conditionalFormatting>
  <conditionalFormatting sqref="B1138:B1161">
    <cfRule type="containsText" dxfId="335" priority="322" operator="containsText" text="Трактор базы">
      <formula>NOT(ISERROR(SEARCH("Трактор базы",B1138)))</formula>
    </cfRule>
  </conditionalFormatting>
  <conditionalFormatting sqref="B1258:B1262">
    <cfRule type="containsText" dxfId="334" priority="306" operator="containsText" text="Трактор базы">
      <formula>NOT(ISERROR(SEARCH("Трактор базы",B1258)))</formula>
    </cfRule>
  </conditionalFormatting>
  <conditionalFormatting sqref="B1244:B1252">
    <cfRule type="containsText" dxfId="333" priority="321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332" priority="319" operator="containsText" text="Газель базы">
      <formula>NOT(ISERROR(SEARCH("Газель базы",B1244)))</formula>
    </cfRule>
    <cfRule type="containsText" dxfId="331" priority="320" operator="containsText" text="Погрузчик базы">
      <formula>NOT(ISERROR(SEARCH("Погрузчик базы",B1244)))</formula>
    </cfRule>
  </conditionalFormatting>
  <conditionalFormatting sqref="B1244:B1252">
    <cfRule type="containsText" dxfId="330" priority="318" operator="containsText" text="Трактор базы">
      <formula>NOT(ISERROR(SEARCH("Трактор базы",B1244)))</formula>
    </cfRule>
  </conditionalFormatting>
  <conditionalFormatting sqref="B1253:B1256">
    <cfRule type="containsText" dxfId="329" priority="317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328" priority="315" operator="containsText" text="Газель базы">
      <formula>NOT(ISERROR(SEARCH("Газель базы",B1253)))</formula>
    </cfRule>
    <cfRule type="containsText" dxfId="327" priority="316" operator="containsText" text="Погрузчик базы">
      <formula>NOT(ISERROR(SEARCH("Погрузчик базы",B1253)))</formula>
    </cfRule>
  </conditionalFormatting>
  <conditionalFormatting sqref="B1253:B1256">
    <cfRule type="containsText" dxfId="326" priority="314" operator="containsText" text="Трактор базы">
      <formula>NOT(ISERROR(SEARCH("Трактор базы",B1253)))</formula>
    </cfRule>
  </conditionalFormatting>
  <conditionalFormatting sqref="B1257">
    <cfRule type="containsText" dxfId="325" priority="313" operator="containsText" text="Выезд с территории">
      <formula>NOT(ISERROR(SEARCH("Выезд с территории",B1257)))</formula>
    </cfRule>
  </conditionalFormatting>
  <conditionalFormatting sqref="B1257">
    <cfRule type="containsText" dxfId="324" priority="311" operator="containsText" text="Газель базы">
      <formula>NOT(ISERROR(SEARCH("Газель базы",B1257)))</formula>
    </cfRule>
    <cfRule type="containsText" dxfId="323" priority="312" operator="containsText" text="Погрузчик базы">
      <formula>NOT(ISERROR(SEARCH("Погрузчик базы",B1257)))</formula>
    </cfRule>
  </conditionalFormatting>
  <conditionalFormatting sqref="B1257">
    <cfRule type="containsText" dxfId="322" priority="310" operator="containsText" text="Трактор базы">
      <formula>NOT(ISERROR(SEARCH("Трактор базы",B1257)))</formula>
    </cfRule>
  </conditionalFormatting>
  <conditionalFormatting sqref="B1258:B1262">
    <cfRule type="containsText" dxfId="321" priority="309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320" priority="307" operator="containsText" text="Газель базы">
      <formula>NOT(ISERROR(SEARCH("Газель базы",B1258)))</formula>
    </cfRule>
    <cfRule type="containsText" dxfId="319" priority="308" operator="containsText" text="Погрузчик базы">
      <formula>NOT(ISERROR(SEARCH("Погрузчик базы",B1258)))</formula>
    </cfRule>
  </conditionalFormatting>
  <conditionalFormatting sqref="B1281:B1287">
    <cfRule type="containsText" dxfId="318" priority="305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317" priority="303" operator="containsText" text="Газель базы">
      <formula>NOT(ISERROR(SEARCH("Газель базы",B1281)))</formula>
    </cfRule>
    <cfRule type="containsText" dxfId="316" priority="304" operator="containsText" text="Погрузчик базы">
      <formula>NOT(ISERROR(SEARCH("Погрузчик базы",B1281)))</formula>
    </cfRule>
  </conditionalFormatting>
  <conditionalFormatting sqref="B1281:B1287">
    <cfRule type="containsText" dxfId="315" priority="302" operator="containsText" text="Трактор базы">
      <formula>NOT(ISERROR(SEARCH("Трактор базы",B1281)))</formula>
    </cfRule>
  </conditionalFormatting>
  <conditionalFormatting sqref="B1296">
    <cfRule type="containsText" dxfId="314" priority="298" operator="containsText" text="Трактор базы">
      <formula>NOT(ISERROR(SEARCH("Трактор базы",B1296)))</formula>
    </cfRule>
  </conditionalFormatting>
  <conditionalFormatting sqref="B1296">
    <cfRule type="containsText" dxfId="313" priority="301" operator="containsText" text="Выезд с территории">
      <formula>NOT(ISERROR(SEARCH("Выезд с территории",B1296)))</formula>
    </cfRule>
  </conditionalFormatting>
  <conditionalFormatting sqref="B1296">
    <cfRule type="containsText" dxfId="312" priority="299" operator="containsText" text="Газель базы">
      <formula>NOT(ISERROR(SEARCH("Газель базы",B1296)))</formula>
    </cfRule>
    <cfRule type="containsText" dxfId="311" priority="300" operator="containsText" text="Погрузчик базы">
      <formula>NOT(ISERROR(SEARCH("Погрузчик базы",B1296)))</formula>
    </cfRule>
  </conditionalFormatting>
  <conditionalFormatting sqref="C1320:C1321">
    <cfRule type="notContainsText" dxfId="310" priority="296" operator="notContains" text="порожний">
      <formula>ISERROR(SEARCH("порожний",C1320))</formula>
    </cfRule>
  </conditionalFormatting>
  <conditionalFormatting sqref="A1323">
    <cfRule type="containsText" dxfId="309" priority="290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308" priority="293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307" priority="295" operator="containsText" text="Выезд с территории">
      <formula>NOT(ISERROR(SEARCH("Выезд с территории",A1322)))</formula>
    </cfRule>
  </conditionalFormatting>
  <conditionalFormatting sqref="A1322">
    <cfRule type="containsText" dxfId="306" priority="294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305" priority="292" operator="containsText" text="Выезд с территории">
      <formula>NOT(ISERROR(SEARCH("Выезд с территории",A1323)))</formula>
    </cfRule>
  </conditionalFormatting>
  <conditionalFormatting sqref="A1323">
    <cfRule type="containsText" dxfId="304" priority="291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303" priority="289" operator="notContains" text="порожний">
      <formula>ISERROR(SEARCH("порожний",C1336))</formula>
    </cfRule>
  </conditionalFormatting>
  <conditionalFormatting sqref="C1346">
    <cfRule type="notContainsText" dxfId="302" priority="288" operator="notContains" text="порожний">
      <formula>ISERROR(SEARCH("порожний",C1346))</formula>
    </cfRule>
  </conditionalFormatting>
  <conditionalFormatting sqref="A1391">
    <cfRule type="containsText" dxfId="301" priority="282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300" priority="284" operator="containsText" text="Выезд с территории">
      <formula>NOT(ISERROR(SEARCH("Выезд с территории",A1391)))</formula>
    </cfRule>
  </conditionalFormatting>
  <conditionalFormatting sqref="A1391">
    <cfRule type="containsText" dxfId="299" priority="283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298" priority="279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297" priority="281" operator="containsText" text="Выезд с территории">
      <formula>NOT(ISERROR(SEARCH("Выезд с территории",A1398)))</formula>
    </cfRule>
  </conditionalFormatting>
  <conditionalFormatting sqref="A1398">
    <cfRule type="containsText" dxfId="296" priority="280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295" priority="278" operator="notContains" text="порожний">
      <formula>ISERROR(SEARCH("порожний",C1606))</formula>
    </cfRule>
  </conditionalFormatting>
  <conditionalFormatting sqref="B1633:B1636">
    <cfRule type="containsText" dxfId="294" priority="277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293" priority="275" operator="containsText" text="Газель базы">
      <formula>NOT(ISERROR(SEARCH("Газель базы",B1633)))</formula>
    </cfRule>
    <cfRule type="containsText" dxfId="292" priority="276" operator="containsText" text="Погрузчик базы">
      <formula>NOT(ISERROR(SEARCH("Погрузчик базы",B1633)))</formula>
    </cfRule>
  </conditionalFormatting>
  <conditionalFormatting sqref="B1633:B1636">
    <cfRule type="containsText" dxfId="291" priority="274" operator="containsText" text="Трактор базы">
      <formula>NOT(ISERROR(SEARCH("Трактор базы",B1633)))</formula>
    </cfRule>
  </conditionalFormatting>
  <conditionalFormatting sqref="B1637:B1642">
    <cfRule type="containsText" dxfId="290" priority="273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289" priority="271" operator="containsText" text="Газель базы">
      <formula>NOT(ISERROR(SEARCH("Газель базы",B1637)))</formula>
    </cfRule>
    <cfRule type="containsText" dxfId="288" priority="272" operator="containsText" text="Погрузчик базы">
      <formula>NOT(ISERROR(SEARCH("Погрузчик базы",B1637)))</formula>
    </cfRule>
  </conditionalFormatting>
  <conditionalFormatting sqref="B1637:B1642">
    <cfRule type="containsText" dxfId="287" priority="270" operator="containsText" text="Трактор базы">
      <formula>NOT(ISERROR(SEARCH("Трактор базы",B1637)))</formula>
    </cfRule>
  </conditionalFormatting>
  <conditionalFormatting sqref="B1671:B1672">
    <cfRule type="containsText" dxfId="286" priority="266" operator="containsText" text="Трактор базы">
      <formula>NOT(ISERROR(SEARCH("Трактор базы",B1671)))</formula>
    </cfRule>
  </conditionalFormatting>
  <conditionalFormatting sqref="B1671:B1672">
    <cfRule type="containsText" dxfId="285" priority="269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284" priority="267" operator="containsText" text="Газель базы">
      <formula>NOT(ISERROR(SEARCH("Газель базы",B1671)))</formula>
    </cfRule>
    <cfRule type="containsText" dxfId="283" priority="268" operator="containsText" text="Погрузчик базы">
      <formula>NOT(ISERROR(SEARCH("Погрузчик базы",B1671)))</formula>
    </cfRule>
  </conditionalFormatting>
  <conditionalFormatting sqref="B1675">
    <cfRule type="containsText" dxfId="282" priority="262" operator="containsText" text="Трактор базы">
      <formula>NOT(ISERROR(SEARCH("Трактор базы",B1675)))</formula>
    </cfRule>
  </conditionalFormatting>
  <conditionalFormatting sqref="B1675">
    <cfRule type="containsText" dxfId="281" priority="265" operator="containsText" text="Выезд с территории">
      <formula>NOT(ISERROR(SEARCH("Выезд с территории",B1675)))</formula>
    </cfRule>
  </conditionalFormatting>
  <conditionalFormatting sqref="B1675">
    <cfRule type="containsText" dxfId="280" priority="263" operator="containsText" text="Газель базы">
      <formula>NOT(ISERROR(SEARCH("Газель базы",B1675)))</formula>
    </cfRule>
    <cfRule type="containsText" dxfId="279" priority="264" operator="containsText" text="Погрузчик базы">
      <formula>NOT(ISERROR(SEARCH("Погрузчик базы",B1675)))</formula>
    </cfRule>
  </conditionalFormatting>
  <conditionalFormatting sqref="A1678">
    <cfRule type="containsText" dxfId="278" priority="259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277" priority="261" operator="containsText" text="Выезд с территории">
      <formula>NOT(ISERROR(SEARCH("Выезд с территории",A1678)))</formula>
    </cfRule>
  </conditionalFormatting>
  <conditionalFormatting sqref="A1678">
    <cfRule type="containsText" dxfId="276" priority="260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275" priority="258" operator="notContains" text="порожний">
      <formula>ISERROR(SEARCH("порожний",C1723))</formula>
    </cfRule>
  </conditionalFormatting>
  <conditionalFormatting sqref="C1725:C1726">
    <cfRule type="notContainsText" dxfId="274" priority="257" operator="notContains" text="порожний">
      <formula>ISERROR(SEARCH("порожний",C1725))</formula>
    </cfRule>
  </conditionalFormatting>
  <conditionalFormatting sqref="C1727">
    <cfRule type="notContainsText" dxfId="273" priority="256" operator="notContains" text="порожний">
      <formula>ISERROR(SEARCH("порожний",C1727))</formula>
    </cfRule>
  </conditionalFormatting>
  <conditionalFormatting sqref="C1728">
    <cfRule type="notContainsText" dxfId="272" priority="255" operator="notContains" text="порожний">
      <formula>ISERROR(SEARCH("порожний",C1728))</formula>
    </cfRule>
  </conditionalFormatting>
  <conditionalFormatting sqref="B1732:B1733">
    <cfRule type="containsText" dxfId="271" priority="254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270" priority="252" operator="containsText" text="Газель базы">
      <formula>NOT(ISERROR(SEARCH("Газель базы",B1732)))</formula>
    </cfRule>
    <cfRule type="containsText" dxfId="269" priority="253" operator="containsText" text="Погрузчик базы">
      <formula>NOT(ISERROR(SEARCH("Погрузчик базы",B1732)))</formula>
    </cfRule>
  </conditionalFormatting>
  <conditionalFormatting sqref="B1732:B1733">
    <cfRule type="containsText" dxfId="268" priority="251" operator="containsText" text="Трактор базы">
      <formula>NOT(ISERROR(SEARCH("Трактор базы",B1732)))</formula>
    </cfRule>
  </conditionalFormatting>
  <conditionalFormatting sqref="B1734:B1735">
    <cfRule type="containsText" dxfId="267" priority="250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266" priority="248" operator="containsText" text="Газель базы">
      <formula>NOT(ISERROR(SEARCH("Газель базы",B1734)))</formula>
    </cfRule>
    <cfRule type="containsText" dxfId="265" priority="249" operator="containsText" text="Погрузчик базы">
      <formula>NOT(ISERROR(SEARCH("Погрузчик базы",B1734)))</formula>
    </cfRule>
  </conditionalFormatting>
  <conditionalFormatting sqref="B1734:B1735">
    <cfRule type="containsText" dxfId="264" priority="247" operator="containsText" text="Трактор базы">
      <formula>NOT(ISERROR(SEARCH("Трактор базы",B1734)))</formula>
    </cfRule>
  </conditionalFormatting>
  <conditionalFormatting sqref="B1762:B1764">
    <cfRule type="containsText" dxfId="263" priority="233" operator="containsText" text="Трактор базы">
      <formula>NOT(ISERROR(SEARCH("Трактор базы",B1762)))</formula>
    </cfRule>
  </conditionalFormatting>
  <conditionalFormatting sqref="B1740:B1741">
    <cfRule type="containsText" dxfId="262" priority="246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261" priority="244" operator="containsText" text="Газель базы">
      <formula>NOT(ISERROR(SEARCH("Газель базы",B1740)))</formula>
    </cfRule>
    <cfRule type="containsText" dxfId="260" priority="245" operator="containsText" text="Погрузчик базы">
      <formula>NOT(ISERROR(SEARCH("Погрузчик базы",B1740)))</formula>
    </cfRule>
  </conditionalFormatting>
  <conditionalFormatting sqref="B1740:B1741">
    <cfRule type="containsText" dxfId="259" priority="243" operator="containsText" text="Трактор базы">
      <formula>NOT(ISERROR(SEARCH("Трактор базы",B1740)))</formula>
    </cfRule>
  </conditionalFormatting>
  <conditionalFormatting sqref="A1755">
    <cfRule type="containsText" dxfId="258" priority="240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257" priority="242" operator="containsText" text="Выезд с территории">
      <formula>NOT(ISERROR(SEARCH("Выезд с территории",A1755)))</formula>
    </cfRule>
  </conditionalFormatting>
  <conditionalFormatting sqref="A1755">
    <cfRule type="containsText" dxfId="256" priority="241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255" priority="237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254" priority="239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253" priority="238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252" priority="224" operator="containsText" text="Трактор базы">
      <formula>NOT(ISERROR(SEARCH("Трактор базы",B1773)))</formula>
    </cfRule>
  </conditionalFormatting>
  <conditionalFormatting sqref="B1762:B1764">
    <cfRule type="containsText" dxfId="251" priority="236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250" priority="234" operator="containsText" text="Газель базы">
      <formula>NOT(ISERROR(SEARCH("Газель базы",B1762)))</formula>
    </cfRule>
    <cfRule type="containsText" dxfId="249" priority="235" operator="containsText" text="Погрузчик базы">
      <formula>NOT(ISERROR(SEARCH("Погрузчик базы",B1762)))</formula>
    </cfRule>
  </conditionalFormatting>
  <conditionalFormatting sqref="B1776:B1777">
    <cfRule type="containsText" dxfId="248" priority="215" operator="containsText" text="Трактор базы">
      <formula>NOT(ISERROR(SEARCH("Трактор базы",B1776)))</formula>
    </cfRule>
  </conditionalFormatting>
  <conditionalFormatting sqref="B1770:B1771">
    <cfRule type="containsText" dxfId="247" priority="232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246" priority="230" operator="containsText" text="Газель базы">
      <formula>NOT(ISERROR(SEARCH("Газель базы",B1770)))</formula>
    </cfRule>
    <cfRule type="containsText" dxfId="245" priority="231" operator="containsText" text="Погрузчик базы">
      <formula>NOT(ISERROR(SEARCH("Погрузчик базы",B1770)))</formula>
    </cfRule>
  </conditionalFormatting>
  <conditionalFormatting sqref="B1770:B1771">
    <cfRule type="containsText" dxfId="244" priority="229" operator="containsText" text="Трактор базы">
      <formula>NOT(ISERROR(SEARCH("Трактор базы",B1770)))</formula>
    </cfRule>
  </conditionalFormatting>
  <conditionalFormatting sqref="B1773">
    <cfRule type="containsText" dxfId="243" priority="228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242" priority="227" operator="notContains" text="порожний">
      <formula>ISERROR(SEARCH("порожний",C1773))</formula>
    </cfRule>
  </conditionalFormatting>
  <conditionalFormatting sqref="B1773">
    <cfRule type="containsText" dxfId="241" priority="225" operator="containsText" text="Газель базы">
      <formula>NOT(ISERROR(SEARCH("Газель базы",B1773)))</formula>
    </cfRule>
    <cfRule type="containsText" dxfId="240" priority="226" operator="containsText" text="Погрузчик базы">
      <formula>NOT(ISERROR(SEARCH("Погрузчик базы",B1773)))</formula>
    </cfRule>
  </conditionalFormatting>
  <conditionalFormatting sqref="B1775">
    <cfRule type="containsText" dxfId="239" priority="219" operator="containsText" text="Трактор базы">
      <formula>NOT(ISERROR(SEARCH("Трактор базы",B1775)))</formula>
    </cfRule>
  </conditionalFormatting>
  <conditionalFormatting sqref="B1775">
    <cfRule type="containsText" dxfId="238" priority="223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237" priority="222" operator="notContains" text="порожний">
      <formula>ISERROR(SEARCH("порожний",C1775))</formula>
    </cfRule>
  </conditionalFormatting>
  <conditionalFormatting sqref="B1775">
    <cfRule type="containsText" dxfId="236" priority="220" operator="containsText" text="Газель базы">
      <formula>NOT(ISERROR(SEARCH("Газель базы",B1775)))</formula>
    </cfRule>
    <cfRule type="containsText" dxfId="235" priority="221" operator="containsText" text="Погрузчик базы">
      <formula>NOT(ISERROR(SEARCH("Погрузчик базы",B1775)))</formula>
    </cfRule>
  </conditionalFormatting>
  <conditionalFormatting sqref="B1776:B1777">
    <cfRule type="containsText" dxfId="234" priority="218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233" priority="216" operator="containsText" text="Газель базы">
      <formula>NOT(ISERROR(SEARCH("Газель базы",B1776)))</formula>
    </cfRule>
    <cfRule type="containsText" dxfId="232" priority="217" operator="containsText" text="Погрузчик базы">
      <formula>NOT(ISERROR(SEARCH("Погрузчик базы",B1776)))</formula>
    </cfRule>
  </conditionalFormatting>
  <conditionalFormatting sqref="B1891">
    <cfRule type="containsText" dxfId="231" priority="207" operator="containsText" text="Трактор базы">
      <formula>NOT(ISERROR(SEARCH("Трактор базы",B1891)))</formula>
    </cfRule>
  </conditionalFormatting>
  <conditionalFormatting sqref="B1889">
    <cfRule type="containsText" dxfId="230" priority="214" operator="containsText" text="Выезд с территории">
      <formula>NOT(ISERROR(SEARCH("Выезд с территории",B1889)))</formula>
    </cfRule>
  </conditionalFormatting>
  <conditionalFormatting sqref="B1889">
    <cfRule type="containsText" dxfId="229" priority="212" operator="containsText" text="Газель базы">
      <formula>NOT(ISERROR(SEARCH("Газель базы",B1889)))</formula>
    </cfRule>
    <cfRule type="containsText" dxfId="228" priority="213" operator="containsText" text="Погрузчик базы">
      <formula>NOT(ISERROR(SEARCH("Погрузчик базы",B1889)))</formula>
    </cfRule>
  </conditionalFormatting>
  <conditionalFormatting sqref="B1889">
    <cfRule type="containsText" dxfId="227" priority="211" operator="containsText" text="Трактор базы">
      <formula>NOT(ISERROR(SEARCH("Трактор базы",B1889)))</formula>
    </cfRule>
  </conditionalFormatting>
  <conditionalFormatting sqref="B1891">
    <cfRule type="containsText" dxfId="226" priority="210" operator="containsText" text="Выезд с территории">
      <formula>NOT(ISERROR(SEARCH("Выезд с территории",B1891)))</formula>
    </cfRule>
  </conditionalFormatting>
  <conditionalFormatting sqref="B1891">
    <cfRule type="containsText" dxfId="225" priority="208" operator="containsText" text="Газель базы">
      <formula>NOT(ISERROR(SEARCH("Газель базы",B1891)))</formula>
    </cfRule>
    <cfRule type="containsText" dxfId="224" priority="209" operator="containsText" text="Погрузчик базы">
      <formula>NOT(ISERROR(SEARCH("Погрузчик базы",B1891)))</formula>
    </cfRule>
  </conditionalFormatting>
  <conditionalFormatting sqref="B1920">
    <cfRule type="containsText" dxfId="223" priority="195" operator="containsText" text="Трактор базы">
      <formula>NOT(ISERROR(SEARCH("Трактор базы",B1920)))</formula>
    </cfRule>
  </conditionalFormatting>
  <conditionalFormatting sqref="B1904:B1914">
    <cfRule type="containsText" dxfId="222" priority="206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221" priority="204" operator="containsText" text="Газель базы">
      <formula>NOT(ISERROR(SEARCH("Газель базы",B1904)))</formula>
    </cfRule>
    <cfRule type="containsText" dxfId="220" priority="205" operator="containsText" text="Погрузчик базы">
      <formula>NOT(ISERROR(SEARCH("Погрузчик базы",B1904)))</formula>
    </cfRule>
  </conditionalFormatting>
  <conditionalFormatting sqref="B1904:B1914">
    <cfRule type="containsText" dxfId="219" priority="203" operator="containsText" text="Трактор базы">
      <formula>NOT(ISERROR(SEARCH("Трактор базы",B1904)))</formula>
    </cfRule>
  </conditionalFormatting>
  <conditionalFormatting sqref="B1915:B1919">
    <cfRule type="containsText" dxfId="218" priority="202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217" priority="200" operator="containsText" text="Газель базы">
      <formula>NOT(ISERROR(SEARCH("Газель базы",B1915)))</formula>
    </cfRule>
    <cfRule type="containsText" dxfId="216" priority="201" operator="containsText" text="Погрузчик базы">
      <formula>NOT(ISERROR(SEARCH("Погрузчик базы",B1915)))</formula>
    </cfRule>
  </conditionalFormatting>
  <conditionalFormatting sqref="B1915:B1919">
    <cfRule type="containsText" dxfId="215" priority="199" operator="containsText" text="Трактор базы">
      <formula>NOT(ISERROR(SEARCH("Трактор базы",B1915)))</formula>
    </cfRule>
  </conditionalFormatting>
  <conditionalFormatting sqref="B1920">
    <cfRule type="containsText" dxfId="214" priority="198" operator="containsText" text="Выезд с территории">
      <formula>NOT(ISERROR(SEARCH("Выезд с территории",B1920)))</formula>
    </cfRule>
  </conditionalFormatting>
  <conditionalFormatting sqref="B1920">
    <cfRule type="containsText" dxfId="213" priority="196" operator="containsText" text="Газель базы">
      <formula>NOT(ISERROR(SEARCH("Газель базы",B1920)))</formula>
    </cfRule>
    <cfRule type="containsText" dxfId="212" priority="197" operator="containsText" text="Погрузчик базы">
      <formula>NOT(ISERROR(SEARCH("Погрузчик базы",B1920)))</formula>
    </cfRule>
  </conditionalFormatting>
  <conditionalFormatting sqref="B1939">
    <cfRule type="containsText" dxfId="211" priority="191" operator="containsText" text="Трактор базы">
      <formula>NOT(ISERROR(SEARCH("Трактор базы",B1939)))</formula>
    </cfRule>
  </conditionalFormatting>
  <conditionalFormatting sqref="B1939">
    <cfRule type="containsText" dxfId="210" priority="194" operator="containsText" text="Выезд с территории">
      <formula>NOT(ISERROR(SEARCH("Выезд с территории",B1939)))</formula>
    </cfRule>
  </conditionalFormatting>
  <conditionalFormatting sqref="B1939">
    <cfRule type="containsText" dxfId="209" priority="192" operator="containsText" text="Газель базы">
      <formula>NOT(ISERROR(SEARCH("Газель базы",B1939)))</formula>
    </cfRule>
    <cfRule type="containsText" dxfId="208" priority="193" operator="containsText" text="Погрузчик базы">
      <formula>NOT(ISERROR(SEARCH("Погрузчик базы",B1939)))</formula>
    </cfRule>
  </conditionalFormatting>
  <conditionalFormatting sqref="A1943">
    <cfRule type="containsText" dxfId="207" priority="188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206" priority="190" operator="containsText" text="Выезд с территории">
      <formula>NOT(ISERROR(SEARCH("Выезд с территории",A1943)))</formula>
    </cfRule>
  </conditionalFormatting>
  <conditionalFormatting sqref="A1943">
    <cfRule type="containsText" dxfId="205" priority="189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204" priority="172" operator="containsText" text="Трактор базы">
      <formula>NOT(ISERROR(SEARCH("Трактор базы",B1977)))</formula>
    </cfRule>
  </conditionalFormatting>
  <conditionalFormatting sqref="B1974">
    <cfRule type="containsText" dxfId="203" priority="187" operator="containsText" text="Выезд с территории">
      <formula>NOT(ISERROR(SEARCH("Выезд с территории",B1974)))</formula>
    </cfRule>
  </conditionalFormatting>
  <conditionalFormatting sqref="B1974">
    <cfRule type="containsText" dxfId="202" priority="185" operator="containsText" text="Газель базы">
      <formula>NOT(ISERROR(SEARCH("Газель базы",B1974)))</formula>
    </cfRule>
    <cfRule type="containsText" dxfId="201" priority="186" operator="containsText" text="Погрузчик базы">
      <formula>NOT(ISERROR(SEARCH("Погрузчик базы",B1974)))</formula>
    </cfRule>
  </conditionalFormatting>
  <conditionalFormatting sqref="B1974">
    <cfRule type="containsText" dxfId="200" priority="184" operator="containsText" text="Трактор базы">
      <formula>NOT(ISERROR(SEARCH("Трактор базы",B1974)))</formula>
    </cfRule>
  </conditionalFormatting>
  <conditionalFormatting sqref="B1975">
    <cfRule type="containsText" dxfId="199" priority="183" operator="containsText" text="Выезд с территории">
      <formula>NOT(ISERROR(SEARCH("Выезд с территории",B1975)))</formula>
    </cfRule>
  </conditionalFormatting>
  <conditionalFormatting sqref="B1975">
    <cfRule type="containsText" dxfId="198" priority="181" operator="containsText" text="Газель базы">
      <formula>NOT(ISERROR(SEARCH("Газель базы",B1975)))</formula>
    </cfRule>
    <cfRule type="containsText" dxfId="197" priority="182" operator="containsText" text="Погрузчик базы">
      <formula>NOT(ISERROR(SEARCH("Погрузчик базы",B1975)))</formula>
    </cfRule>
  </conditionalFormatting>
  <conditionalFormatting sqref="B1975">
    <cfRule type="containsText" dxfId="196" priority="180" operator="containsText" text="Трактор базы">
      <formula>NOT(ISERROR(SEARCH("Трактор базы",B1975)))</formula>
    </cfRule>
  </conditionalFormatting>
  <conditionalFormatting sqref="B1976">
    <cfRule type="containsText" dxfId="195" priority="179" operator="containsText" text="Выезд с территории">
      <formula>NOT(ISERROR(SEARCH("Выезд с территории",B1976)))</formula>
    </cfRule>
  </conditionalFormatting>
  <conditionalFormatting sqref="B1976">
    <cfRule type="containsText" dxfId="194" priority="177" operator="containsText" text="Газель базы">
      <formula>NOT(ISERROR(SEARCH("Газель базы",B1976)))</formula>
    </cfRule>
    <cfRule type="containsText" dxfId="193" priority="178" operator="containsText" text="Погрузчик базы">
      <formula>NOT(ISERROR(SEARCH("Погрузчик базы",B1976)))</formula>
    </cfRule>
  </conditionalFormatting>
  <conditionalFormatting sqref="B1976">
    <cfRule type="containsText" dxfId="192" priority="176" operator="containsText" text="Трактор базы">
      <formula>NOT(ISERROR(SEARCH("Трактор базы",B1976)))</formula>
    </cfRule>
  </conditionalFormatting>
  <conditionalFormatting sqref="B1977">
    <cfRule type="containsText" dxfId="191" priority="175" operator="containsText" text="Выезд с территории">
      <formula>NOT(ISERROR(SEARCH("Выезд с территории",B1977)))</formula>
    </cfRule>
  </conditionalFormatting>
  <conditionalFormatting sqref="B1977">
    <cfRule type="containsText" dxfId="190" priority="173" operator="containsText" text="Газель базы">
      <formula>NOT(ISERROR(SEARCH("Газель базы",B1977)))</formula>
    </cfRule>
    <cfRule type="containsText" dxfId="189" priority="174" operator="containsText" text="Погрузчик базы">
      <formula>NOT(ISERROR(SEARCH("Погрузчик базы",B1977)))</formula>
    </cfRule>
  </conditionalFormatting>
  <conditionalFormatting sqref="C1965">
    <cfRule type="notContainsText" dxfId="188" priority="171" operator="notContains" text="порожний">
      <formula>ISERROR(SEARCH("порожний",C1965))</formula>
    </cfRule>
  </conditionalFormatting>
  <conditionalFormatting sqref="B2042">
    <cfRule type="containsText" dxfId="187" priority="167" operator="containsText" text="Трактор базы">
      <formula>NOT(ISERROR(SEARCH("Трактор базы",B2042)))</formula>
    </cfRule>
  </conditionalFormatting>
  <conditionalFormatting sqref="B2042">
    <cfRule type="containsText" dxfId="186" priority="170" operator="containsText" text="Выезд с территории">
      <formula>NOT(ISERROR(SEARCH("Выезд с территории",B2042)))</formula>
    </cfRule>
  </conditionalFormatting>
  <conditionalFormatting sqref="B2042">
    <cfRule type="containsText" dxfId="185" priority="168" operator="containsText" text="Газель базы">
      <formula>NOT(ISERROR(SEARCH("Газель базы",B2042)))</formula>
    </cfRule>
    <cfRule type="containsText" dxfId="184" priority="169" operator="containsText" text="Погрузчик базы">
      <formula>NOT(ISERROR(SEARCH("Погрузчик базы",B2042)))</formula>
    </cfRule>
  </conditionalFormatting>
  <conditionalFormatting sqref="C2050">
    <cfRule type="notContainsText" dxfId="183" priority="166" operator="notContains" text="порожний">
      <formula>ISERROR(SEARCH("порожний",C2050))</formula>
    </cfRule>
  </conditionalFormatting>
  <conditionalFormatting sqref="B2054">
    <cfRule type="containsText" dxfId="182" priority="165" operator="containsText" text="Выезд с территории">
      <formula>NOT(ISERROR(SEARCH("Выезд с территории",B2054)))</formula>
    </cfRule>
  </conditionalFormatting>
  <conditionalFormatting sqref="B2054">
    <cfRule type="containsText" dxfId="181" priority="163" operator="containsText" text="Газель базы">
      <formula>NOT(ISERROR(SEARCH("Газель базы",B2054)))</formula>
    </cfRule>
    <cfRule type="containsText" dxfId="180" priority="164" operator="containsText" text="Погрузчик базы">
      <formula>NOT(ISERROR(SEARCH("Погрузчик базы",B2054)))</formula>
    </cfRule>
  </conditionalFormatting>
  <conditionalFormatting sqref="B2054">
    <cfRule type="containsText" dxfId="179" priority="162" operator="containsText" text="Трактор базы">
      <formula>NOT(ISERROR(SEARCH("Трактор базы",B2054)))</formula>
    </cfRule>
  </conditionalFormatting>
  <conditionalFormatting sqref="B2055">
    <cfRule type="containsText" dxfId="178" priority="158" operator="containsText" text="Трактор базы">
      <formula>NOT(ISERROR(SEARCH("Трактор базы",B2055)))</formula>
    </cfRule>
  </conditionalFormatting>
  <conditionalFormatting sqref="B2055">
    <cfRule type="containsText" dxfId="177" priority="161" operator="containsText" text="Выезд с территории">
      <formula>NOT(ISERROR(SEARCH("Выезд с территории",B2055)))</formula>
    </cfRule>
  </conditionalFormatting>
  <conditionalFormatting sqref="B2055">
    <cfRule type="containsText" dxfId="176" priority="159" operator="containsText" text="Газель базы">
      <formula>NOT(ISERROR(SEARCH("Газель базы",B2055)))</formula>
    </cfRule>
    <cfRule type="containsText" dxfId="175" priority="160" operator="containsText" text="Погрузчик базы">
      <formula>NOT(ISERROR(SEARCH("Погрузчик базы",B2055)))</formula>
    </cfRule>
  </conditionalFormatting>
  <conditionalFormatting sqref="A2087:A2089">
    <cfRule type="containsText" dxfId="174" priority="151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173" priority="157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172" priority="156" operator="notContains" text="порожний">
      <formula>ISERROR(SEARCH("порожний",C2087))</formula>
    </cfRule>
  </conditionalFormatting>
  <conditionalFormatting sqref="B2087:B2089">
    <cfRule type="containsText" dxfId="171" priority="154" operator="containsText" text="Газель базы">
      <formula>NOT(ISERROR(SEARCH("Газель базы",B2087)))</formula>
    </cfRule>
    <cfRule type="containsText" dxfId="170" priority="155" operator="containsText" text="Погрузчик базы">
      <formula>NOT(ISERROR(SEARCH("Погрузчик базы",B2087)))</formula>
    </cfRule>
  </conditionalFormatting>
  <conditionalFormatting sqref="B2087:B2089">
    <cfRule type="containsText" dxfId="169" priority="153" operator="containsText" text="Трактор базы">
      <formula>NOT(ISERROR(SEARCH("Трактор базы",B2087)))</formula>
    </cfRule>
  </conditionalFormatting>
  <conditionalFormatting sqref="A2087:A2089">
    <cfRule type="containsText" dxfId="168" priority="152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167" priority="150" operator="containsText" text="Выезд с территории">
      <formula>NOT(ISERROR(SEARCH("Выезд с территории",B2101)))</formula>
    </cfRule>
  </conditionalFormatting>
  <conditionalFormatting sqref="B2101">
    <cfRule type="containsText" dxfId="166" priority="148" operator="containsText" text="Газель базы">
      <formula>NOT(ISERROR(SEARCH("Газель базы",B2101)))</formula>
    </cfRule>
    <cfRule type="containsText" dxfId="165" priority="149" operator="containsText" text="Погрузчик базы">
      <formula>NOT(ISERROR(SEARCH("Погрузчик базы",B2101)))</formula>
    </cfRule>
  </conditionalFormatting>
  <conditionalFormatting sqref="B2101">
    <cfRule type="containsText" dxfId="164" priority="147" operator="containsText" text="Трактор базы">
      <formula>NOT(ISERROR(SEARCH("Трактор базы",B2101)))</formula>
    </cfRule>
  </conditionalFormatting>
  <conditionalFormatting sqref="B2102">
    <cfRule type="containsText" dxfId="163" priority="146" operator="containsText" text="Выезд с территории">
      <formula>NOT(ISERROR(SEARCH("Выезд с территории",B2102)))</formula>
    </cfRule>
  </conditionalFormatting>
  <conditionalFormatting sqref="B2102">
    <cfRule type="containsText" dxfId="162" priority="144" operator="containsText" text="Газель базы">
      <formula>NOT(ISERROR(SEARCH("Газель базы",B2102)))</formula>
    </cfRule>
    <cfRule type="containsText" dxfId="161" priority="145" operator="containsText" text="Погрузчик базы">
      <formula>NOT(ISERROR(SEARCH("Погрузчик базы",B2102)))</formula>
    </cfRule>
  </conditionalFormatting>
  <conditionalFormatting sqref="B2102">
    <cfRule type="containsText" dxfId="160" priority="143" operator="containsText" text="Трактор базы">
      <formula>NOT(ISERROR(SEARCH("Трактор базы",B2102)))</formula>
    </cfRule>
  </conditionalFormatting>
  <conditionalFormatting sqref="B2103">
    <cfRule type="containsText" dxfId="159" priority="139" operator="containsText" text="Трактор базы">
      <formula>NOT(ISERROR(SEARCH("Трактор базы",B2103)))</formula>
    </cfRule>
  </conditionalFormatting>
  <conditionalFormatting sqref="B2103">
    <cfRule type="containsText" dxfId="158" priority="142" operator="containsText" text="Выезд с территории">
      <formula>NOT(ISERROR(SEARCH("Выезд с территории",B2103)))</formula>
    </cfRule>
  </conditionalFormatting>
  <conditionalFormatting sqref="B2103">
    <cfRule type="containsText" dxfId="157" priority="140" operator="containsText" text="Газель базы">
      <formula>NOT(ISERROR(SEARCH("Газель базы",B2103)))</formula>
    </cfRule>
    <cfRule type="containsText" dxfId="156" priority="141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155" priority="136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154" priority="138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153" priority="137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152" priority="135" operator="containsText" text="Выезд с территории">
      <formula>NOT(ISERROR(SEARCH("Выезд с территории",B2276)))</formula>
    </cfRule>
  </conditionalFormatting>
  <conditionalFormatting sqref="B2276">
    <cfRule type="containsText" dxfId="151" priority="133" operator="containsText" text="Газель базы">
      <formula>NOT(ISERROR(SEARCH("Газель базы",B2276)))</formula>
    </cfRule>
    <cfRule type="containsText" dxfId="150" priority="134" operator="containsText" text="Погрузчик базы">
      <formula>NOT(ISERROR(SEARCH("Погрузчик базы",B2276)))</formula>
    </cfRule>
  </conditionalFormatting>
  <conditionalFormatting sqref="B2276">
    <cfRule type="containsText" dxfId="149" priority="132" operator="containsText" text="Трактор базы">
      <formula>NOT(ISERROR(SEARCH("Трактор базы",B2276)))</formula>
    </cfRule>
  </conditionalFormatting>
  <conditionalFormatting sqref="B2277">
    <cfRule type="containsText" dxfId="148" priority="128" operator="containsText" text="Трактор базы">
      <formula>NOT(ISERROR(SEARCH("Трактор базы",B2277)))</formula>
    </cfRule>
  </conditionalFormatting>
  <conditionalFormatting sqref="B2277">
    <cfRule type="containsText" dxfId="147" priority="131" operator="containsText" text="Выезд с территории">
      <formula>NOT(ISERROR(SEARCH("Выезд с территории",B2277)))</formula>
    </cfRule>
  </conditionalFormatting>
  <conditionalFormatting sqref="B2277">
    <cfRule type="containsText" dxfId="146" priority="129" operator="containsText" text="Газель базы">
      <formula>NOT(ISERROR(SEARCH("Газель базы",B2277)))</formula>
    </cfRule>
    <cfRule type="containsText" dxfId="145" priority="130" operator="containsText" text="Погрузчик базы">
      <formula>NOT(ISERROR(SEARCH("Погрузчик базы",B2277)))</formula>
    </cfRule>
  </conditionalFormatting>
  <conditionalFormatting sqref="A2279">
    <cfRule type="containsText" dxfId="144" priority="125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143" priority="127" operator="containsText" text="Выезд с территории">
      <formula>NOT(ISERROR(SEARCH("Выезд с территории",A2279)))</formula>
    </cfRule>
  </conditionalFormatting>
  <conditionalFormatting sqref="A2279">
    <cfRule type="containsText" dxfId="142" priority="126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141" priority="122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140" priority="124" operator="containsText" text="Выезд с территории">
      <formula>NOT(ISERROR(SEARCH("Выезд с территории",A2347)))</formula>
    </cfRule>
  </conditionalFormatting>
  <conditionalFormatting sqref="A2347">
    <cfRule type="containsText" dxfId="139" priority="123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138" priority="103" operator="containsText" text="Трактор базы">
      <formula>NOT(ISERROR(SEARCH("Трактор базы",B2382)))</formula>
    </cfRule>
  </conditionalFormatting>
  <conditionalFormatting sqref="B2348:B2349">
    <cfRule type="containsText" dxfId="137" priority="121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136" priority="119" operator="containsText" text="Газель базы">
      <formula>NOT(ISERROR(SEARCH("Газель базы",B2348)))</formula>
    </cfRule>
    <cfRule type="containsText" dxfId="135" priority="120" operator="containsText" text="Погрузчик базы">
      <formula>NOT(ISERROR(SEARCH("Погрузчик базы",B2348)))</formula>
    </cfRule>
  </conditionalFormatting>
  <conditionalFormatting sqref="B2348:B2349">
    <cfRule type="containsText" dxfId="134" priority="118" operator="containsText" text="Трактор базы">
      <formula>NOT(ISERROR(SEARCH("Трактор базы",B2348)))</formula>
    </cfRule>
  </conditionalFormatting>
  <conditionalFormatting sqref="A2350">
    <cfRule type="containsText" dxfId="133" priority="115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132" priority="117" operator="containsText" text="Выезд с территории">
      <formula>NOT(ISERROR(SEARCH("Выезд с территории",A2350)))</formula>
    </cfRule>
  </conditionalFormatting>
  <conditionalFormatting sqref="A2350">
    <cfRule type="containsText" dxfId="131" priority="116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130" priority="114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129" priority="112" operator="containsText" text="Газель базы">
      <formula>NOT(ISERROR(SEARCH("Газель базы",B2352)))</formula>
    </cfRule>
    <cfRule type="containsText" dxfId="128" priority="113" operator="containsText" text="Погрузчик базы">
      <formula>NOT(ISERROR(SEARCH("Погрузчик базы",B2352)))</formula>
    </cfRule>
  </conditionalFormatting>
  <conditionalFormatting sqref="B2352:B2354">
    <cfRule type="containsText" dxfId="127" priority="111" operator="containsText" text="Трактор базы">
      <formula>NOT(ISERROR(SEARCH("Трактор базы",B2352)))</formula>
    </cfRule>
  </conditionalFormatting>
  <conditionalFormatting sqref="B2358">
    <cfRule type="containsText" dxfId="126" priority="110" operator="containsText" text="Выезд с территории">
      <formula>NOT(ISERROR(SEARCH("Выезд с территории",B2358)))</formula>
    </cfRule>
  </conditionalFormatting>
  <conditionalFormatting sqref="B2358">
    <cfRule type="containsText" dxfId="125" priority="108" operator="containsText" text="Газель базы">
      <formula>NOT(ISERROR(SEARCH("Газель базы",B2358)))</formula>
    </cfRule>
    <cfRule type="containsText" dxfId="124" priority="109" operator="containsText" text="Погрузчик базы">
      <formula>NOT(ISERROR(SEARCH("Погрузчик базы",B2358)))</formula>
    </cfRule>
  </conditionalFormatting>
  <conditionalFormatting sqref="B2358">
    <cfRule type="containsText" dxfId="123" priority="107" operator="containsText" text="Трактор базы">
      <formula>NOT(ISERROR(SEARCH("Трактор базы",B2358)))</formula>
    </cfRule>
  </conditionalFormatting>
  <conditionalFormatting sqref="B2382">
    <cfRule type="containsText" dxfId="122" priority="106" operator="containsText" text="Выезд с территории">
      <formula>NOT(ISERROR(SEARCH("Выезд с территории",B2382)))</formula>
    </cfRule>
  </conditionalFormatting>
  <conditionalFormatting sqref="B2382">
    <cfRule type="containsText" dxfId="121" priority="104" operator="containsText" text="Газель базы">
      <formula>NOT(ISERROR(SEARCH("Газель базы",B2382)))</formula>
    </cfRule>
    <cfRule type="containsText" dxfId="120" priority="105" operator="containsText" text="Погрузчик базы">
      <formula>NOT(ISERROR(SEARCH("Погрузчик базы",B2382)))</formula>
    </cfRule>
  </conditionalFormatting>
  <conditionalFormatting sqref="B2423:B2424">
    <cfRule type="containsText" dxfId="119" priority="102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118" priority="100" operator="containsText" text="Газель базы">
      <formula>NOT(ISERROR(SEARCH("Газель базы",B2423)))</formula>
    </cfRule>
    <cfRule type="containsText" dxfId="117" priority="101" operator="containsText" text="Погрузчик базы">
      <formula>NOT(ISERROR(SEARCH("Погрузчик базы",B2423)))</formula>
    </cfRule>
  </conditionalFormatting>
  <conditionalFormatting sqref="B2423:B2424">
    <cfRule type="containsText" dxfId="116" priority="99" operator="containsText" text="Трактор базы">
      <formula>NOT(ISERROR(SEARCH("Трактор базы",B2423)))</formula>
    </cfRule>
  </conditionalFormatting>
  <conditionalFormatting sqref="B2431">
    <cfRule type="containsText" dxfId="115" priority="98" operator="containsText" text="Выезд с территории">
      <formula>NOT(ISERROR(SEARCH("Выезд с территории",B2431)))</formula>
    </cfRule>
  </conditionalFormatting>
  <conditionalFormatting sqref="B2431">
    <cfRule type="containsText" dxfId="114" priority="96" operator="containsText" text="Газель базы">
      <formula>NOT(ISERROR(SEARCH("Газель базы",B2431)))</formula>
    </cfRule>
    <cfRule type="containsText" dxfId="113" priority="97" operator="containsText" text="Погрузчик базы">
      <formula>NOT(ISERROR(SEARCH("Погрузчик базы",B2431)))</formula>
    </cfRule>
  </conditionalFormatting>
  <conditionalFormatting sqref="B2431">
    <cfRule type="containsText" dxfId="112" priority="95" operator="containsText" text="Трактор базы">
      <formula>NOT(ISERROR(SEARCH("Трактор базы",B2431)))</formula>
    </cfRule>
  </conditionalFormatting>
  <conditionalFormatting sqref="B2478">
    <cfRule type="containsText" dxfId="111" priority="83" operator="containsText" text="Трактор базы">
      <formula>NOT(ISERROR(SEARCH("Трактор базы",B2478)))</formula>
    </cfRule>
  </conditionalFormatting>
  <conditionalFormatting sqref="B2462:B2463">
    <cfRule type="containsText" dxfId="110" priority="94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109" priority="92" operator="containsText" text="Газель базы">
      <formula>NOT(ISERROR(SEARCH("Газель базы",B2462)))</formula>
    </cfRule>
    <cfRule type="containsText" dxfId="108" priority="93" operator="containsText" text="Погрузчик базы">
      <formula>NOT(ISERROR(SEARCH("Погрузчик базы",B2462)))</formula>
    </cfRule>
  </conditionalFormatting>
  <conditionalFormatting sqref="B2462:B2463">
    <cfRule type="containsText" dxfId="107" priority="91" operator="containsText" text="Трактор базы">
      <formula>NOT(ISERROR(SEARCH("Трактор базы",B2462)))</formula>
    </cfRule>
  </conditionalFormatting>
  <conditionalFormatting sqref="B2467">
    <cfRule type="containsText" dxfId="106" priority="90" operator="containsText" text="Выезд с территории">
      <formula>NOT(ISERROR(SEARCH("Выезд с территории",B2467)))</formula>
    </cfRule>
  </conditionalFormatting>
  <conditionalFormatting sqref="B2467">
    <cfRule type="containsText" dxfId="105" priority="88" operator="containsText" text="Газель базы">
      <formula>NOT(ISERROR(SEARCH("Газель базы",B2467)))</formula>
    </cfRule>
    <cfRule type="containsText" dxfId="104" priority="89" operator="containsText" text="Погрузчик базы">
      <formula>NOT(ISERROR(SEARCH("Погрузчик базы",B2467)))</formula>
    </cfRule>
  </conditionalFormatting>
  <conditionalFormatting sqref="B2467">
    <cfRule type="containsText" dxfId="103" priority="87" operator="containsText" text="Трактор базы">
      <formula>NOT(ISERROR(SEARCH("Трактор базы",B2467)))</formula>
    </cfRule>
  </conditionalFormatting>
  <conditionalFormatting sqref="B2478">
    <cfRule type="containsText" dxfId="102" priority="86" operator="containsText" text="Выезд с территории">
      <formula>NOT(ISERROR(SEARCH("Выезд с территории",B2478)))</formula>
    </cfRule>
  </conditionalFormatting>
  <conditionalFormatting sqref="B2478">
    <cfRule type="containsText" dxfId="101" priority="84" operator="containsText" text="Газель базы">
      <formula>NOT(ISERROR(SEARCH("Газель базы",B2478)))</formula>
    </cfRule>
    <cfRule type="containsText" dxfId="100" priority="85" operator="containsText" text="Погрузчик базы">
      <formula>NOT(ISERROR(SEARCH("Погрузчик базы",B2478)))</formula>
    </cfRule>
  </conditionalFormatting>
  <conditionalFormatting sqref="B2499">
    <cfRule type="containsText" dxfId="99" priority="71" operator="containsText" text="Трактор базы">
      <formula>NOT(ISERROR(SEARCH("Трактор базы",B2499)))</formula>
    </cfRule>
  </conditionalFormatting>
  <conditionalFormatting sqref="B2497">
    <cfRule type="containsText" dxfId="98" priority="82" operator="containsText" text="Выезд с территории">
      <formula>NOT(ISERROR(SEARCH("Выезд с территории",B2497)))</formula>
    </cfRule>
  </conditionalFormatting>
  <conditionalFormatting sqref="B2497">
    <cfRule type="containsText" dxfId="97" priority="80" operator="containsText" text="Газель базы">
      <formula>NOT(ISERROR(SEARCH("Газель базы",B2497)))</formula>
    </cfRule>
    <cfRule type="containsText" dxfId="96" priority="81" operator="containsText" text="Погрузчик базы">
      <formula>NOT(ISERROR(SEARCH("Погрузчик базы",B2497)))</formula>
    </cfRule>
  </conditionalFormatting>
  <conditionalFormatting sqref="B2497">
    <cfRule type="containsText" dxfId="95" priority="79" operator="containsText" text="Трактор базы">
      <formula>NOT(ISERROR(SEARCH("Трактор базы",B2497)))</formula>
    </cfRule>
  </conditionalFormatting>
  <conditionalFormatting sqref="B2498">
    <cfRule type="containsText" dxfId="94" priority="78" operator="containsText" text="Выезд с территории">
      <formula>NOT(ISERROR(SEARCH("Выезд с территории",B2498)))</formula>
    </cfRule>
  </conditionalFormatting>
  <conditionalFormatting sqref="B2498">
    <cfRule type="containsText" dxfId="93" priority="76" operator="containsText" text="Газель базы">
      <formula>NOT(ISERROR(SEARCH("Газель базы",B2498)))</formula>
    </cfRule>
    <cfRule type="containsText" dxfId="92" priority="77" operator="containsText" text="Погрузчик базы">
      <formula>NOT(ISERROR(SEARCH("Погрузчик базы",B2498)))</formula>
    </cfRule>
  </conditionalFormatting>
  <conditionalFormatting sqref="B2498">
    <cfRule type="containsText" dxfId="91" priority="75" operator="containsText" text="Трактор базы">
      <formula>NOT(ISERROR(SEARCH("Трактор базы",B2498)))</formula>
    </cfRule>
  </conditionalFormatting>
  <conditionalFormatting sqref="B2499">
    <cfRule type="containsText" dxfId="90" priority="74" operator="containsText" text="Выезд с территории">
      <formula>NOT(ISERROR(SEARCH("Выезд с территории",B2499)))</formula>
    </cfRule>
  </conditionalFormatting>
  <conditionalFormatting sqref="B2499">
    <cfRule type="containsText" dxfId="89" priority="72" operator="containsText" text="Газель базы">
      <formula>NOT(ISERROR(SEARCH("Газель базы",B2499)))</formula>
    </cfRule>
    <cfRule type="containsText" dxfId="88" priority="73" operator="containsText" text="Погрузчик базы">
      <formula>NOT(ISERROR(SEARCH("Погрузчик базы",B2499)))</formula>
    </cfRule>
  </conditionalFormatting>
  <conditionalFormatting sqref="B2512:B2513">
    <cfRule type="containsText" dxfId="87" priority="45" operator="containsText" text="Трактор базы">
      <formula>NOT(ISERROR(SEARCH("Трактор базы",B2512)))</formula>
    </cfRule>
  </conditionalFormatting>
  <conditionalFormatting sqref="B2500">
    <cfRule type="containsText" dxfId="86" priority="70" operator="containsText" text="Выезд с территории">
      <formula>NOT(ISERROR(SEARCH("Выезд с территории",B2500)))</formula>
    </cfRule>
  </conditionalFormatting>
  <conditionalFormatting sqref="B2500">
    <cfRule type="containsText" dxfId="85" priority="68" operator="containsText" text="Газель базы">
      <formula>NOT(ISERROR(SEARCH("Газель базы",B2500)))</formula>
    </cfRule>
    <cfRule type="containsText" dxfId="84" priority="69" operator="containsText" text="Погрузчик базы">
      <formula>NOT(ISERROR(SEARCH("Погрузчик базы",B2500)))</formula>
    </cfRule>
  </conditionalFormatting>
  <conditionalFormatting sqref="B2500">
    <cfRule type="containsText" dxfId="83" priority="67" operator="containsText" text="Трактор базы">
      <formula>NOT(ISERROR(SEARCH("Трактор базы",B2500)))</formula>
    </cfRule>
  </conditionalFormatting>
  <conditionalFormatting sqref="B2501">
    <cfRule type="containsText" dxfId="82" priority="66" operator="containsText" text="Выезд с территории">
      <formula>NOT(ISERROR(SEARCH("Выезд с территории",B2501)))</formula>
    </cfRule>
  </conditionalFormatting>
  <conditionalFormatting sqref="B2501">
    <cfRule type="containsText" dxfId="81" priority="64" operator="containsText" text="Газель базы">
      <formula>NOT(ISERROR(SEARCH("Газель базы",B2501)))</formula>
    </cfRule>
    <cfRule type="containsText" dxfId="80" priority="65" operator="containsText" text="Погрузчик базы">
      <formula>NOT(ISERROR(SEARCH("Погрузчик базы",B2501)))</formula>
    </cfRule>
  </conditionalFormatting>
  <conditionalFormatting sqref="B2501">
    <cfRule type="containsText" dxfId="79" priority="63" operator="containsText" text="Трактор базы">
      <formula>NOT(ISERROR(SEARCH("Трактор базы",B2501)))</formula>
    </cfRule>
  </conditionalFormatting>
  <conditionalFormatting sqref="B2502">
    <cfRule type="containsText" dxfId="78" priority="59" operator="containsText" text="Трактор базы">
      <formula>NOT(ISERROR(SEARCH("Трактор базы",B2502)))</formula>
    </cfRule>
  </conditionalFormatting>
  <conditionalFormatting sqref="B2502">
    <cfRule type="containsText" dxfId="77" priority="62" operator="containsText" text="Выезд с территории">
      <formula>NOT(ISERROR(SEARCH("Выезд с территории",B2502)))</formula>
    </cfRule>
  </conditionalFormatting>
  <conditionalFormatting sqref="B2502">
    <cfRule type="containsText" dxfId="76" priority="60" operator="containsText" text="Газель базы">
      <formula>NOT(ISERROR(SEARCH("Газель базы",B2502)))</formula>
    </cfRule>
    <cfRule type="containsText" dxfId="75" priority="61" operator="containsText" text="Погрузчик базы">
      <formula>NOT(ISERROR(SEARCH("Погрузчик базы",B2502)))</formula>
    </cfRule>
  </conditionalFormatting>
  <conditionalFormatting sqref="A2503:A2504">
    <cfRule type="containsText" dxfId="74" priority="56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73" priority="58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72" priority="57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71" priority="53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70" priority="55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69" priority="54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68" priority="52" operator="containsText" text="Выезд с территории">
      <formula>NOT(ISERROR(SEARCH("Выезд с территории",B2509)))</formula>
    </cfRule>
  </conditionalFormatting>
  <conditionalFormatting sqref="B2509">
    <cfRule type="containsText" dxfId="67" priority="50" operator="containsText" text="Газель базы">
      <formula>NOT(ISERROR(SEARCH("Газель базы",B2509)))</formula>
    </cfRule>
    <cfRule type="containsText" dxfId="66" priority="51" operator="containsText" text="Погрузчик базы">
      <formula>NOT(ISERROR(SEARCH("Погрузчик базы",B2509)))</formula>
    </cfRule>
  </conditionalFormatting>
  <conditionalFormatting sqref="B2509">
    <cfRule type="containsText" dxfId="65" priority="49" operator="containsText" text="Трактор базы">
      <formula>NOT(ISERROR(SEARCH("Трактор базы",B2509)))</formula>
    </cfRule>
  </conditionalFormatting>
  <conditionalFormatting sqref="B2512:B2513">
    <cfRule type="containsText" dxfId="64" priority="48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63" priority="46" operator="containsText" text="Газель базы">
      <formula>NOT(ISERROR(SEARCH("Газель базы",B2512)))</formula>
    </cfRule>
    <cfRule type="containsText" dxfId="62" priority="47" operator="containsText" text="Погрузчик базы">
      <formula>NOT(ISERROR(SEARCH("Погрузчик базы",B2512)))</formula>
    </cfRule>
  </conditionalFormatting>
  <conditionalFormatting sqref="E2586">
    <cfRule type="containsText" dxfId="61" priority="44" operator="containsText" text="Выезд с территории">
      <formula>NOT(ISERROR(SEARCH("Выезд с территории",E2586)))</formula>
    </cfRule>
  </conditionalFormatting>
  <conditionalFormatting sqref="A2710">
    <cfRule type="containsText" dxfId="60" priority="41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59" priority="43" operator="containsText" text="Выезд с территории">
      <formula>NOT(ISERROR(SEARCH("Выезд с территории",A2710)))</formula>
    </cfRule>
  </conditionalFormatting>
  <conditionalFormatting sqref="A2710">
    <cfRule type="containsText" dxfId="58" priority="42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57" priority="40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56" priority="38" operator="containsText" text="Газель базы">
      <formula>NOT(ISERROR(SEARCH("Газель базы",B2810)))</formula>
    </cfRule>
    <cfRule type="containsText" dxfId="55" priority="39" operator="containsText" text="Погрузчик базы">
      <formula>NOT(ISERROR(SEARCH("Погрузчик базы",B2810)))</formula>
    </cfRule>
  </conditionalFormatting>
  <conditionalFormatting sqref="B2810:B2811">
    <cfRule type="containsText" dxfId="54" priority="37" operator="containsText" text="Трактор базы">
      <formula>NOT(ISERROR(SEARCH("Трактор базы",B2810)))</formula>
    </cfRule>
  </conditionalFormatting>
  <conditionalFormatting sqref="B2923:B2927">
    <cfRule type="containsText" dxfId="53" priority="33" operator="containsText" text="Трактор базы">
      <formula>NOT(ISERROR(SEARCH("Трактор базы",B2923)))</formula>
    </cfRule>
  </conditionalFormatting>
  <conditionalFormatting sqref="B2923:B2927">
    <cfRule type="containsText" dxfId="52" priority="36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51" priority="34" operator="containsText" text="Газель базы">
      <formula>NOT(ISERROR(SEARCH("Газель базы",B2923)))</formula>
    </cfRule>
    <cfRule type="containsText" dxfId="50" priority="35" operator="containsText" text="Погрузчик базы">
      <formula>NOT(ISERROR(SEARCH("Погрузчик базы",B2923)))</formula>
    </cfRule>
  </conditionalFormatting>
  <conditionalFormatting sqref="A2991">
    <cfRule type="containsText" dxfId="49" priority="32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8" priority="31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7" priority="30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6" priority="29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5" priority="27" operator="containsText" text="Газель базы">
      <formula>NOT(ISERROR(SEARCH("Газель базы",B2993)))</formula>
    </cfRule>
    <cfRule type="containsText" dxfId="44" priority="28" operator="containsText" text="Погрузчик базы">
      <formula>NOT(ISERROR(SEARCH("Погрузчик базы",B2993)))</formula>
    </cfRule>
  </conditionalFormatting>
  <conditionalFormatting sqref="B2993">
    <cfRule type="containsText" dxfId="43" priority="26" operator="containsText" text="Трактор базы">
      <formula>NOT(ISERROR(SEARCH("Трактор базы",B2993)))</formula>
    </cfRule>
  </conditionalFormatting>
  <conditionalFormatting sqref="B2995">
    <cfRule type="containsText" dxfId="42" priority="22" operator="containsText" text="Трактор базы">
      <formula>NOT(ISERROR(SEARCH("Трактор базы",B2995)))</formula>
    </cfRule>
  </conditionalFormatting>
  <conditionalFormatting sqref="B2995">
    <cfRule type="containsText" dxfId="41" priority="25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0" priority="23" operator="containsText" text="Газель базы">
      <formula>NOT(ISERROR(SEARCH("Газель базы",B2995)))</formula>
    </cfRule>
    <cfRule type="containsText" dxfId="39" priority="24" operator="containsText" text="Погрузчик базы">
      <formula>NOT(ISERROR(SEARCH("Погрузчик базы",B2995)))</formula>
    </cfRule>
  </conditionalFormatting>
  <conditionalFormatting sqref="A3008">
    <cfRule type="containsText" dxfId="38" priority="19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7" priority="21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6" priority="20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5" priority="16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4" priority="18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3" priority="17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2" priority="13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1" priority="15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0" priority="14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9" priority="9" operator="containsText" text="Трактор базы">
      <formula>NOT(ISERROR(SEARCH("Трактор базы",B3150)))</formula>
    </cfRule>
  </conditionalFormatting>
  <conditionalFormatting sqref="B3203">
    <cfRule type="containsText" dxfId="28" priority="1" operator="containsText" text="Трактор базы">
      <formula>NOT(ISERROR(SEARCH("Трактор базы",B3203)))</formula>
    </cfRule>
  </conditionalFormatting>
  <conditionalFormatting sqref="B3150:B3151">
    <cfRule type="containsText" dxfId="27" priority="12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6" priority="10" operator="containsText" text="Газель базы">
      <formula>NOT(ISERROR(SEARCH("Газель базы",B3150)))</formula>
    </cfRule>
    <cfRule type="containsText" dxfId="25" priority="11" operator="containsText" text="Погрузчик базы">
      <formula>NOT(ISERROR(SEARCH("Погрузчик базы",B3150)))</formula>
    </cfRule>
  </conditionalFormatting>
  <conditionalFormatting sqref="B3201">
    <cfRule type="containsText" dxfId="24" priority="5" operator="containsText" text="Трактор базы">
      <formula>NOT(ISERROR(SEARCH("Трактор базы",B3201)))</formula>
    </cfRule>
  </conditionalFormatting>
  <conditionalFormatting sqref="B3201">
    <cfRule type="containsText" dxfId="23" priority="8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2" priority="6" operator="containsText" text="Газель базы">
      <formula>NOT(ISERROR(SEARCH("Газель базы",B3201)))</formula>
    </cfRule>
    <cfRule type="containsText" dxfId="21" priority="7" operator="containsText" text="Погрузчик базы">
      <formula>NOT(ISERROR(SEARCH("Погрузчик базы",B3201)))</formula>
    </cfRule>
  </conditionalFormatting>
  <conditionalFormatting sqref="B3203">
    <cfRule type="containsText" dxfId="20" priority="4" operator="containsText" text="Выезд с территории">
      <formula>NOT(ISERROR(SEARCH("Выезд с территории",B3203)))</formula>
    </cfRule>
  </conditionalFormatting>
  <conditionalFormatting sqref="B3203">
    <cfRule type="containsText" dxfId="19" priority="2" operator="containsText" text="Газель базы">
      <formula>NOT(ISERROR(SEARCH("Газель базы",B3203)))</formula>
    </cfRule>
    <cfRule type="containsText" dxfId="18" priority="3" operator="containsText" text="Погрузчик базы">
      <formula>NOT(ISERROR(SEARCH("Погрузчик базы",B3203)))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13"/>
  <sheetViews>
    <sheetView topLeftCell="A187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2956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2956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2956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2956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2956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2956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2956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2957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2956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2957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2957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2957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2957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2957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2957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2956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2956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2956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2956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2956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2956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2956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2956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2962</v>
      </c>
      <c r="H55" t="s">
        <v>2956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2963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2963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2962</v>
      </c>
      <c r="H59" t="s">
        <v>2957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2963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2962</v>
      </c>
      <c r="H61" t="s">
        <v>2957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2957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2962</v>
      </c>
      <c r="H63" t="s">
        <v>2957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2956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2962</v>
      </c>
      <c r="H65" t="s">
        <v>2957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2963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2962</v>
      </c>
      <c r="H67" t="s">
        <v>2957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3946</v>
      </c>
      <c r="J69" t="s">
        <v>2985</v>
      </c>
      <c r="K69" t="s">
        <v>3947</v>
      </c>
      <c r="L69" t="s">
        <v>3948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3943</v>
      </c>
      <c r="J70" t="s">
        <v>2985</v>
      </c>
      <c r="K70" t="s">
        <v>3944</v>
      </c>
      <c r="L70" t="s">
        <v>3945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4233</v>
      </c>
      <c r="H71" t="s">
        <v>1618</v>
      </c>
      <c r="I71" t="s">
        <v>3955</v>
      </c>
      <c r="J71" t="s">
        <v>2985</v>
      </c>
      <c r="K71" t="s">
        <v>3956</v>
      </c>
      <c r="L71" t="s">
        <v>3957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3949</v>
      </c>
      <c r="J72" t="s">
        <v>2985</v>
      </c>
      <c r="K72" t="s">
        <v>3950</v>
      </c>
      <c r="L72" t="s">
        <v>3951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3931</v>
      </c>
      <c r="J74" t="s">
        <v>2985</v>
      </c>
      <c r="K74" t="s">
        <v>3932</v>
      </c>
      <c r="L74" t="s">
        <v>3933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3940</v>
      </c>
      <c r="J75" t="s">
        <v>2985</v>
      </c>
      <c r="K75" t="s">
        <v>3941</v>
      </c>
      <c r="L75" t="s">
        <v>3942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3937</v>
      </c>
      <c r="J76" t="s">
        <v>2985</v>
      </c>
      <c r="K76" t="s">
        <v>3938</v>
      </c>
      <c r="L76" t="s">
        <v>3939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3928</v>
      </c>
      <c r="J77" t="s">
        <v>2985</v>
      </c>
      <c r="K77" t="s">
        <v>3929</v>
      </c>
      <c r="L77" t="s">
        <v>3930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4192</v>
      </c>
      <c r="F78" t="s">
        <v>58</v>
      </c>
      <c r="H78" t="s">
        <v>2936</v>
      </c>
      <c r="I78" t="s">
        <v>4010</v>
      </c>
      <c r="J78" t="s">
        <v>2985</v>
      </c>
      <c r="K78" t="s">
        <v>4011</v>
      </c>
      <c r="L78" t="s">
        <v>4012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4192</v>
      </c>
      <c r="F79" t="s">
        <v>58</v>
      </c>
      <c r="I79" t="s">
        <v>3989</v>
      </c>
      <c r="J79" t="s">
        <v>2985</v>
      </c>
      <c r="K79" t="s">
        <v>3990</v>
      </c>
      <c r="L79" t="s">
        <v>3991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4192</v>
      </c>
      <c r="F80" t="s">
        <v>58</v>
      </c>
      <c r="H80" t="s">
        <v>2936</v>
      </c>
      <c r="I80" t="s">
        <v>3992</v>
      </c>
      <c r="J80" t="s">
        <v>2985</v>
      </c>
      <c r="K80" t="s">
        <v>3993</v>
      </c>
      <c r="L80" t="s">
        <v>3994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4192</v>
      </c>
      <c r="F81" t="s">
        <v>58</v>
      </c>
      <c r="H81" t="s">
        <v>2936</v>
      </c>
      <c r="I81" t="s">
        <v>3995</v>
      </c>
      <c r="J81" t="s">
        <v>2985</v>
      </c>
      <c r="K81" t="s">
        <v>3996</v>
      </c>
      <c r="L81" t="s">
        <v>3997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4192</v>
      </c>
      <c r="F82" t="s">
        <v>58</v>
      </c>
      <c r="H82" t="s">
        <v>2936</v>
      </c>
      <c r="I82" t="s">
        <v>4007</v>
      </c>
      <c r="J82" t="s">
        <v>2985</v>
      </c>
      <c r="K82" t="s">
        <v>4008</v>
      </c>
      <c r="L82" t="s">
        <v>4009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4192</v>
      </c>
      <c r="F83" t="s">
        <v>58</v>
      </c>
      <c r="H83" t="s">
        <v>2936</v>
      </c>
      <c r="I83" t="s">
        <v>3971</v>
      </c>
      <c r="J83" t="s">
        <v>2985</v>
      </c>
      <c r="K83" t="s">
        <v>3972</v>
      </c>
      <c r="L83" t="s">
        <v>3973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4192</v>
      </c>
      <c r="F84" t="s">
        <v>58</v>
      </c>
      <c r="I84" t="s">
        <v>4004</v>
      </c>
      <c r="J84" t="s">
        <v>2985</v>
      </c>
      <c r="K84" t="s">
        <v>4005</v>
      </c>
      <c r="L84" t="s">
        <v>4006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4192</v>
      </c>
      <c r="F85" t="s">
        <v>58</v>
      </c>
      <c r="H85" t="s">
        <v>2936</v>
      </c>
      <c r="I85" t="s">
        <v>3977</v>
      </c>
      <c r="J85" t="s">
        <v>2985</v>
      </c>
      <c r="K85" t="s">
        <v>3978</v>
      </c>
      <c r="L85" t="s">
        <v>3979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4192</v>
      </c>
      <c r="F86" t="s">
        <v>58</v>
      </c>
      <c r="H86" t="s">
        <v>2936</v>
      </c>
      <c r="I86" t="s">
        <v>3974</v>
      </c>
      <c r="J86" t="s">
        <v>2985</v>
      </c>
      <c r="K86" t="s">
        <v>3975</v>
      </c>
      <c r="L86" t="s">
        <v>3976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4192</v>
      </c>
      <c r="F87" t="s">
        <v>58</v>
      </c>
      <c r="H87" t="s">
        <v>2936</v>
      </c>
      <c r="I87" t="s">
        <v>3968</v>
      </c>
      <c r="J87" t="s">
        <v>2985</v>
      </c>
      <c r="K87" t="s">
        <v>3969</v>
      </c>
      <c r="L87" t="s">
        <v>3970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4192</v>
      </c>
      <c r="F88" t="s">
        <v>58</v>
      </c>
      <c r="H88" t="s">
        <v>2936</v>
      </c>
      <c r="I88" t="s">
        <v>3983</v>
      </c>
      <c r="J88" t="s">
        <v>2985</v>
      </c>
      <c r="K88" t="s">
        <v>3984</v>
      </c>
      <c r="L88" t="s">
        <v>3985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4192</v>
      </c>
      <c r="F89" t="s">
        <v>58</v>
      </c>
      <c r="H89" t="s">
        <v>2936</v>
      </c>
      <c r="I89" t="s">
        <v>3980</v>
      </c>
      <c r="J89" t="s">
        <v>2985</v>
      </c>
      <c r="K89" t="s">
        <v>3981</v>
      </c>
      <c r="L89" t="s">
        <v>3982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4192</v>
      </c>
      <c r="F90" t="s">
        <v>58</v>
      </c>
      <c r="H90" t="s">
        <v>1620</v>
      </c>
      <c r="I90" t="s">
        <v>3965</v>
      </c>
      <c r="J90" t="s">
        <v>2985</v>
      </c>
      <c r="K90" t="s">
        <v>3966</v>
      </c>
      <c r="L90" t="s">
        <v>3967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4192</v>
      </c>
      <c r="F91" t="s">
        <v>58</v>
      </c>
      <c r="H91" t="s">
        <v>2936</v>
      </c>
      <c r="I91" t="s">
        <v>4013</v>
      </c>
      <c r="J91" t="s">
        <v>2985</v>
      </c>
      <c r="K91" t="s">
        <v>4014</v>
      </c>
      <c r="L91" t="s">
        <v>4015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4192</v>
      </c>
      <c r="F92" t="s">
        <v>58</v>
      </c>
      <c r="H92" t="s">
        <v>2936</v>
      </c>
      <c r="I92" t="s">
        <v>4103</v>
      </c>
      <c r="J92" t="s">
        <v>2986</v>
      </c>
      <c r="K92" t="s">
        <v>4104</v>
      </c>
      <c r="L92" t="s">
        <v>4105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4192</v>
      </c>
      <c r="F93" t="s">
        <v>58</v>
      </c>
      <c r="I93" t="s">
        <v>4094</v>
      </c>
      <c r="J93" t="s">
        <v>2986</v>
      </c>
      <c r="K93" t="s">
        <v>4095</v>
      </c>
      <c r="L93" t="s">
        <v>4096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4192</v>
      </c>
      <c r="F94" t="s">
        <v>58</v>
      </c>
      <c r="H94" t="s">
        <v>2936</v>
      </c>
      <c r="I94" t="s">
        <v>4097</v>
      </c>
      <c r="J94" t="s">
        <v>2986</v>
      </c>
      <c r="K94" t="s">
        <v>4098</v>
      </c>
      <c r="L94" t="s">
        <v>4099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4192</v>
      </c>
      <c r="F95" t="s">
        <v>58</v>
      </c>
      <c r="H95" t="s">
        <v>2936</v>
      </c>
      <c r="I95" t="s">
        <v>4100</v>
      </c>
      <c r="J95" t="s">
        <v>2986</v>
      </c>
      <c r="K95" t="s">
        <v>4101</v>
      </c>
      <c r="L95" t="s">
        <v>4102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4217</v>
      </c>
      <c r="F96" t="s">
        <v>4211</v>
      </c>
      <c r="H96" t="s">
        <v>2936</v>
      </c>
      <c r="I96" t="s">
        <v>3603</v>
      </c>
      <c r="J96" t="s">
        <v>2984</v>
      </c>
      <c r="K96" t="s">
        <v>3604</v>
      </c>
      <c r="L96" t="s">
        <v>3605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4217</v>
      </c>
      <c r="F97" t="s">
        <v>4211</v>
      </c>
      <c r="H97" t="s">
        <v>2936</v>
      </c>
      <c r="I97" t="s">
        <v>3585</v>
      </c>
      <c r="J97" t="s">
        <v>2984</v>
      </c>
      <c r="K97" t="s">
        <v>3586</v>
      </c>
      <c r="L97" t="s">
        <v>3587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4217</v>
      </c>
      <c r="F98" t="s">
        <v>4211</v>
      </c>
      <c r="H98" t="s">
        <v>2936</v>
      </c>
      <c r="I98" t="s">
        <v>3597</v>
      </c>
      <c r="J98" t="s">
        <v>2984</v>
      </c>
      <c r="K98" t="s">
        <v>3598</v>
      </c>
      <c r="L98" t="s">
        <v>3599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4217</v>
      </c>
      <c r="F99" t="s">
        <v>4211</v>
      </c>
      <c r="H99" t="s">
        <v>2936</v>
      </c>
      <c r="I99" t="s">
        <v>3570</v>
      </c>
      <c r="J99" t="s">
        <v>2984</v>
      </c>
      <c r="K99" t="s">
        <v>3571</v>
      </c>
      <c r="L99" t="s">
        <v>3572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4217</v>
      </c>
      <c r="F100" t="s">
        <v>4211</v>
      </c>
      <c r="H100" t="s">
        <v>2936</v>
      </c>
      <c r="I100" t="s">
        <v>3588</v>
      </c>
      <c r="J100" t="s">
        <v>2984</v>
      </c>
      <c r="K100" t="s">
        <v>3589</v>
      </c>
      <c r="L100" t="s">
        <v>3590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4217</v>
      </c>
      <c r="F101" t="s">
        <v>4211</v>
      </c>
      <c r="H101" t="s">
        <v>2936</v>
      </c>
      <c r="I101" t="s">
        <v>3591</v>
      </c>
      <c r="J101" t="s">
        <v>2984</v>
      </c>
      <c r="K101" t="s">
        <v>3592</v>
      </c>
      <c r="L101" t="s">
        <v>3593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4217</v>
      </c>
      <c r="F102" t="s">
        <v>4211</v>
      </c>
      <c r="H102" t="s">
        <v>2936</v>
      </c>
      <c r="I102" t="s">
        <v>3600</v>
      </c>
      <c r="J102" t="s">
        <v>2984</v>
      </c>
      <c r="K102" t="s">
        <v>3601</v>
      </c>
      <c r="L102" t="s">
        <v>3602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4211</v>
      </c>
      <c r="H103" t="s">
        <v>2936</v>
      </c>
      <c r="I103" t="s">
        <v>3450</v>
      </c>
      <c r="J103" t="s">
        <v>2983</v>
      </c>
      <c r="K103" t="s">
        <v>3451</v>
      </c>
      <c r="L103" t="s">
        <v>3452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4217</v>
      </c>
      <c r="F104" t="s">
        <v>4211</v>
      </c>
      <c r="H104" t="s">
        <v>2936</v>
      </c>
      <c r="I104" t="s">
        <v>3606</v>
      </c>
      <c r="J104" t="s">
        <v>2984</v>
      </c>
      <c r="K104" t="s">
        <v>3607</v>
      </c>
      <c r="L104" t="s">
        <v>3608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4195</v>
      </c>
      <c r="F105" t="s">
        <v>4211</v>
      </c>
      <c r="H105" t="s">
        <v>2936</v>
      </c>
      <c r="I105" t="s">
        <v>3707</v>
      </c>
      <c r="J105" t="s">
        <v>2984</v>
      </c>
      <c r="K105" t="s">
        <v>3708</v>
      </c>
      <c r="L105" t="s">
        <v>3709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4217</v>
      </c>
      <c r="F106" t="s">
        <v>4211</v>
      </c>
      <c r="H106" t="s">
        <v>2936</v>
      </c>
      <c r="I106" t="s">
        <v>3594</v>
      </c>
      <c r="J106" t="s">
        <v>2984</v>
      </c>
      <c r="K106" t="s">
        <v>3595</v>
      </c>
      <c r="L106" t="s">
        <v>3596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4194</v>
      </c>
      <c r="F107" t="s">
        <v>4211</v>
      </c>
      <c r="I107" t="s">
        <v>3612</v>
      </c>
      <c r="J107" t="s">
        <v>2984</v>
      </c>
      <c r="K107" t="s">
        <v>3613</v>
      </c>
      <c r="L107" t="s">
        <v>3614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3710</v>
      </c>
      <c r="J108" t="s">
        <v>2984</v>
      </c>
      <c r="K108" t="s">
        <v>3711</v>
      </c>
      <c r="L108" t="s">
        <v>3712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3375</v>
      </c>
      <c r="J109" t="s">
        <v>2990</v>
      </c>
      <c r="K109" t="s">
        <v>3376</v>
      </c>
      <c r="L109" t="s">
        <v>3377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4211</v>
      </c>
      <c r="H110" t="s">
        <v>2936</v>
      </c>
      <c r="I110" t="s">
        <v>3453</v>
      </c>
      <c r="J110" t="s">
        <v>2983</v>
      </c>
      <c r="K110" t="s">
        <v>3454</v>
      </c>
      <c r="L110" t="s">
        <v>3455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4211</v>
      </c>
      <c r="H111" t="s">
        <v>2936</v>
      </c>
      <c r="I111" t="s">
        <v>3459</v>
      </c>
      <c r="J111" t="s">
        <v>2983</v>
      </c>
      <c r="K111" t="s">
        <v>3460</v>
      </c>
      <c r="L111" t="s">
        <v>3461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4211</v>
      </c>
      <c r="I112" t="s">
        <v>3447</v>
      </c>
      <c r="J112" t="s">
        <v>2983</v>
      </c>
      <c r="K112" t="s">
        <v>3448</v>
      </c>
      <c r="L112" t="s">
        <v>3449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4217</v>
      </c>
      <c r="F113" t="s">
        <v>4211</v>
      </c>
      <c r="H113" t="s">
        <v>2936</v>
      </c>
      <c r="I113" t="s">
        <v>3576</v>
      </c>
      <c r="J113" t="s">
        <v>2984</v>
      </c>
      <c r="K113" t="s">
        <v>3577</v>
      </c>
      <c r="L113" t="s">
        <v>3578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4217</v>
      </c>
      <c r="F114" t="s">
        <v>4211</v>
      </c>
      <c r="H114" t="s">
        <v>2936</v>
      </c>
      <c r="I114" t="s">
        <v>3579</v>
      </c>
      <c r="J114" t="s">
        <v>2984</v>
      </c>
      <c r="K114" t="s">
        <v>3580</v>
      </c>
      <c r="L114" t="s">
        <v>3581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4211</v>
      </c>
      <c r="H115" t="s">
        <v>2936</v>
      </c>
      <c r="I115" t="s">
        <v>3456</v>
      </c>
      <c r="J115" t="s">
        <v>2983</v>
      </c>
      <c r="K115" t="s">
        <v>3457</v>
      </c>
      <c r="L115" t="s">
        <v>3458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4217</v>
      </c>
      <c r="F116" t="s">
        <v>4211</v>
      </c>
      <c r="H116" t="s">
        <v>2936</v>
      </c>
      <c r="I116" t="s">
        <v>3573</v>
      </c>
      <c r="J116" t="s">
        <v>2984</v>
      </c>
      <c r="K116" t="s">
        <v>3574</v>
      </c>
      <c r="L116" t="s">
        <v>3575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4217</v>
      </c>
      <c r="F117" t="s">
        <v>4211</v>
      </c>
      <c r="H117" t="s">
        <v>2936</v>
      </c>
      <c r="I117" t="s">
        <v>3582</v>
      </c>
      <c r="J117" t="s">
        <v>2984</v>
      </c>
      <c r="K117" t="s">
        <v>3583</v>
      </c>
      <c r="L117" t="s">
        <v>3584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4217</v>
      </c>
      <c r="F118" t="s">
        <v>4211</v>
      </c>
      <c r="I118" t="s">
        <v>3567</v>
      </c>
      <c r="J118" t="s">
        <v>2984</v>
      </c>
      <c r="K118" t="s">
        <v>3568</v>
      </c>
      <c r="L118" t="s">
        <v>3569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4194</v>
      </c>
      <c r="F119" t="s">
        <v>4211</v>
      </c>
      <c r="H119" t="s">
        <v>2936</v>
      </c>
      <c r="I119" t="s">
        <v>3642</v>
      </c>
      <c r="J119" t="s">
        <v>2984</v>
      </c>
      <c r="K119" t="s">
        <v>3643</v>
      </c>
      <c r="L119" t="s">
        <v>3644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4194</v>
      </c>
      <c r="F120" t="s">
        <v>4211</v>
      </c>
      <c r="H120" t="s">
        <v>2936</v>
      </c>
      <c r="I120" t="s">
        <v>3639</v>
      </c>
      <c r="J120" t="s">
        <v>2984</v>
      </c>
      <c r="K120" t="s">
        <v>3640</v>
      </c>
      <c r="L120" t="s">
        <v>3641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4194</v>
      </c>
      <c r="F121" t="s">
        <v>4211</v>
      </c>
      <c r="H121" t="s">
        <v>2936</v>
      </c>
      <c r="I121" t="s">
        <v>3636</v>
      </c>
      <c r="J121" t="s">
        <v>2984</v>
      </c>
      <c r="K121" t="s">
        <v>3637</v>
      </c>
      <c r="L121" t="s">
        <v>3638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4194</v>
      </c>
      <c r="F123" t="s">
        <v>4211</v>
      </c>
      <c r="H123" t="s">
        <v>2936</v>
      </c>
      <c r="I123" t="s">
        <v>3618</v>
      </c>
      <c r="J123" t="s">
        <v>2984</v>
      </c>
      <c r="K123" t="s">
        <v>3619</v>
      </c>
      <c r="L123" t="s">
        <v>3620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4195</v>
      </c>
      <c r="F124" t="s">
        <v>4211</v>
      </c>
      <c r="H124" t="s">
        <v>2936</v>
      </c>
      <c r="I124" t="s">
        <v>3656</v>
      </c>
      <c r="J124" t="s">
        <v>2984</v>
      </c>
      <c r="K124" t="s">
        <v>3657</v>
      </c>
      <c r="L124" t="s">
        <v>3658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4195</v>
      </c>
      <c r="F125" t="s">
        <v>4211</v>
      </c>
      <c r="I125" t="s">
        <v>3653</v>
      </c>
      <c r="J125" t="s">
        <v>2984</v>
      </c>
      <c r="K125" t="s">
        <v>3654</v>
      </c>
      <c r="L125" t="s">
        <v>3655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3677</v>
      </c>
      <c r="J126" t="s">
        <v>2984</v>
      </c>
      <c r="K126" t="s">
        <v>3678</v>
      </c>
      <c r="L126" t="s">
        <v>3679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4194</v>
      </c>
      <c r="F128" t="s">
        <v>4211</v>
      </c>
      <c r="H128" t="s">
        <v>2936</v>
      </c>
      <c r="I128" t="s">
        <v>3621</v>
      </c>
      <c r="J128" t="s">
        <v>2984</v>
      </c>
      <c r="K128" t="s">
        <v>3622</v>
      </c>
      <c r="L128" t="s">
        <v>3623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4194</v>
      </c>
      <c r="F129" t="s">
        <v>87</v>
      </c>
      <c r="I129" t="s">
        <v>3645</v>
      </c>
      <c r="J129" t="s">
        <v>2984</v>
      </c>
      <c r="K129" t="s">
        <v>3646</v>
      </c>
      <c r="L129" t="s">
        <v>3647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4195</v>
      </c>
      <c r="F130" t="s">
        <v>4211</v>
      </c>
      <c r="H130" t="s">
        <v>2936</v>
      </c>
      <c r="I130" t="s">
        <v>3689</v>
      </c>
      <c r="J130" t="s">
        <v>2984</v>
      </c>
      <c r="K130" t="s">
        <v>3690</v>
      </c>
      <c r="L130" t="s">
        <v>3691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4194</v>
      </c>
      <c r="F131" t="s">
        <v>4211</v>
      </c>
      <c r="H131" t="s">
        <v>2936</v>
      </c>
      <c r="I131" t="s">
        <v>3627</v>
      </c>
      <c r="J131" t="s">
        <v>2984</v>
      </c>
      <c r="K131" t="s">
        <v>3628</v>
      </c>
      <c r="L131" t="s">
        <v>3629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4194</v>
      </c>
      <c r="F132" t="s">
        <v>4211</v>
      </c>
      <c r="H132" t="s">
        <v>2936</v>
      </c>
      <c r="I132" t="s">
        <v>3630</v>
      </c>
      <c r="J132" t="s">
        <v>2984</v>
      </c>
      <c r="K132" t="s">
        <v>3631</v>
      </c>
      <c r="L132" t="s">
        <v>3632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4194</v>
      </c>
      <c r="F133" t="s">
        <v>4211</v>
      </c>
      <c r="H133" t="s">
        <v>2936</v>
      </c>
      <c r="I133" t="s">
        <v>3615</v>
      </c>
      <c r="J133" t="s">
        <v>2984</v>
      </c>
      <c r="K133" t="s">
        <v>3616</v>
      </c>
      <c r="L133" t="s">
        <v>3617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4194</v>
      </c>
      <c r="F134" t="s">
        <v>4211</v>
      </c>
      <c r="H134" t="s">
        <v>2936</v>
      </c>
      <c r="I134" t="s">
        <v>3624</v>
      </c>
      <c r="J134" t="s">
        <v>2984</v>
      </c>
      <c r="K134" t="s">
        <v>3625</v>
      </c>
      <c r="L134" t="s">
        <v>3626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4195</v>
      </c>
      <c r="F135" t="s">
        <v>4211</v>
      </c>
      <c r="H135" t="s">
        <v>2936</v>
      </c>
      <c r="I135" t="s">
        <v>3659</v>
      </c>
      <c r="J135" t="s">
        <v>2984</v>
      </c>
      <c r="K135" t="s">
        <v>3660</v>
      </c>
      <c r="L135" t="s">
        <v>3661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4195</v>
      </c>
      <c r="F136" t="s">
        <v>4211</v>
      </c>
      <c r="H136" t="s">
        <v>2936</v>
      </c>
      <c r="I136" t="s">
        <v>3680</v>
      </c>
      <c r="J136" t="s">
        <v>2984</v>
      </c>
      <c r="K136" t="s">
        <v>3681</v>
      </c>
      <c r="L136" t="s">
        <v>3682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4195</v>
      </c>
      <c r="F137" t="s">
        <v>4211</v>
      </c>
      <c r="H137" t="s">
        <v>2936</v>
      </c>
      <c r="I137" t="s">
        <v>3686</v>
      </c>
      <c r="J137" t="s">
        <v>2984</v>
      </c>
      <c r="K137" t="s">
        <v>3687</v>
      </c>
      <c r="L137" t="s">
        <v>3688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4195</v>
      </c>
      <c r="F138" t="s">
        <v>4211</v>
      </c>
      <c r="H138" t="s">
        <v>2936</v>
      </c>
      <c r="I138" t="s">
        <v>3683</v>
      </c>
      <c r="J138" t="s">
        <v>2984</v>
      </c>
      <c r="K138" t="s">
        <v>3684</v>
      </c>
      <c r="L138" t="s">
        <v>3685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4195</v>
      </c>
      <c r="F139" t="s">
        <v>4211</v>
      </c>
      <c r="H139" t="s">
        <v>2936</v>
      </c>
      <c r="I139" t="s">
        <v>3701</v>
      </c>
      <c r="J139" t="s">
        <v>2984</v>
      </c>
      <c r="K139" t="s">
        <v>3702</v>
      </c>
      <c r="L139" t="s">
        <v>3703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4195</v>
      </c>
      <c r="F140" t="s">
        <v>4211</v>
      </c>
      <c r="H140" t="s">
        <v>2936</v>
      </c>
      <c r="I140" t="s">
        <v>3695</v>
      </c>
      <c r="J140" t="s">
        <v>2984</v>
      </c>
      <c r="K140" t="s">
        <v>3696</v>
      </c>
      <c r="L140" t="s">
        <v>3697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4195</v>
      </c>
      <c r="F141" t="s">
        <v>4211</v>
      </c>
      <c r="H141" t="s">
        <v>2936</v>
      </c>
      <c r="I141" t="s">
        <v>3692</v>
      </c>
      <c r="J141" t="s">
        <v>2984</v>
      </c>
      <c r="K141" t="s">
        <v>3693</v>
      </c>
      <c r="L141" t="s">
        <v>3694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4195</v>
      </c>
      <c r="F142" t="s">
        <v>4211</v>
      </c>
      <c r="H142" t="s">
        <v>2936</v>
      </c>
      <c r="I142" t="s">
        <v>3698</v>
      </c>
      <c r="J142" t="s">
        <v>2984</v>
      </c>
      <c r="K142" t="s">
        <v>3699</v>
      </c>
      <c r="L142" t="s">
        <v>3700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4211</v>
      </c>
      <c r="H143" t="s">
        <v>2936</v>
      </c>
      <c r="I143" t="s">
        <v>3462</v>
      </c>
      <c r="J143" t="s">
        <v>2983</v>
      </c>
      <c r="K143" t="s">
        <v>3463</v>
      </c>
      <c r="L143" t="s">
        <v>3464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4195</v>
      </c>
      <c r="F144" t="s">
        <v>4211</v>
      </c>
      <c r="H144" t="s">
        <v>2936</v>
      </c>
      <c r="I144" t="s">
        <v>3665</v>
      </c>
      <c r="J144" t="s">
        <v>2984</v>
      </c>
      <c r="K144" t="s">
        <v>3666</v>
      </c>
      <c r="L144" t="s">
        <v>3667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4195</v>
      </c>
      <c r="F145" t="s">
        <v>4211</v>
      </c>
      <c r="H145" t="s">
        <v>2936</v>
      </c>
      <c r="I145" t="s">
        <v>3662</v>
      </c>
      <c r="J145" t="s">
        <v>2984</v>
      </c>
      <c r="K145" t="s">
        <v>3663</v>
      </c>
      <c r="L145" t="s">
        <v>3664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4195</v>
      </c>
      <c r="F146" t="s">
        <v>4211</v>
      </c>
      <c r="H146" t="s">
        <v>2936</v>
      </c>
      <c r="I146" t="s">
        <v>3668</v>
      </c>
      <c r="J146" t="s">
        <v>2984</v>
      </c>
      <c r="K146" t="s">
        <v>3669</v>
      </c>
      <c r="L146" t="s">
        <v>3670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4195</v>
      </c>
      <c r="F147" t="s">
        <v>4211</v>
      </c>
      <c r="H147" t="s">
        <v>2936</v>
      </c>
      <c r="I147" t="s">
        <v>3674</v>
      </c>
      <c r="J147" t="s">
        <v>2984</v>
      </c>
      <c r="K147" t="s">
        <v>3675</v>
      </c>
      <c r="L147" t="s">
        <v>3676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4195</v>
      </c>
      <c r="F148" t="s">
        <v>4211</v>
      </c>
      <c r="H148" t="s">
        <v>2936</v>
      </c>
      <c r="I148" t="s">
        <v>3671</v>
      </c>
      <c r="J148" t="s">
        <v>2984</v>
      </c>
      <c r="K148" t="s">
        <v>3672</v>
      </c>
      <c r="L148" t="s">
        <v>3673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5093</v>
      </c>
      <c r="H150" t="s">
        <v>2936</v>
      </c>
      <c r="I150" t="s">
        <v>4474</v>
      </c>
      <c r="J150" t="s">
        <v>2991</v>
      </c>
      <c r="K150" t="s">
        <v>4475</v>
      </c>
      <c r="L150" t="s">
        <v>4476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5093</v>
      </c>
      <c r="H151" t="s">
        <v>5096</v>
      </c>
      <c r="I151" t="s">
        <v>4477</v>
      </c>
      <c r="J151" t="s">
        <v>2991</v>
      </c>
      <c r="K151" t="s">
        <v>4478</v>
      </c>
      <c r="L151" t="s">
        <v>4479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5086</v>
      </c>
      <c r="J153" t="s">
        <v>2990</v>
      </c>
      <c r="K153" t="s">
        <v>5087</v>
      </c>
      <c r="L153" t="s">
        <v>5088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5093</v>
      </c>
      <c r="H154" t="s">
        <v>5095</v>
      </c>
      <c r="I154" t="s">
        <v>4468</v>
      </c>
      <c r="J154" t="s">
        <v>2991</v>
      </c>
      <c r="K154" t="s">
        <v>4469</v>
      </c>
      <c r="L154" t="s">
        <v>4470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5263</v>
      </c>
      <c r="F155" t="s">
        <v>5093</v>
      </c>
      <c r="I155" t="s">
        <v>5151</v>
      </c>
      <c r="J155" t="s">
        <v>2982</v>
      </c>
      <c r="K155" t="s">
        <v>5152</v>
      </c>
      <c r="L155" t="s">
        <v>5153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5154</v>
      </c>
      <c r="J156" t="s">
        <v>2982</v>
      </c>
      <c r="K156" t="s">
        <v>5155</v>
      </c>
      <c r="L156" t="s">
        <v>5156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5263</v>
      </c>
      <c r="F157" t="s">
        <v>5093</v>
      </c>
      <c r="H157" t="s">
        <v>2936</v>
      </c>
      <c r="I157" t="s">
        <v>5157</v>
      </c>
      <c r="J157" t="s">
        <v>2982</v>
      </c>
      <c r="K157" t="s">
        <v>5158</v>
      </c>
      <c r="L157" t="s">
        <v>5159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5263</v>
      </c>
      <c r="F158" t="s">
        <v>5093</v>
      </c>
      <c r="H158" t="s">
        <v>2936</v>
      </c>
      <c r="I158" t="s">
        <v>5160</v>
      </c>
      <c r="J158" t="s">
        <v>2982</v>
      </c>
      <c r="K158" t="s">
        <v>5161</v>
      </c>
      <c r="L158" t="s">
        <v>5162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5163</v>
      </c>
      <c r="J159" t="s">
        <v>2982</v>
      </c>
      <c r="K159" t="s">
        <v>5164</v>
      </c>
      <c r="L159" t="s">
        <v>5165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5263</v>
      </c>
      <c r="F160" t="s">
        <v>5093</v>
      </c>
      <c r="H160" t="s">
        <v>2936</v>
      </c>
      <c r="I160" t="s">
        <v>5166</v>
      </c>
      <c r="J160" t="s">
        <v>2982</v>
      </c>
      <c r="K160" t="s">
        <v>5167</v>
      </c>
      <c r="L160" t="s">
        <v>5168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5263</v>
      </c>
      <c r="F161" t="s">
        <v>4233</v>
      </c>
      <c r="I161" t="s">
        <v>5187</v>
      </c>
      <c r="J161" t="s">
        <v>2985</v>
      </c>
      <c r="K161" t="s">
        <v>5188</v>
      </c>
      <c r="L161" t="s">
        <v>5189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5263</v>
      </c>
      <c r="F162" t="s">
        <v>4233</v>
      </c>
      <c r="H162" t="s">
        <v>2936</v>
      </c>
      <c r="I162" t="s">
        <v>5190</v>
      </c>
      <c r="J162" t="s">
        <v>2985</v>
      </c>
      <c r="K162" t="s">
        <v>5191</v>
      </c>
      <c r="L162" t="s">
        <v>5192</v>
      </c>
      <c r="M162" s="3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4">
        <v>46004</v>
      </c>
      <c r="C163" s="6">
        <v>0.39997685185185183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6128</v>
      </c>
      <c r="J163" t="s">
        <v>5633</v>
      </c>
      <c r="K163" t="s">
        <v>6129</v>
      </c>
      <c r="L163" t="s">
        <v>6130</v>
      </c>
      <c r="M163" s="3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4">
        <v>46004</v>
      </c>
      <c r="C164" s="6">
        <v>0.39961805555555557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6125</v>
      </c>
      <c r="J164" t="s">
        <v>5633</v>
      </c>
      <c r="K164" t="s">
        <v>6126</v>
      </c>
      <c r="L164" t="s">
        <v>6127</v>
      </c>
      <c r="M164" s="3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4">
        <v>46004</v>
      </c>
      <c r="C165" s="6">
        <v>0.40229166666666666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6134</v>
      </c>
      <c r="J165" t="s">
        <v>5633</v>
      </c>
      <c r="K165" t="s">
        <v>6135</v>
      </c>
      <c r="L165" t="s">
        <v>6136</v>
      </c>
      <c r="M165" s="3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4">
        <v>46004</v>
      </c>
      <c r="C166" s="6">
        <v>0.40167824074074077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6131</v>
      </c>
      <c r="J166" t="s">
        <v>5633</v>
      </c>
      <c r="K166" t="s">
        <v>6132</v>
      </c>
      <c r="L166" t="s">
        <v>6133</v>
      </c>
      <c r="M166" s="3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4">
        <v>46004</v>
      </c>
      <c r="C167" s="6">
        <v>0.39643518518518517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6116</v>
      </c>
      <c r="J167" t="s">
        <v>5633</v>
      </c>
      <c r="K167" t="s">
        <v>6117</v>
      </c>
      <c r="L167" t="s">
        <v>6118</v>
      </c>
      <c r="M167" s="3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4">
        <v>46004</v>
      </c>
      <c r="C168" s="6">
        <v>0.39291666666666669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6113</v>
      </c>
      <c r="J168" t="s">
        <v>5633</v>
      </c>
      <c r="K168" t="s">
        <v>6114</v>
      </c>
      <c r="L168" t="s">
        <v>6115</v>
      </c>
      <c r="M168" s="3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4">
        <v>46004</v>
      </c>
      <c r="C169" s="6">
        <v>0.3972222222222222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6122</v>
      </c>
      <c r="J169" t="s">
        <v>5633</v>
      </c>
      <c r="K169" t="s">
        <v>6123</v>
      </c>
      <c r="L169" t="s">
        <v>6124</v>
      </c>
      <c r="M169" s="3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4">
        <v>46004</v>
      </c>
      <c r="C170" s="6">
        <v>0.39685185185185184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6119</v>
      </c>
      <c r="J170" t="s">
        <v>5633</v>
      </c>
      <c r="K170" t="s">
        <v>6120</v>
      </c>
      <c r="L170" t="s">
        <v>6121</v>
      </c>
      <c r="M170" s="3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4">
        <v>46006</v>
      </c>
      <c r="C171" s="6">
        <v>0.51274305555555555</v>
      </c>
      <c r="D171" s="2" t="s">
        <v>289</v>
      </c>
      <c r="E171" t="s">
        <v>70</v>
      </c>
      <c r="F171" t="s">
        <v>6340</v>
      </c>
      <c r="I171" t="s">
        <v>6310</v>
      </c>
      <c r="J171" t="s">
        <v>6309</v>
      </c>
      <c r="K171" t="s">
        <v>6311</v>
      </c>
      <c r="L171" t="s">
        <v>6312</v>
      </c>
      <c r="M171" s="3" t="str">
        <f>HYPERLINK(Таблица3[[#This Row],[RelativePath]])</f>
        <v>4 Крыльцо офиса\K07156189_21_20251215T121821Z.jpg</v>
      </c>
    </row>
    <row r="172" spans="1:13" x14ac:dyDescent="0.25">
      <c r="A172" t="s">
        <v>13</v>
      </c>
      <c r="B172" s="4">
        <v>46006</v>
      </c>
      <c r="C172" s="6">
        <v>0.46620370370370373</v>
      </c>
      <c r="D172" s="2" t="s">
        <v>289</v>
      </c>
      <c r="E172" t="s">
        <v>6329</v>
      </c>
      <c r="F172" t="s">
        <v>58</v>
      </c>
      <c r="H172" t="s">
        <v>1620</v>
      </c>
      <c r="I172" t="s">
        <v>6404</v>
      </c>
      <c r="J172" t="s">
        <v>6392</v>
      </c>
      <c r="K172" t="s">
        <v>6405</v>
      </c>
      <c r="L172" t="s">
        <v>6406</v>
      </c>
      <c r="M172" s="3" t="str">
        <f>HYPERLINK(Таблица3[[#This Row],[RelativePath]])</f>
        <v>10 Сушилка навес\E33149364_3_20251215T111120Z.jpg</v>
      </c>
    </row>
    <row r="173" spans="1:13" x14ac:dyDescent="0.25">
      <c r="A173" t="s">
        <v>13</v>
      </c>
      <c r="B173" s="4">
        <v>46006</v>
      </c>
      <c r="C173" s="6">
        <v>0.46644675925925927</v>
      </c>
      <c r="D173" s="2" t="s">
        <v>289</v>
      </c>
      <c r="E173" t="s">
        <v>6329</v>
      </c>
      <c r="F173" t="s">
        <v>58</v>
      </c>
      <c r="H173" t="s">
        <v>2936</v>
      </c>
      <c r="I173" t="s">
        <v>6407</v>
      </c>
      <c r="J173" t="s">
        <v>6392</v>
      </c>
      <c r="K173" t="s">
        <v>6408</v>
      </c>
      <c r="L173" t="s">
        <v>6409</v>
      </c>
      <c r="M173" s="3" t="str">
        <f>HYPERLINK(Таблица3[[#This Row],[RelativePath]])</f>
        <v>10 Сушилка навес\E33149364_3_20251215T111141Z.jpg</v>
      </c>
    </row>
    <row r="174" spans="1:13" x14ac:dyDescent="0.25">
      <c r="A174" t="s">
        <v>13</v>
      </c>
      <c r="B174" s="4">
        <v>46006</v>
      </c>
      <c r="C174" s="6">
        <v>0.46650462962962963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6410</v>
      </c>
      <c r="J174" t="s">
        <v>6392</v>
      </c>
      <c r="K174" t="s">
        <v>6411</v>
      </c>
      <c r="L174" t="s">
        <v>6412</v>
      </c>
      <c r="M174" s="3" t="str">
        <f>HYPERLINK(Таблица3[[#This Row],[RelativePath]])</f>
        <v>10 Сушилка навес\E33149364_3_20251215T111146Z.jpg</v>
      </c>
    </row>
    <row r="175" spans="1:13" x14ac:dyDescent="0.25">
      <c r="A175" t="s">
        <v>13</v>
      </c>
      <c r="B175" s="4">
        <v>46006</v>
      </c>
      <c r="C175" s="6">
        <v>0.46740740740740738</v>
      </c>
      <c r="D175" s="2" t="s">
        <v>289</v>
      </c>
      <c r="E175" t="s">
        <v>6329</v>
      </c>
      <c r="F175" t="s">
        <v>58</v>
      </c>
      <c r="H175" t="s">
        <v>2936</v>
      </c>
      <c r="I175" t="s">
        <v>6413</v>
      </c>
      <c r="J175" t="s">
        <v>6392</v>
      </c>
      <c r="K175" t="s">
        <v>6414</v>
      </c>
      <c r="L175" t="s">
        <v>6415</v>
      </c>
      <c r="M175" s="3" t="str">
        <f>HYPERLINK(Таблица3[[#This Row],[RelativePath]])</f>
        <v>10 Сушилка навес\E33149364_3_20251215T111304Z.jpg</v>
      </c>
    </row>
    <row r="176" spans="1:13" x14ac:dyDescent="0.25">
      <c r="A176" t="s">
        <v>13</v>
      </c>
      <c r="B176" s="4">
        <v>46006</v>
      </c>
      <c r="C176" s="6">
        <v>0.46766203703703701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6416</v>
      </c>
      <c r="J176" t="s">
        <v>6392</v>
      </c>
      <c r="K176" t="s">
        <v>6417</v>
      </c>
      <c r="L176" t="s">
        <v>6418</v>
      </c>
      <c r="M176" s="3" t="str">
        <f>HYPERLINK(Таблица3[[#This Row],[RelativePath]])</f>
        <v>10 Сушилка навес\E33149364_3_20251215T111326Z.jpg</v>
      </c>
    </row>
    <row r="177" spans="1:13" x14ac:dyDescent="0.25">
      <c r="A177" t="s">
        <v>13</v>
      </c>
      <c r="B177" s="4">
        <v>46006</v>
      </c>
      <c r="C177" s="6">
        <v>0.46770833333333334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6419</v>
      </c>
      <c r="J177" t="s">
        <v>6392</v>
      </c>
      <c r="K177" t="s">
        <v>6420</v>
      </c>
      <c r="L177" t="s">
        <v>6421</v>
      </c>
      <c r="M177" s="3" t="str">
        <f>HYPERLINK(Таблица3[[#This Row],[RelativePath]])</f>
        <v>10 Сушилка навес\E33149364_3_20251215T111330Z.jpg</v>
      </c>
    </row>
    <row r="178" spans="1:13" x14ac:dyDescent="0.25">
      <c r="A178" t="s">
        <v>13</v>
      </c>
      <c r="B178" s="4">
        <v>46006</v>
      </c>
      <c r="C178" s="6">
        <v>0.46807870370370369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6422</v>
      </c>
      <c r="J178" t="s">
        <v>6392</v>
      </c>
      <c r="K178" t="s">
        <v>6423</v>
      </c>
      <c r="L178" t="s">
        <v>6424</v>
      </c>
      <c r="M178" s="3" t="str">
        <f>HYPERLINK(Таблица3[[#This Row],[RelativePath]])</f>
        <v>10 Сушилка навес\E33149364_3_20251215T111402Z.jpg</v>
      </c>
    </row>
    <row r="179" spans="1:13" x14ac:dyDescent="0.25">
      <c r="A179" t="s">
        <v>13</v>
      </c>
      <c r="B179" s="4">
        <v>46006</v>
      </c>
      <c r="C179" s="6">
        <v>0.46834490740740742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6425</v>
      </c>
      <c r="J179" t="s">
        <v>6392</v>
      </c>
      <c r="K179" t="s">
        <v>6426</v>
      </c>
      <c r="L179" t="s">
        <v>6427</v>
      </c>
      <c r="M179" s="3" t="str">
        <f>HYPERLINK(Таблица3[[#This Row],[RelativePath]])</f>
        <v>10 Сушилка навес\E33149364_3_20251215T111425Z.jpg</v>
      </c>
    </row>
    <row r="180" spans="1:13" x14ac:dyDescent="0.25">
      <c r="A180" t="s">
        <v>13</v>
      </c>
      <c r="B180" s="4">
        <v>46006</v>
      </c>
      <c r="C180" s="6">
        <v>0.4692013888888889</v>
      </c>
      <c r="D180" s="2" t="s">
        <v>289</v>
      </c>
      <c r="E180" t="s">
        <v>6329</v>
      </c>
      <c r="F180" t="s">
        <v>58</v>
      </c>
      <c r="H180" t="s">
        <v>2936</v>
      </c>
      <c r="I180" t="s">
        <v>6428</v>
      </c>
      <c r="J180" t="s">
        <v>6392</v>
      </c>
      <c r="K180" t="s">
        <v>6429</v>
      </c>
      <c r="L180" t="s">
        <v>6430</v>
      </c>
      <c r="M180" s="3" t="str">
        <f>HYPERLINK(Таблица3[[#This Row],[RelativePath]])</f>
        <v>10 Сушилка навес\E33149364_3_20251215T111539Z.jpg</v>
      </c>
    </row>
    <row r="181" spans="1:13" x14ac:dyDescent="0.25">
      <c r="A181" t="s">
        <v>13</v>
      </c>
      <c r="B181" s="4">
        <v>46006</v>
      </c>
      <c r="C181" s="6">
        <v>0.46927083333333336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6431</v>
      </c>
      <c r="J181" t="s">
        <v>6392</v>
      </c>
      <c r="K181" t="s">
        <v>6432</v>
      </c>
      <c r="L181" t="s">
        <v>6433</v>
      </c>
      <c r="M181" s="3" t="str">
        <f>HYPERLINK(Таблица3[[#This Row],[RelativePath]])</f>
        <v>10 Сушилка навес\E33149364_3_20251215T111545Z.jpg</v>
      </c>
    </row>
    <row r="182" spans="1:13" x14ac:dyDescent="0.25">
      <c r="A182" t="s">
        <v>13</v>
      </c>
      <c r="B182" s="4">
        <v>46006</v>
      </c>
      <c r="C182" s="6">
        <v>0.47002314814814816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6434</v>
      </c>
      <c r="J182" t="s">
        <v>6392</v>
      </c>
      <c r="K182" t="s">
        <v>6435</v>
      </c>
      <c r="L182" t="s">
        <v>6436</v>
      </c>
      <c r="M182" s="3" t="str">
        <f>HYPERLINK(Таблица3[[#This Row],[RelativePath]])</f>
        <v>10 Сушилка навес\E33149364_3_20251215T111650Z.jpg</v>
      </c>
    </row>
    <row r="183" spans="1:13" x14ac:dyDescent="0.25">
      <c r="A183" t="s">
        <v>13</v>
      </c>
      <c r="B183" s="4">
        <v>46006</v>
      </c>
      <c r="C183" s="6">
        <v>0.47033564814814816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6437</v>
      </c>
      <c r="J183" t="s">
        <v>6392</v>
      </c>
      <c r="K183" t="s">
        <v>6438</v>
      </c>
      <c r="L183" t="s">
        <v>6439</v>
      </c>
      <c r="M183" s="3" t="str">
        <f>HYPERLINK(Таблица3[[#This Row],[RelativePath]])</f>
        <v>10 Сушилка навес\E33149364_3_20251215T111717Z.jpg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6440</v>
      </c>
      <c r="J184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0.47162037037037036</v>
      </c>
      <c r="D185" s="2" t="s">
        <v>289</v>
      </c>
      <c r="E185" t="s">
        <v>6329</v>
      </c>
      <c r="F185" t="s">
        <v>58</v>
      </c>
      <c r="H185" t="s">
        <v>2936</v>
      </c>
      <c r="I185" t="s">
        <v>6443</v>
      </c>
      <c r="J185" t="s">
        <v>6392</v>
      </c>
      <c r="K185" t="s">
        <v>6444</v>
      </c>
      <c r="L185" t="s">
        <v>6445</v>
      </c>
      <c r="M185" s="3" t="str">
        <f>HYPERLINK(Таблица3[[#This Row],[RelativePath]])</f>
        <v>10 Сушилка навес\E33149364_3_20251215T111908Z.jpg</v>
      </c>
    </row>
    <row r="186" spans="1:13" x14ac:dyDescent="0.25">
      <c r="A186" t="s">
        <v>13</v>
      </c>
      <c r="B186" s="4">
        <v>46006</v>
      </c>
      <c r="C186" s="6">
        <v>0.47537037037037039</v>
      </c>
      <c r="D186" s="2" t="s">
        <v>289</v>
      </c>
      <c r="E186" t="s">
        <v>6329</v>
      </c>
      <c r="F186" t="s">
        <v>58</v>
      </c>
      <c r="H186" t="s">
        <v>6526</v>
      </c>
      <c r="I186" t="s">
        <v>6446</v>
      </c>
      <c r="J186" t="s">
        <v>6392</v>
      </c>
      <c r="K186" t="s">
        <v>6447</v>
      </c>
      <c r="L186" t="s">
        <v>6448</v>
      </c>
      <c r="M186" s="3" t="str">
        <f>HYPERLINK(Таблица3[[#This Row],[RelativePath]])</f>
        <v>10 Сушилка навес\E33149364_3_20251215T112432Z.jpg</v>
      </c>
    </row>
    <row r="187" spans="1:13" x14ac:dyDescent="0.25">
      <c r="A187" t="s">
        <v>13</v>
      </c>
      <c r="B187" s="4">
        <v>46006</v>
      </c>
      <c r="C187" s="6">
        <v>0.47547453703703701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6449</v>
      </c>
      <c r="J187" t="s">
        <v>6392</v>
      </c>
      <c r="K187" t="s">
        <v>6450</v>
      </c>
      <c r="L187" t="s">
        <v>6451</v>
      </c>
      <c r="M187" s="3" t="str">
        <f>HYPERLINK(Таблица3[[#This Row],[RelativePath]])</f>
        <v>10 Сушилка навес\E33149364_3_20251215T112441Z.jpg</v>
      </c>
    </row>
    <row r="188" spans="1:13" x14ac:dyDescent="0.25">
      <c r="A188" t="s">
        <v>13</v>
      </c>
      <c r="B188" s="4">
        <v>46006</v>
      </c>
      <c r="C188" s="6">
        <v>0.47672453703703704</v>
      </c>
      <c r="D188" s="2" t="s">
        <v>289</v>
      </c>
      <c r="E188" t="s">
        <v>6329</v>
      </c>
      <c r="F188" t="s">
        <v>58</v>
      </c>
      <c r="H188" t="s">
        <v>2936</v>
      </c>
      <c r="I188" t="s">
        <v>6452</v>
      </c>
      <c r="J188" t="s">
        <v>6392</v>
      </c>
      <c r="K188" t="s">
        <v>6453</v>
      </c>
      <c r="L188" t="s">
        <v>6454</v>
      </c>
      <c r="M188" s="3" t="str">
        <f>HYPERLINK(Таблица3[[#This Row],[RelativePath]])</f>
        <v>10 Сушилка навес\E33149364_3_20251215T112629Z.jpg</v>
      </c>
    </row>
    <row r="189" spans="1:13" x14ac:dyDescent="0.25">
      <c r="A189" t="s">
        <v>13</v>
      </c>
      <c r="B189" s="4">
        <v>46006</v>
      </c>
      <c r="C189" s="6">
        <v>0.47729166666666667</v>
      </c>
      <c r="D189" s="2" t="s">
        <v>289</v>
      </c>
      <c r="E189" t="s">
        <v>6329</v>
      </c>
      <c r="F189" t="s">
        <v>58</v>
      </c>
      <c r="H189" t="s">
        <v>2936</v>
      </c>
      <c r="I189" t="s">
        <v>6455</v>
      </c>
      <c r="J189" t="s">
        <v>6392</v>
      </c>
      <c r="K189" t="s">
        <v>6456</v>
      </c>
      <c r="L189" t="s">
        <v>6457</v>
      </c>
      <c r="M189" s="3" t="str">
        <f>HYPERLINK(Таблица3[[#This Row],[RelativePath]])</f>
        <v>10 Сушилка навес\E33149364_3_20251215T112718Z.jpg</v>
      </c>
    </row>
    <row r="190" spans="1:13" x14ac:dyDescent="0.25">
      <c r="A190" t="s">
        <v>13</v>
      </c>
      <c r="B190" s="4">
        <v>46006</v>
      </c>
      <c r="C190" s="6">
        <v>0.47780092592592593</v>
      </c>
      <c r="D190" s="2" t="s">
        <v>289</v>
      </c>
      <c r="E190" t="s">
        <v>6329</v>
      </c>
      <c r="F190" t="s">
        <v>58</v>
      </c>
      <c r="H190" t="s">
        <v>1620</v>
      </c>
      <c r="I190" t="s">
        <v>6458</v>
      </c>
      <c r="J190" t="s">
        <v>6392</v>
      </c>
      <c r="K190" t="s">
        <v>6459</v>
      </c>
      <c r="L190" t="s">
        <v>6460</v>
      </c>
      <c r="M190" s="3" t="str">
        <f>HYPERLINK(Таблица3[[#This Row],[RelativePath]])</f>
        <v>10 Сушилка навес\E33149364_3_20251215T112802Z.jpg</v>
      </c>
    </row>
    <row r="191" spans="1:13" x14ac:dyDescent="0.25">
      <c r="A191" t="s">
        <v>13</v>
      </c>
      <c r="B191" s="4">
        <v>46006</v>
      </c>
      <c r="C191" s="6">
        <v>0.47806712962962961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6461</v>
      </c>
      <c r="J191" t="s">
        <v>6392</v>
      </c>
      <c r="K191" t="s">
        <v>6462</v>
      </c>
      <c r="L191" t="s">
        <v>6463</v>
      </c>
      <c r="M191" s="3" t="str">
        <f>HYPERLINK(Таблица3[[#This Row],[RelativePath]])</f>
        <v>10 Сушилка навес\E33149364_3_20251215T112825Z.jpg</v>
      </c>
    </row>
    <row r="192" spans="1:13" x14ac:dyDescent="0.25">
      <c r="A192" t="s">
        <v>13</v>
      </c>
      <c r="B192" s="4">
        <v>46006</v>
      </c>
      <c r="C192" s="6">
        <v>0.4783101851851852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6464</v>
      </c>
      <c r="J192" t="s">
        <v>6392</v>
      </c>
      <c r="K192" t="s">
        <v>6465</v>
      </c>
      <c r="L192" t="s">
        <v>6466</v>
      </c>
      <c r="M192" s="3" t="str">
        <f>HYPERLINK(Таблица3[[#This Row],[RelativePath]])</f>
        <v>10 Сушилка навес\E33149364_3_20251215T112846Z.jpg</v>
      </c>
    </row>
    <row r="193" spans="1:13" x14ac:dyDescent="0.25">
      <c r="A193" t="s">
        <v>13</v>
      </c>
      <c r="B193" s="4">
        <v>46006</v>
      </c>
      <c r="C193" s="6">
        <v>0.47834490740740743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6467</v>
      </c>
      <c r="J193" t="s">
        <v>6392</v>
      </c>
      <c r="K193" t="s">
        <v>6468</v>
      </c>
      <c r="L193" t="s">
        <v>6469</v>
      </c>
      <c r="M193" s="3" t="str">
        <f>HYPERLINK(Таблица3[[#This Row],[RelativePath]])</f>
        <v>10 Сушилка навес\E33149364_3_20251215T112849Z.jpg</v>
      </c>
    </row>
    <row r="194" spans="1:13" x14ac:dyDescent="0.25">
      <c r="A194" t="s">
        <v>13</v>
      </c>
      <c r="B194" s="4">
        <v>46006</v>
      </c>
      <c r="C194" s="6">
        <v>0.61089120370370376</v>
      </c>
      <c r="D194" s="2" t="s">
        <v>289</v>
      </c>
      <c r="E194" t="s">
        <v>6527</v>
      </c>
      <c r="F194" t="s">
        <v>1099</v>
      </c>
      <c r="G194">
        <v>2</v>
      </c>
      <c r="I194" t="s">
        <v>6479</v>
      </c>
      <c r="J194" t="s">
        <v>6392</v>
      </c>
      <c r="K194" t="s">
        <v>6480</v>
      </c>
      <c r="L194" t="s">
        <v>6481</v>
      </c>
      <c r="M194" s="3" t="str">
        <f>HYPERLINK(Таблица3[[#This Row],[RelativePath]])</f>
        <v>10 Сушилка навес\E33149364_3_20251215T143941Z.jpg</v>
      </c>
    </row>
    <row r="195" spans="1:13" x14ac:dyDescent="0.25">
      <c r="A195" t="s">
        <v>13</v>
      </c>
      <c r="B195" s="4">
        <v>46006</v>
      </c>
      <c r="C195" s="6">
        <v>0.62061342592592594</v>
      </c>
      <c r="D195" s="2" t="s">
        <v>289</v>
      </c>
      <c r="E195" t="s">
        <v>5480</v>
      </c>
      <c r="F195" t="s">
        <v>528</v>
      </c>
      <c r="I195" t="s">
        <v>6515</v>
      </c>
      <c r="J195" t="s">
        <v>2988</v>
      </c>
      <c r="K195" t="s">
        <v>6516</v>
      </c>
      <c r="L195" t="s">
        <v>6517</v>
      </c>
      <c r="M195" s="3" t="str">
        <f>HYPERLINK(Таблица3[[#This Row],[RelativePath]])</f>
        <v>13 Склад хол\K07156189_23_20251215T145341Z.jpg</v>
      </c>
    </row>
    <row r="196" spans="1:13" x14ac:dyDescent="0.25">
      <c r="A196" t="s">
        <v>13</v>
      </c>
      <c r="B196" s="4">
        <v>46006</v>
      </c>
      <c r="C196" s="6">
        <v>0.62665509259259256</v>
      </c>
      <c r="D196" s="2" t="s">
        <v>289</v>
      </c>
      <c r="E196" t="s">
        <v>5480</v>
      </c>
      <c r="F196" t="s">
        <v>528</v>
      </c>
      <c r="I196" t="s">
        <v>6518</v>
      </c>
      <c r="J196" t="s">
        <v>2988</v>
      </c>
      <c r="K196" t="s">
        <v>6519</v>
      </c>
      <c r="L196" t="s">
        <v>6520</v>
      </c>
      <c r="M196" s="3" t="str">
        <f>HYPERLINK(Таблица3[[#This Row],[RelativePath]])</f>
        <v>13 Склад хол\K07156189_23_20251215T150223Z.jpg</v>
      </c>
    </row>
    <row r="197" spans="1:13" x14ac:dyDescent="0.25">
      <c r="A197" t="s">
        <v>13</v>
      </c>
      <c r="B197" s="4">
        <v>46006</v>
      </c>
      <c r="C197" s="6">
        <v>0.63099537037037035</v>
      </c>
      <c r="D197" s="2" t="s">
        <v>289</v>
      </c>
      <c r="E197" t="s">
        <v>5480</v>
      </c>
      <c r="F197" t="s">
        <v>1621</v>
      </c>
      <c r="I197" t="s">
        <v>6521</v>
      </c>
      <c r="J197" t="s">
        <v>2988</v>
      </c>
      <c r="K197" t="s">
        <v>6522</v>
      </c>
      <c r="L197" t="s">
        <v>6523</v>
      </c>
      <c r="M197" s="3" t="str">
        <f>HYPERLINK(Таблица3[[#This Row],[RelativePath]])</f>
        <v>13 Склад хол\K07156189_23_20251215T150838Z.jpg</v>
      </c>
    </row>
    <row r="198" spans="1:13" x14ac:dyDescent="0.25">
      <c r="A198" t="s">
        <v>14</v>
      </c>
      <c r="B198" s="4">
        <v>46007</v>
      </c>
      <c r="C198" s="6">
        <v>0.45142361111111112</v>
      </c>
      <c r="D198" s="2" t="s">
        <v>289</v>
      </c>
      <c r="E198" t="s">
        <v>6656</v>
      </c>
      <c r="F198" t="s">
        <v>6657</v>
      </c>
      <c r="I198" t="s">
        <v>6548</v>
      </c>
      <c r="J198" t="s">
        <v>6309</v>
      </c>
      <c r="K198" t="s">
        <v>6549</v>
      </c>
      <c r="L198" t="s">
        <v>6550</v>
      </c>
      <c r="M198" s="3" t="str">
        <f>HYPERLINK(Таблица3[[#This Row],[RelativePath]])</f>
        <v>4 Крыльцо офиса\K07156189_21_20251216T105003Z.jpg</v>
      </c>
    </row>
    <row r="199" spans="1:13" x14ac:dyDescent="0.25">
      <c r="A199" t="s">
        <v>15</v>
      </c>
      <c r="B199" s="4">
        <v>46008</v>
      </c>
      <c r="C199" s="6">
        <v>0.67952546296296301</v>
      </c>
      <c r="D199" s="2" t="s">
        <v>289</v>
      </c>
      <c r="E199" t="s">
        <v>5480</v>
      </c>
      <c r="F199" t="s">
        <v>528</v>
      </c>
      <c r="I199" t="s">
        <v>6829</v>
      </c>
      <c r="J199" t="s">
        <v>2988</v>
      </c>
      <c r="K199" t="s">
        <v>6830</v>
      </c>
      <c r="L199" t="s">
        <v>6831</v>
      </c>
      <c r="M199" s="3" t="str">
        <f>HYPERLINK(Таблица3[[#This Row],[RelativePath]])</f>
        <v>13 Склад хол\K07156189_23_20251217T161831Z.jpg</v>
      </c>
    </row>
    <row r="200" spans="1:13" x14ac:dyDescent="0.25">
      <c r="A200" t="s">
        <v>15</v>
      </c>
      <c r="B200" s="4">
        <v>46008</v>
      </c>
      <c r="C200" s="6">
        <v>0.68071759259259257</v>
      </c>
      <c r="D200" s="2" t="s">
        <v>289</v>
      </c>
      <c r="E200" t="s">
        <v>5480</v>
      </c>
      <c r="F200" t="s">
        <v>528</v>
      </c>
      <c r="H200" t="s">
        <v>2936</v>
      </c>
      <c r="I200" t="s">
        <v>6832</v>
      </c>
      <c r="J200" t="s">
        <v>2988</v>
      </c>
      <c r="K200" t="s">
        <v>6833</v>
      </c>
      <c r="L200" t="s">
        <v>6834</v>
      </c>
      <c r="M200" s="3" t="str">
        <f>HYPERLINK(Таблица3[[#This Row],[RelativePath]])</f>
        <v>13 Склад хол\K07156189_23_20251217T162014Z.jpg</v>
      </c>
    </row>
    <row r="201" spans="1:13" x14ac:dyDescent="0.25">
      <c r="A201" t="s">
        <v>15</v>
      </c>
      <c r="B201" s="4">
        <v>46008</v>
      </c>
      <c r="C201" s="6">
        <v>0.68444444444444441</v>
      </c>
      <c r="D201" s="2" t="s">
        <v>289</v>
      </c>
      <c r="E201" t="s">
        <v>5480</v>
      </c>
      <c r="F201" t="s">
        <v>528</v>
      </c>
      <c r="I201" t="s">
        <v>6838</v>
      </c>
      <c r="J201" t="s">
        <v>2988</v>
      </c>
      <c r="K201" t="s">
        <v>6839</v>
      </c>
      <c r="L201" t="s">
        <v>6840</v>
      </c>
      <c r="M201" s="3" t="str">
        <f>HYPERLINK(Таблица3[[#This Row],[RelativePath]])</f>
        <v>13 Склад хол\K07156189_23_20251217T162536Z.jpg</v>
      </c>
    </row>
    <row r="202" spans="1:13" x14ac:dyDescent="0.25">
      <c r="A202" t="s">
        <v>16</v>
      </c>
      <c r="B202" s="4">
        <v>46016</v>
      </c>
      <c r="C202" s="6">
        <v>0.50189814814814815</v>
      </c>
      <c r="D202" s="2" t="s">
        <v>289</v>
      </c>
      <c r="E202" t="s">
        <v>70</v>
      </c>
      <c r="F202" t="s">
        <v>58</v>
      </c>
      <c r="H202" t="s">
        <v>2936</v>
      </c>
      <c r="I202" t="s">
        <v>7511</v>
      </c>
      <c r="J202" t="s">
        <v>6392</v>
      </c>
      <c r="K202" t="s">
        <v>7512</v>
      </c>
      <c r="L202" t="s">
        <v>7513</v>
      </c>
      <c r="M202" s="3" t="str">
        <f>HYPERLINK(Таблица3[[#This Row],[RelativePath]])</f>
        <v>10 Сушилка навес\E33149364_3_20251225T120244Z.jpg</v>
      </c>
    </row>
    <row r="203" spans="1:13" x14ac:dyDescent="0.25">
      <c r="A203" t="s">
        <v>16</v>
      </c>
      <c r="B203" s="4">
        <v>46016</v>
      </c>
      <c r="C203" s="6">
        <v>0.50423611111111111</v>
      </c>
      <c r="D203" s="2" t="s">
        <v>289</v>
      </c>
      <c r="E203" t="s">
        <v>70</v>
      </c>
      <c r="F203" t="s">
        <v>58</v>
      </c>
      <c r="H203" t="s">
        <v>2936</v>
      </c>
      <c r="I203" t="s">
        <v>7514</v>
      </c>
      <c r="J203" t="s">
        <v>6392</v>
      </c>
      <c r="K203" t="s">
        <v>7515</v>
      </c>
      <c r="L203" t="s">
        <v>7516</v>
      </c>
      <c r="M203" s="3" t="str">
        <f>HYPERLINK(Таблица3[[#This Row],[RelativePath]])</f>
        <v>10 Сушилка навес\E33149364_3_20251225T120606Z.jpg</v>
      </c>
    </row>
    <row r="204" spans="1:13" x14ac:dyDescent="0.25">
      <c r="A204" t="s">
        <v>16</v>
      </c>
      <c r="B204" s="4">
        <v>46016</v>
      </c>
      <c r="C204" s="6">
        <v>0.50168981481481478</v>
      </c>
      <c r="D204" s="2" t="s">
        <v>289</v>
      </c>
      <c r="E204" t="s">
        <v>70</v>
      </c>
      <c r="F204" t="s">
        <v>58</v>
      </c>
      <c r="H204" t="s">
        <v>2936</v>
      </c>
      <c r="I204" t="s">
        <v>7508</v>
      </c>
      <c r="J204" t="s">
        <v>6392</v>
      </c>
      <c r="K204" t="s">
        <v>7509</v>
      </c>
      <c r="L204" t="s">
        <v>7510</v>
      </c>
      <c r="M204" s="3" t="str">
        <f>HYPERLINK(Таблица3[[#This Row],[RelativePath]])</f>
        <v>10 Сушилка навес\E33149364_3_20251225T120226Z.jpg</v>
      </c>
    </row>
    <row r="205" spans="1:13" x14ac:dyDescent="0.25">
      <c r="A205" t="s">
        <v>16</v>
      </c>
      <c r="B205" s="4">
        <v>46016</v>
      </c>
      <c r="C205" s="6">
        <v>0.50045138888888885</v>
      </c>
      <c r="D205" s="2" t="s">
        <v>289</v>
      </c>
      <c r="E205" t="s">
        <v>70</v>
      </c>
      <c r="F205" t="s">
        <v>58</v>
      </c>
      <c r="H205" t="s">
        <v>1618</v>
      </c>
      <c r="I205" t="s">
        <v>7502</v>
      </c>
      <c r="J205" t="s">
        <v>6392</v>
      </c>
      <c r="K205" t="s">
        <v>7503</v>
      </c>
      <c r="L205" t="s">
        <v>7504</v>
      </c>
      <c r="M205" s="3" t="str">
        <f>HYPERLINK(Таблица3[[#This Row],[RelativePath]])</f>
        <v>10 Сушилка навес\E33149364_3_20251225T120039Z.jpg</v>
      </c>
    </row>
    <row r="206" spans="1:13" x14ac:dyDescent="0.25">
      <c r="A206" t="s">
        <v>16</v>
      </c>
      <c r="B206" s="4">
        <v>46016</v>
      </c>
      <c r="C206" s="6">
        <v>0.50079861111111112</v>
      </c>
      <c r="D206" s="2" t="s">
        <v>289</v>
      </c>
      <c r="E206" t="s">
        <v>70</v>
      </c>
      <c r="F206" t="s">
        <v>58</v>
      </c>
      <c r="H206" t="s">
        <v>2936</v>
      </c>
      <c r="I206" t="s">
        <v>7505</v>
      </c>
      <c r="J206" t="s">
        <v>6392</v>
      </c>
      <c r="K206" t="s">
        <v>7506</v>
      </c>
      <c r="L206" t="s">
        <v>7507</v>
      </c>
      <c r="M206" s="3" t="str">
        <f>HYPERLINK(Таблица3[[#This Row],[RelativePath]])</f>
        <v>10 Сушилка навес\E33149364_3_20251225T120109Z.jpg</v>
      </c>
    </row>
    <row r="207" spans="1:13" x14ac:dyDescent="0.25">
      <c r="A207" t="s">
        <v>17</v>
      </c>
      <c r="B207" s="4">
        <v>46017</v>
      </c>
      <c r="C207" s="6">
        <v>0.40768518518518521</v>
      </c>
      <c r="D207" s="2" t="s">
        <v>289</v>
      </c>
      <c r="E207" t="s">
        <v>2927</v>
      </c>
      <c r="F207" t="s">
        <v>7169</v>
      </c>
      <c r="H207" t="s">
        <v>2936</v>
      </c>
      <c r="I207" t="s">
        <v>7825</v>
      </c>
      <c r="J207" t="s">
        <v>2990</v>
      </c>
      <c r="K207" t="s">
        <v>7826</v>
      </c>
      <c r="L207" t="s">
        <v>7827</v>
      </c>
      <c r="M207" s="3" t="str">
        <f>HYPERLINK(Таблица3[[#This Row],[RelativePath]])</f>
        <v>3 Въезд на базу\E33149364_8_20251226T094704Z.jpg</v>
      </c>
    </row>
    <row r="208" spans="1:13" x14ac:dyDescent="0.25">
      <c r="A208" t="s">
        <v>17</v>
      </c>
      <c r="B208" s="4">
        <v>46017</v>
      </c>
      <c r="C208" s="6">
        <v>0.40766203703703702</v>
      </c>
      <c r="D208" s="2" t="s">
        <v>289</v>
      </c>
      <c r="E208" t="s">
        <v>2927</v>
      </c>
      <c r="F208" t="s">
        <v>7169</v>
      </c>
      <c r="H208" t="s">
        <v>2936</v>
      </c>
      <c r="I208" t="s">
        <v>7822</v>
      </c>
      <c r="J208" t="s">
        <v>2990</v>
      </c>
      <c r="K208" t="s">
        <v>7823</v>
      </c>
      <c r="L208" t="s">
        <v>7824</v>
      </c>
      <c r="M208" s="3" t="str">
        <f>HYPERLINK(Таблица3[[#This Row],[RelativePath]])</f>
        <v>3 Въезд на базу\E33149364_8_20251226T094702Z.jpg</v>
      </c>
    </row>
    <row r="209" spans="1:13" x14ac:dyDescent="0.25">
      <c r="A209" t="s">
        <v>17</v>
      </c>
      <c r="B209" s="4">
        <v>46017</v>
      </c>
      <c r="C209" s="6">
        <v>0.40710648148148149</v>
      </c>
      <c r="D209" s="2" t="s">
        <v>289</v>
      </c>
      <c r="E209" t="s">
        <v>2927</v>
      </c>
      <c r="F209" t="s">
        <v>7169</v>
      </c>
      <c r="I209" t="s">
        <v>7819</v>
      </c>
      <c r="J209" t="s">
        <v>2990</v>
      </c>
      <c r="K209" t="s">
        <v>7820</v>
      </c>
      <c r="L209" t="s">
        <v>7821</v>
      </c>
      <c r="M209" s="3" t="str">
        <f>HYPERLINK(Таблица3[[#This Row],[RelativePath]])</f>
        <v>3 Въезд на базу\E33149364_8_20251226T094614Z.jpg</v>
      </c>
    </row>
    <row r="210" spans="1:13" x14ac:dyDescent="0.25">
      <c r="A210" t="s">
        <v>13</v>
      </c>
      <c r="B210" s="4">
        <v>46020</v>
      </c>
      <c r="C210" s="6">
        <v>0.64688657407407413</v>
      </c>
      <c r="D210" s="2" t="s">
        <v>289</v>
      </c>
      <c r="E210" t="s">
        <v>8352</v>
      </c>
      <c r="F210" t="s">
        <v>1621</v>
      </c>
      <c r="I210" t="s">
        <v>8228</v>
      </c>
      <c r="J210" t="s">
        <v>6392</v>
      </c>
      <c r="K210" t="s">
        <v>8229</v>
      </c>
      <c r="L210" t="s">
        <v>8230</v>
      </c>
      <c r="M210" s="3" t="str">
        <f>HYPERLINK(Таблица3[[#This Row],[RelativePath]])</f>
        <v>10 Сушилка навес\E33149364_3_20251229T153131Z.jpg</v>
      </c>
    </row>
    <row r="211" spans="1:13" x14ac:dyDescent="0.25">
      <c r="A211" t="s">
        <v>14</v>
      </c>
      <c r="B211" s="4">
        <v>46035</v>
      </c>
      <c r="C211" s="6">
        <v>0.41223379629629631</v>
      </c>
      <c r="D211" s="2" t="s">
        <v>289</v>
      </c>
      <c r="E211" t="s">
        <v>9187</v>
      </c>
      <c r="F211" t="s">
        <v>9188</v>
      </c>
      <c r="I211" t="s">
        <v>8979</v>
      </c>
      <c r="J211" t="s">
        <v>8976</v>
      </c>
      <c r="K211" t="s">
        <v>8980</v>
      </c>
      <c r="L211" t="s">
        <v>8981</v>
      </c>
      <c r="M211" s="3" t="str">
        <f>HYPERLINK(Таблица3[[#This Row],[RelativePath]])</f>
        <v>3 Въезд на базу\E33149364_8_20260113T095337Z.jpg</v>
      </c>
    </row>
    <row r="212" spans="1:13" x14ac:dyDescent="0.25">
      <c r="A212" t="s">
        <v>14</v>
      </c>
      <c r="B212" s="4">
        <v>46035</v>
      </c>
      <c r="C212" s="6">
        <v>0.41230324074074076</v>
      </c>
      <c r="D212" s="2" t="s">
        <v>289</v>
      </c>
      <c r="E212" t="s">
        <v>9187</v>
      </c>
      <c r="F212" t="s">
        <v>9188</v>
      </c>
      <c r="H212" t="s">
        <v>2936</v>
      </c>
      <c r="I212" t="s">
        <v>8982</v>
      </c>
      <c r="J212" t="s">
        <v>8976</v>
      </c>
      <c r="K212" t="s">
        <v>8983</v>
      </c>
      <c r="L212" t="s">
        <v>8984</v>
      </c>
      <c r="M212" s="3" t="str">
        <f>HYPERLINK(Таблица3[[#This Row],[RelativePath]])</f>
        <v>3 Въезд на базу\E33149364_8_20260113T095343Z.jpg</v>
      </c>
    </row>
    <row r="213" spans="1:13" x14ac:dyDescent="0.25">
      <c r="A213" t="s">
        <v>17</v>
      </c>
      <c r="B213" s="4">
        <v>46038</v>
      </c>
      <c r="C213" s="6">
        <v>0.39223379629629629</v>
      </c>
      <c r="D213" s="2" t="s">
        <v>289</v>
      </c>
      <c r="E213" t="s">
        <v>9521</v>
      </c>
      <c r="F213" t="s">
        <v>2944</v>
      </c>
      <c r="I213" t="s">
        <v>9507</v>
      </c>
      <c r="J213" t="s">
        <v>2985</v>
      </c>
      <c r="K213" t="s">
        <v>9508</v>
      </c>
      <c r="L213" t="s">
        <v>9509</v>
      </c>
      <c r="M213" s="3" t="str">
        <f>HYPERLINK(Таблица3[[#This Row],[RelativePath]])</f>
        <v>10 Сушилка навес\E33149364_3_20260116T092449Z.jpg</v>
      </c>
    </row>
  </sheetData>
  <phoneticPr fontId="2" type="noConversion"/>
  <conditionalFormatting sqref="E214:E235 D2:E213">
    <cfRule type="containsText" dxfId="17" priority="7" operator="containsText" text="Выезд с территории">
      <formula>NOT(ISERROR(SEARCH("Выезд с территории",D2)))</formula>
    </cfRule>
  </conditionalFormatting>
  <conditionalFormatting sqref="D2:D213">
    <cfRule type="containsText" dxfId="16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3">
    <cfRule type="containsText" dxfId="15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5">
    <cfRule type="containsText" dxfId="14" priority="2" operator="containsText" text="Газель базы">
      <formula>NOT(ISERROR(SEARCH("Газель базы",E2)))</formula>
    </cfRule>
    <cfRule type="containsText" dxfId="13" priority="3" operator="containsText" text="Погрузчик базы">
      <formula>NOT(ISERROR(SEARCH("Погрузчик базы",E2)))</formula>
    </cfRule>
  </conditionalFormatting>
  <conditionalFormatting sqref="E2:E235">
    <cfRule type="containsText" dxfId="1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86"/>
  <sheetViews>
    <sheetView topLeftCell="A354" zoomScale="80" zoomScaleNormal="80" workbookViewId="0">
      <selection activeCell="E348" sqref="E348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0.4105787037037037</v>
      </c>
      <c r="D2" s="7" t="s">
        <v>466</v>
      </c>
      <c r="E2" t="s">
        <v>67</v>
      </c>
      <c r="F2" t="s">
        <v>468</v>
      </c>
      <c r="I2" s="8" t="s">
        <v>382</v>
      </c>
      <c r="J2" s="8" t="s">
        <v>334</v>
      </c>
      <c r="K2" t="s">
        <v>383</v>
      </c>
      <c r="L2" t="s">
        <v>384</v>
      </c>
      <c r="M2" s="3" t="str">
        <f>HYPERLINK(СторонТрансп[[#This Row],[RelativePath]])</f>
        <v>5 Крыльцо общага\K07156189_22_20251111T095114Z.jpg</v>
      </c>
    </row>
    <row r="3" spans="1:13" x14ac:dyDescent="0.25">
      <c r="A3" t="s">
        <v>14</v>
      </c>
      <c r="B3" s="4">
        <v>45972</v>
      </c>
      <c r="C3" s="6">
        <v>0.39787037037037037</v>
      </c>
      <c r="D3" s="7" t="s">
        <v>466</v>
      </c>
      <c r="E3" t="s">
        <v>67</v>
      </c>
      <c r="F3" t="s">
        <v>468</v>
      </c>
      <c r="I3" s="8" t="s">
        <v>367</v>
      </c>
      <c r="J3" s="8" t="s">
        <v>334</v>
      </c>
      <c r="K3" t="s">
        <v>368</v>
      </c>
      <c r="L3" t="s">
        <v>369</v>
      </c>
      <c r="M3" s="3" t="str">
        <f>HYPERLINK(СторонТрансп[[#This Row],[RelativePath]])</f>
        <v>5 Крыльцо общага\K07156189_22_20251111T093256Z.jpg</v>
      </c>
    </row>
    <row r="4" spans="1:13" x14ac:dyDescent="0.25">
      <c r="A4" t="s">
        <v>14</v>
      </c>
      <c r="B4" s="4">
        <v>45972</v>
      </c>
      <c r="C4" s="6">
        <v>0.40370370370370373</v>
      </c>
      <c r="D4" s="7" t="s">
        <v>466</v>
      </c>
      <c r="E4" t="s">
        <v>67</v>
      </c>
      <c r="F4" t="s">
        <v>468</v>
      </c>
      <c r="I4" s="8" t="s">
        <v>370</v>
      </c>
      <c r="J4" s="8" t="s">
        <v>334</v>
      </c>
      <c r="K4" t="s">
        <v>371</v>
      </c>
      <c r="L4" t="s">
        <v>372</v>
      </c>
      <c r="M4" s="3" t="str">
        <f>HYPERLINK(СторонТрансп[[#This Row],[RelativePath]])</f>
        <v>5 Крыльцо общага\K07156189_22_20251111T094120Z.jpg</v>
      </c>
    </row>
    <row r="5" spans="1:13" x14ac:dyDescent="0.25">
      <c r="A5" t="s">
        <v>14</v>
      </c>
      <c r="B5" s="4">
        <v>45972</v>
      </c>
      <c r="C5" s="6">
        <v>0.40597222222222223</v>
      </c>
      <c r="D5" s="7" t="s">
        <v>466</v>
      </c>
      <c r="E5" t="s">
        <v>67</v>
      </c>
      <c r="F5" t="s">
        <v>468</v>
      </c>
      <c r="I5" s="8" t="s">
        <v>376</v>
      </c>
      <c r="J5" s="8" t="s">
        <v>334</v>
      </c>
      <c r="K5" t="s">
        <v>377</v>
      </c>
      <c r="L5" t="s">
        <v>378</v>
      </c>
      <c r="M5" s="3" t="str">
        <f>HYPERLINK(СторонТрансп[[#This Row],[RelativePath]])</f>
        <v>5 Крыльцо общага\K07156189_22_20251111T094436Z.jpg</v>
      </c>
    </row>
    <row r="6" spans="1:13" x14ac:dyDescent="0.25">
      <c r="A6" t="s">
        <v>14</v>
      </c>
      <c r="B6" s="4">
        <v>45972</v>
      </c>
      <c r="C6" s="6">
        <v>0.40881944444444446</v>
      </c>
      <c r="D6" s="7" t="s">
        <v>466</v>
      </c>
      <c r="E6" t="s">
        <v>67</v>
      </c>
      <c r="F6" t="s">
        <v>468</v>
      </c>
      <c r="I6" s="8" t="s">
        <v>379</v>
      </c>
      <c r="J6" s="8" t="s">
        <v>334</v>
      </c>
      <c r="K6" t="s">
        <v>380</v>
      </c>
      <c r="L6" t="s">
        <v>381</v>
      </c>
      <c r="M6" s="3" t="str">
        <f>HYPERLINK(СторонТрансп[[#This Row],[RelativePath]])</f>
        <v>5 Крыльцо общага\K07156189_22_20251111T094842Z.jpg</v>
      </c>
    </row>
    <row r="7" spans="1:13" x14ac:dyDescent="0.25">
      <c r="A7" t="s">
        <v>14</v>
      </c>
      <c r="B7" s="4">
        <v>45972</v>
      </c>
      <c r="C7" s="6">
        <v>0.42736111111111114</v>
      </c>
      <c r="D7" s="7" t="s">
        <v>466</v>
      </c>
      <c r="E7" t="s">
        <v>67</v>
      </c>
      <c r="F7" t="s">
        <v>468</v>
      </c>
      <c r="I7" s="8" t="s">
        <v>397</v>
      </c>
      <c r="J7" s="8" t="s">
        <v>334</v>
      </c>
      <c r="K7" t="s">
        <v>398</v>
      </c>
      <c r="L7" t="s">
        <v>399</v>
      </c>
      <c r="M7" s="3" t="str">
        <f>HYPERLINK(СторонТрансп[[#This Row],[RelativePath]])</f>
        <v>5 Крыльцо общага\K07156189_22_20251111T101524Z.jpg</v>
      </c>
    </row>
    <row r="8" spans="1:13" x14ac:dyDescent="0.25">
      <c r="A8" t="s">
        <v>14</v>
      </c>
      <c r="B8" s="4">
        <v>45972</v>
      </c>
      <c r="C8" s="6">
        <v>0.41136574074074073</v>
      </c>
      <c r="D8" s="7" t="s">
        <v>466</v>
      </c>
      <c r="E8" t="s">
        <v>67</v>
      </c>
      <c r="F8" t="s">
        <v>468</v>
      </c>
      <c r="I8" s="8" t="s">
        <v>385</v>
      </c>
      <c r="J8" s="8" t="s">
        <v>334</v>
      </c>
      <c r="K8" t="s">
        <v>386</v>
      </c>
      <c r="L8" t="s">
        <v>387</v>
      </c>
      <c r="M8" s="3" t="str">
        <f>HYPERLINK(СторонТрансп[[#This Row],[RelativePath]])</f>
        <v>5 Крыльцо общага\K07156189_22_20251111T095222Z.jpg</v>
      </c>
    </row>
    <row r="9" spans="1:13" x14ac:dyDescent="0.25">
      <c r="A9" t="s">
        <v>14</v>
      </c>
      <c r="B9" s="4">
        <v>45972</v>
      </c>
      <c r="C9" s="6">
        <v>0.41312500000000002</v>
      </c>
      <c r="D9" s="7" t="s">
        <v>466</v>
      </c>
      <c r="E9" t="s">
        <v>67</v>
      </c>
      <c r="F9" t="s">
        <v>468</v>
      </c>
      <c r="I9" s="8" t="s">
        <v>388</v>
      </c>
      <c r="J9" s="8" t="s">
        <v>334</v>
      </c>
      <c r="K9" t="s">
        <v>389</v>
      </c>
      <c r="L9" t="s">
        <v>390</v>
      </c>
      <c r="M9" s="3" t="str">
        <f>HYPERLINK(СторонТрансп[[#This Row],[RelativePath]])</f>
        <v>5 Крыльцо общага\K07156189_22_20251111T095454Z.jpg</v>
      </c>
    </row>
    <row r="10" spans="1:13" x14ac:dyDescent="0.25">
      <c r="A10" t="s">
        <v>14</v>
      </c>
      <c r="B10" s="4">
        <v>45972</v>
      </c>
      <c r="C10" s="6">
        <v>0.40377314814814813</v>
      </c>
      <c r="D10" s="7" t="s">
        <v>466</v>
      </c>
      <c r="E10" t="s">
        <v>67</v>
      </c>
      <c r="F10" t="s">
        <v>468</v>
      </c>
      <c r="I10" s="8" t="s">
        <v>373</v>
      </c>
      <c r="J10" s="8" t="s">
        <v>334</v>
      </c>
      <c r="K10" t="s">
        <v>374</v>
      </c>
      <c r="L10" t="s">
        <v>375</v>
      </c>
      <c r="M10" s="3" t="str">
        <f>HYPERLINK(СторонТрансп[[#This Row],[RelativePath]])</f>
        <v>5 Крыльцо общага\K07156189_22_20251111T094126Z.jpg</v>
      </c>
    </row>
    <row r="11" spans="1:13" x14ac:dyDescent="0.25">
      <c r="A11" t="s">
        <v>14</v>
      </c>
      <c r="B11" s="4">
        <v>45972</v>
      </c>
      <c r="C11" s="6">
        <v>0.41627314814814814</v>
      </c>
      <c r="D11" s="7" t="s">
        <v>466</v>
      </c>
      <c r="E11" t="s">
        <v>67</v>
      </c>
      <c r="F11" t="s">
        <v>468</v>
      </c>
      <c r="I11" s="8" t="s">
        <v>391</v>
      </c>
      <c r="J11" s="8" t="s">
        <v>334</v>
      </c>
      <c r="K11" t="s">
        <v>392</v>
      </c>
      <c r="L11" t="s">
        <v>393</v>
      </c>
      <c r="M11" s="3" t="str">
        <f>HYPERLINK(СторонТрансп[[#This Row],[RelativePath]])</f>
        <v>5 Крыльцо общага\K07156189_22_20251111T095926Z.jpg</v>
      </c>
    </row>
    <row r="12" spans="1:13" x14ac:dyDescent="0.25">
      <c r="A12" t="s">
        <v>14</v>
      </c>
      <c r="B12" s="4">
        <v>45972</v>
      </c>
      <c r="C12" s="6">
        <v>0.4226273148148148</v>
      </c>
      <c r="D12" s="7" t="s">
        <v>466</v>
      </c>
      <c r="E12" t="s">
        <v>67</v>
      </c>
      <c r="F12" t="s">
        <v>468</v>
      </c>
      <c r="I12" s="8" t="s">
        <v>394</v>
      </c>
      <c r="J12" s="8" t="s">
        <v>334</v>
      </c>
      <c r="K12" t="s">
        <v>395</v>
      </c>
      <c r="L12" t="s">
        <v>396</v>
      </c>
      <c r="M12" s="3" t="str">
        <f>HYPERLINK(СторонТрансп[[#This Row],[RelativePath]])</f>
        <v>5 Крыльцо общага\K07156189_22_20251111T100835Z.jpg</v>
      </c>
    </row>
    <row r="13" spans="1:13" x14ac:dyDescent="0.25">
      <c r="A13" t="s">
        <v>14</v>
      </c>
      <c r="B13" s="4">
        <v>45972</v>
      </c>
      <c r="C13" s="6">
        <v>0.42944444444444446</v>
      </c>
      <c r="D13" s="7" t="s">
        <v>466</v>
      </c>
      <c r="E13" t="s">
        <v>67</v>
      </c>
      <c r="F13" t="s">
        <v>468</v>
      </c>
      <c r="I13" s="8" t="s">
        <v>400</v>
      </c>
      <c r="J13" s="8" t="s">
        <v>334</v>
      </c>
      <c r="K13" t="s">
        <v>401</v>
      </c>
      <c r="L13" t="s">
        <v>402</v>
      </c>
      <c r="M13" s="3" t="str">
        <f>HYPERLINK(СторонТрансп[[#This Row],[RelativePath]])</f>
        <v>5 Крыльцо общага\K07156189_22_20251111T101824Z.jpg</v>
      </c>
    </row>
    <row r="14" spans="1:13" x14ac:dyDescent="0.25">
      <c r="A14" t="s">
        <v>14</v>
      </c>
      <c r="B14" s="4">
        <v>45972</v>
      </c>
      <c r="C14" s="6">
        <v>0.4316550925925926</v>
      </c>
      <c r="D14" s="7" t="s">
        <v>466</v>
      </c>
      <c r="E14" t="s">
        <v>67</v>
      </c>
      <c r="F14" t="s">
        <v>468</v>
      </c>
      <c r="I14" s="8" t="s">
        <v>403</v>
      </c>
      <c r="J14" s="8" t="s">
        <v>334</v>
      </c>
      <c r="K14" t="s">
        <v>404</v>
      </c>
      <c r="L14" t="s">
        <v>405</v>
      </c>
      <c r="M14" s="3" t="str">
        <f>HYPERLINK(СторонТрансп[[#This Row],[RelativePath]])</f>
        <v>5 Крыльцо общага\K07156189_22_20251111T102135Z.jpg</v>
      </c>
    </row>
    <row r="15" spans="1:13" x14ac:dyDescent="0.25">
      <c r="A15" t="s">
        <v>14</v>
      </c>
      <c r="B15" s="4">
        <v>45972</v>
      </c>
      <c r="C15" s="6">
        <v>0.43408564814814815</v>
      </c>
      <c r="D15" s="7" t="s">
        <v>466</v>
      </c>
      <c r="E15" t="s">
        <v>67</v>
      </c>
      <c r="F15" t="s">
        <v>468</v>
      </c>
      <c r="I15" s="8" t="s">
        <v>406</v>
      </c>
      <c r="J15" s="8" t="s">
        <v>334</v>
      </c>
      <c r="K15" t="s">
        <v>407</v>
      </c>
      <c r="L15" t="s">
        <v>408</v>
      </c>
      <c r="M15" s="3" t="str">
        <f>HYPERLINK(СторонТрансп[[#This Row],[RelativePath]])</f>
        <v>5 Крыльцо общага\K07156189_22_20251111T102505Z.jpg</v>
      </c>
    </row>
    <row r="16" spans="1:13" x14ac:dyDescent="0.25">
      <c r="A16" t="s">
        <v>14</v>
      </c>
      <c r="B16" s="4">
        <v>45972</v>
      </c>
      <c r="C16" s="6">
        <v>0.43606481481481479</v>
      </c>
      <c r="D16" s="7" t="s">
        <v>466</v>
      </c>
      <c r="E16" t="s">
        <v>67</v>
      </c>
      <c r="F16" t="s">
        <v>469</v>
      </c>
      <c r="H16" t="s">
        <v>470</v>
      </c>
      <c r="I16" s="8" t="s">
        <v>409</v>
      </c>
      <c r="J16" s="8" t="s">
        <v>334</v>
      </c>
      <c r="K16" t="s">
        <v>410</v>
      </c>
      <c r="L16" t="s">
        <v>411</v>
      </c>
      <c r="M16" s="3" t="str">
        <f>HYPERLINK(СторонТрансп[[#This Row],[RelativePath]])</f>
        <v>5 Крыльцо общага\K07156189_22_20251111T102756Z.jpg</v>
      </c>
    </row>
    <row r="17" spans="1:13" x14ac:dyDescent="0.25">
      <c r="A17" t="s">
        <v>14</v>
      </c>
      <c r="B17" s="4">
        <v>45972</v>
      </c>
      <c r="C17" s="6">
        <v>0.46743055555555557</v>
      </c>
      <c r="D17" s="7" t="s">
        <v>466</v>
      </c>
      <c r="E17" t="s">
        <v>63</v>
      </c>
      <c r="F17" t="s">
        <v>58</v>
      </c>
      <c r="H17" t="s">
        <v>1620</v>
      </c>
      <c r="I17" s="8" t="s">
        <v>1456</v>
      </c>
      <c r="J17" s="8" t="s">
        <v>1308</v>
      </c>
      <c r="K17" t="s">
        <v>1457</v>
      </c>
      <c r="L17" t="s">
        <v>1458</v>
      </c>
      <c r="M17" s="3" t="str">
        <f>HYPERLINK(СторонТрансп[[#This Row],[RelativePath]])</f>
        <v>10 Сушилка навес\E33149364_3_20251111T111306Z.jpg</v>
      </c>
    </row>
    <row r="18" spans="1:13" x14ac:dyDescent="0.25">
      <c r="A18" t="s">
        <v>14</v>
      </c>
      <c r="B18" s="4">
        <v>45972</v>
      </c>
      <c r="C18" s="6">
        <v>0.47805555555555557</v>
      </c>
      <c r="D18" s="7" t="s">
        <v>1616</v>
      </c>
      <c r="E18" t="s">
        <v>63</v>
      </c>
      <c r="F18" t="s">
        <v>58</v>
      </c>
      <c r="H18" t="s">
        <v>1620</v>
      </c>
      <c r="I18" s="8" t="s">
        <v>1459</v>
      </c>
      <c r="J18" s="8" t="s">
        <v>1308</v>
      </c>
      <c r="K18" t="s">
        <v>1460</v>
      </c>
      <c r="L18" t="s">
        <v>1461</v>
      </c>
      <c r="M18" s="3" t="str">
        <f>HYPERLINK(СторонТрансп[[#This Row],[RelativePath]])</f>
        <v>10 Сушилка навес\E33149364_3_20251111T112824Z.jpg</v>
      </c>
    </row>
    <row r="19" spans="1:13" x14ac:dyDescent="0.25">
      <c r="A19" t="s">
        <v>14</v>
      </c>
      <c r="B19" s="4">
        <v>45972</v>
      </c>
      <c r="C19" s="6">
        <v>0.48200231481481481</v>
      </c>
      <c r="D19" s="7" t="s">
        <v>1616</v>
      </c>
      <c r="E19" t="s">
        <v>63</v>
      </c>
      <c r="F19" t="s">
        <v>58</v>
      </c>
      <c r="H19" t="s">
        <v>1620</v>
      </c>
      <c r="I19" s="8" t="s">
        <v>1462</v>
      </c>
      <c r="J19" s="8" t="s">
        <v>1308</v>
      </c>
      <c r="K19" t="s">
        <v>1463</v>
      </c>
      <c r="L19" t="s">
        <v>1464</v>
      </c>
      <c r="M19" s="3" t="str">
        <f>HYPERLINK(СторонТрансп[[#This Row],[RelativePath]])</f>
        <v>10 Сушилка навес\E33149364_3_20251111T113405Z.jpg</v>
      </c>
    </row>
    <row r="20" spans="1:13" x14ac:dyDescent="0.25">
      <c r="A20" t="s">
        <v>15</v>
      </c>
      <c r="B20" s="4">
        <v>45987</v>
      </c>
      <c r="C20" s="6">
        <v>0.4478125</v>
      </c>
      <c r="D20" s="7" t="s">
        <v>289</v>
      </c>
      <c r="E20" t="s">
        <v>4192</v>
      </c>
      <c r="F20" t="s">
        <v>58</v>
      </c>
      <c r="H20" t="s">
        <v>2936</v>
      </c>
      <c r="I20" s="8" t="s">
        <v>4010</v>
      </c>
      <c r="J20" s="8" t="s">
        <v>2985</v>
      </c>
      <c r="K20" t="s">
        <v>4011</v>
      </c>
      <c r="L20" t="s">
        <v>4012</v>
      </c>
      <c r="M20" s="3" t="str">
        <f>HYPERLINK(СторонТрансп[[#This Row],[RelativePath]])</f>
        <v>10 Сушилка навес\E33149364_3_20251126T104451Z.jpg</v>
      </c>
    </row>
    <row r="21" spans="1:13" x14ac:dyDescent="0.25">
      <c r="A21" t="s">
        <v>15</v>
      </c>
      <c r="B21" s="4">
        <v>45987</v>
      </c>
      <c r="C21" s="6">
        <v>0.44372685185185184</v>
      </c>
      <c r="D21" s="7" t="s">
        <v>289</v>
      </c>
      <c r="E21" t="s">
        <v>4192</v>
      </c>
      <c r="F21" t="s">
        <v>58</v>
      </c>
      <c r="I21" s="8" t="s">
        <v>3989</v>
      </c>
      <c r="J21" s="8" t="s">
        <v>2985</v>
      </c>
      <c r="K21" t="s">
        <v>3990</v>
      </c>
      <c r="L21" t="s">
        <v>3991</v>
      </c>
      <c r="M21" s="3" t="str">
        <f>HYPERLINK(СторонТрансп[[#This Row],[RelativePath]])</f>
        <v>10 Сушилка навес\E33149364_3_20251126T103858Z.jpg</v>
      </c>
    </row>
    <row r="22" spans="1:13" x14ac:dyDescent="0.25">
      <c r="A22" t="s">
        <v>15</v>
      </c>
      <c r="B22" s="4">
        <v>45987</v>
      </c>
      <c r="C22" s="6">
        <v>0.44473379629629628</v>
      </c>
      <c r="D22" s="7" t="s">
        <v>289</v>
      </c>
      <c r="E22" t="s">
        <v>4192</v>
      </c>
      <c r="F22" t="s">
        <v>58</v>
      </c>
      <c r="H22" t="s">
        <v>2936</v>
      </c>
      <c r="I22" s="8" t="s">
        <v>3992</v>
      </c>
      <c r="J22" s="8" t="s">
        <v>2985</v>
      </c>
      <c r="K22" t="s">
        <v>3993</v>
      </c>
      <c r="L22" t="s">
        <v>3994</v>
      </c>
      <c r="M22" s="3" t="str">
        <f>HYPERLINK(СторонТрансп[[#This Row],[RelativePath]])</f>
        <v>10 Сушилка навес\E33149364_3_20251126T104025Z.jpg</v>
      </c>
    </row>
    <row r="23" spans="1:13" x14ac:dyDescent="0.25">
      <c r="A23" t="s">
        <v>15</v>
      </c>
      <c r="B23" s="4">
        <v>45987</v>
      </c>
      <c r="C23" s="6">
        <v>0.44495370370370368</v>
      </c>
      <c r="D23" s="7" t="s">
        <v>289</v>
      </c>
      <c r="E23" t="s">
        <v>4192</v>
      </c>
      <c r="F23" t="s">
        <v>58</v>
      </c>
      <c r="H23" t="s">
        <v>2936</v>
      </c>
      <c r="I23" s="8" t="s">
        <v>3995</v>
      </c>
      <c r="J23" s="8" t="s">
        <v>2985</v>
      </c>
      <c r="K23" t="s">
        <v>3996</v>
      </c>
      <c r="L23" t="s">
        <v>3997</v>
      </c>
      <c r="M23" s="3" t="str">
        <f>HYPERLINK(СторонТрансп[[#This Row],[RelativePath]])</f>
        <v>10 Сушилка навес\E33149364_3_20251126T104044Z.jpg</v>
      </c>
    </row>
    <row r="24" spans="1:13" x14ac:dyDescent="0.25">
      <c r="A24" t="s">
        <v>15</v>
      </c>
      <c r="B24" s="4">
        <v>45987</v>
      </c>
      <c r="C24" s="6">
        <v>0.44767361111111109</v>
      </c>
      <c r="D24" s="7" t="s">
        <v>289</v>
      </c>
      <c r="E24" t="s">
        <v>4192</v>
      </c>
      <c r="F24" t="s">
        <v>58</v>
      </c>
      <c r="H24" t="s">
        <v>2936</v>
      </c>
      <c r="I24" s="8" t="s">
        <v>4007</v>
      </c>
      <c r="J24" s="8" t="s">
        <v>2985</v>
      </c>
      <c r="K24" t="s">
        <v>4008</v>
      </c>
      <c r="L24" t="s">
        <v>4009</v>
      </c>
      <c r="M24" s="3" t="str">
        <f>HYPERLINK(СторонТрансп[[#This Row],[RelativePath]])</f>
        <v>10 Сушилка навес\E33149364_3_20251126T104439Z.jpg</v>
      </c>
    </row>
    <row r="25" spans="1:13" x14ac:dyDescent="0.25">
      <c r="A25" t="s">
        <v>15</v>
      </c>
      <c r="B25" s="4">
        <v>45987</v>
      </c>
      <c r="C25" s="6">
        <v>0.44226851851851851</v>
      </c>
      <c r="D25" s="7" t="s">
        <v>289</v>
      </c>
      <c r="E25" t="s">
        <v>4192</v>
      </c>
      <c r="F25" t="s">
        <v>58</v>
      </c>
      <c r="H25" t="s">
        <v>2936</v>
      </c>
      <c r="I25" s="8" t="s">
        <v>3971</v>
      </c>
      <c r="J25" s="8" t="s">
        <v>2985</v>
      </c>
      <c r="K25" t="s">
        <v>3972</v>
      </c>
      <c r="L25" t="s">
        <v>3973</v>
      </c>
      <c r="M25" s="3" t="str">
        <f>HYPERLINK(СторонТрансп[[#This Row],[RelativePath]])</f>
        <v>10 Сушилка навес\E33149364_3_20251126T103652Z.jpg</v>
      </c>
    </row>
    <row r="26" spans="1:13" x14ac:dyDescent="0.25">
      <c r="A26" t="s">
        <v>15</v>
      </c>
      <c r="B26" s="4">
        <v>45987</v>
      </c>
      <c r="C26" s="6">
        <v>0.4475925925925926</v>
      </c>
      <c r="D26" s="7" t="s">
        <v>289</v>
      </c>
      <c r="E26" t="s">
        <v>4192</v>
      </c>
      <c r="F26" t="s">
        <v>58</v>
      </c>
      <c r="I26" s="8" t="s">
        <v>4004</v>
      </c>
      <c r="J26" s="8" t="s">
        <v>2985</v>
      </c>
      <c r="K26" t="s">
        <v>4005</v>
      </c>
      <c r="L26" t="s">
        <v>4006</v>
      </c>
      <c r="M26" s="3" t="str">
        <f>HYPERLINK(СторонТрансп[[#This Row],[RelativePath]])</f>
        <v>10 Сушилка навес\E33149364_3_20251126T104432Z.jpg</v>
      </c>
    </row>
    <row r="27" spans="1:13" x14ac:dyDescent="0.25">
      <c r="A27" t="s">
        <v>15</v>
      </c>
      <c r="B27" s="4">
        <v>45987</v>
      </c>
      <c r="C27" s="6">
        <v>0.44255787037037037</v>
      </c>
      <c r="D27" s="7" t="s">
        <v>289</v>
      </c>
      <c r="E27" t="s">
        <v>4192</v>
      </c>
      <c r="F27" t="s">
        <v>58</v>
      </c>
      <c r="H27" t="s">
        <v>2936</v>
      </c>
      <c r="I27" s="8" t="s">
        <v>3977</v>
      </c>
      <c r="J27" s="8" t="s">
        <v>2985</v>
      </c>
      <c r="K27" t="s">
        <v>3978</v>
      </c>
      <c r="L27" t="s">
        <v>3979</v>
      </c>
      <c r="M27" s="3" t="str">
        <f>HYPERLINK(СторонТрансп[[#This Row],[RelativePath]])</f>
        <v>10 Сушилка навес\E33149364_3_20251126T103717Z.jpg</v>
      </c>
    </row>
    <row r="28" spans="1:13" x14ac:dyDescent="0.25">
      <c r="A28" t="s">
        <v>15</v>
      </c>
      <c r="B28" s="4">
        <v>45987</v>
      </c>
      <c r="C28" s="6">
        <v>0.44241898148148145</v>
      </c>
      <c r="D28" s="7" t="s">
        <v>289</v>
      </c>
      <c r="E28" t="s">
        <v>4192</v>
      </c>
      <c r="F28" t="s">
        <v>58</v>
      </c>
      <c r="H28" t="s">
        <v>2936</v>
      </c>
      <c r="I28" s="8" t="s">
        <v>3974</v>
      </c>
      <c r="J28" s="8" t="s">
        <v>2985</v>
      </c>
      <c r="K28" t="s">
        <v>3975</v>
      </c>
      <c r="L28" t="s">
        <v>3976</v>
      </c>
      <c r="M28" s="3" t="str">
        <f>HYPERLINK(СторонТрансп[[#This Row],[RelativePath]])</f>
        <v>10 Сушилка навес\E33149364_3_20251126T103705Z.jpg</v>
      </c>
    </row>
    <row r="29" spans="1:13" x14ac:dyDescent="0.25">
      <c r="A29" t="s">
        <v>15</v>
      </c>
      <c r="B29" s="4">
        <v>45987</v>
      </c>
      <c r="C29" s="6">
        <v>0.44216435185185188</v>
      </c>
      <c r="D29" s="7" t="s">
        <v>289</v>
      </c>
      <c r="E29" t="s">
        <v>4192</v>
      </c>
      <c r="F29" t="s">
        <v>58</v>
      </c>
      <c r="H29" t="s">
        <v>2936</v>
      </c>
      <c r="I29" s="8" t="s">
        <v>3968</v>
      </c>
      <c r="J29" s="8" t="s">
        <v>2985</v>
      </c>
      <c r="K29" t="s">
        <v>3969</v>
      </c>
      <c r="L29" t="s">
        <v>3970</v>
      </c>
      <c r="M29" s="3" t="str">
        <f>HYPERLINK(СторонТрансп[[#This Row],[RelativePath]])</f>
        <v>10 Сушилка навес\E33149364_3_20251126T103643Z.jpg</v>
      </c>
    </row>
    <row r="30" spans="1:13" x14ac:dyDescent="0.25">
      <c r="A30" t="s">
        <v>15</v>
      </c>
      <c r="B30" s="4">
        <v>45987</v>
      </c>
      <c r="C30" s="6">
        <v>0.44284722222222223</v>
      </c>
      <c r="D30" s="7" t="s">
        <v>289</v>
      </c>
      <c r="E30" t="s">
        <v>4192</v>
      </c>
      <c r="F30" t="s">
        <v>58</v>
      </c>
      <c r="H30" t="s">
        <v>2936</v>
      </c>
      <c r="I30" s="8" t="s">
        <v>3983</v>
      </c>
      <c r="J30" s="8" t="s">
        <v>2985</v>
      </c>
      <c r="K30" t="s">
        <v>3984</v>
      </c>
      <c r="L30" t="s">
        <v>3985</v>
      </c>
      <c r="M30" s="3" t="str">
        <f>HYPERLINK(СторонТрансп[[#This Row],[RelativePath]])</f>
        <v>10 Сушилка навес\E33149364_3_20251126T103742Z.jpg</v>
      </c>
    </row>
    <row r="31" spans="1:13" x14ac:dyDescent="0.25">
      <c r="A31" t="s">
        <v>15</v>
      </c>
      <c r="B31" s="4">
        <v>45987</v>
      </c>
      <c r="C31" s="6">
        <v>0.44269675925925928</v>
      </c>
      <c r="D31" s="7" t="s">
        <v>289</v>
      </c>
      <c r="E31" t="s">
        <v>4192</v>
      </c>
      <c r="F31" t="s">
        <v>58</v>
      </c>
      <c r="H31" t="s">
        <v>2936</v>
      </c>
      <c r="I31" s="8" t="s">
        <v>3980</v>
      </c>
      <c r="J31" s="8" t="s">
        <v>2985</v>
      </c>
      <c r="K31" t="s">
        <v>3981</v>
      </c>
      <c r="L31" t="s">
        <v>3982</v>
      </c>
      <c r="M31" s="3" t="str">
        <f>HYPERLINK(СторонТрансп[[#This Row],[RelativePath]])</f>
        <v>10 Сушилка навес\E33149364_3_20251126T103729Z.jpg</v>
      </c>
    </row>
    <row r="32" spans="1:13" x14ac:dyDescent="0.25">
      <c r="A32" t="s">
        <v>15</v>
      </c>
      <c r="B32" s="4">
        <v>45987</v>
      </c>
      <c r="C32" s="6">
        <v>0.44207175925925923</v>
      </c>
      <c r="D32" s="7" t="s">
        <v>289</v>
      </c>
      <c r="E32" t="s">
        <v>4192</v>
      </c>
      <c r="F32" t="s">
        <v>58</v>
      </c>
      <c r="H32" t="s">
        <v>1620</v>
      </c>
      <c r="I32" s="8" t="s">
        <v>3965</v>
      </c>
      <c r="J32" s="8" t="s">
        <v>2985</v>
      </c>
      <c r="K32" t="s">
        <v>3966</v>
      </c>
      <c r="L32" t="s">
        <v>3967</v>
      </c>
      <c r="M32" s="3" t="str">
        <f>HYPERLINK(СторонТрансп[[#This Row],[RelativePath]])</f>
        <v>10 Сушилка навес\E33149364_3_20251126T103635Z.jpg</v>
      </c>
    </row>
    <row r="33" spans="1:13" x14ac:dyDescent="0.25">
      <c r="A33" t="s">
        <v>15</v>
      </c>
      <c r="B33" s="4">
        <v>45987</v>
      </c>
      <c r="C33" s="6">
        <v>0.45056712962962964</v>
      </c>
      <c r="D33" s="7" t="s">
        <v>289</v>
      </c>
      <c r="E33" t="s">
        <v>4192</v>
      </c>
      <c r="F33" t="s">
        <v>58</v>
      </c>
      <c r="H33" t="s">
        <v>2936</v>
      </c>
      <c r="I33" s="8" t="s">
        <v>4013</v>
      </c>
      <c r="J33" s="8" t="s">
        <v>2985</v>
      </c>
      <c r="K33" t="s">
        <v>4014</v>
      </c>
      <c r="L33" t="s">
        <v>4015</v>
      </c>
      <c r="M33" s="3" t="str">
        <f>HYPERLINK(СторонТрансп[[#This Row],[RelativePath]])</f>
        <v>10 Сушилка навес\E33149364_3_20251126T104849Z.jpg</v>
      </c>
    </row>
    <row r="34" spans="1:13" x14ac:dyDescent="0.25">
      <c r="A34" t="s">
        <v>15</v>
      </c>
      <c r="B34" s="4">
        <v>45987</v>
      </c>
      <c r="C34" s="6">
        <v>0.44947916666666665</v>
      </c>
      <c r="D34" s="7" t="s">
        <v>289</v>
      </c>
      <c r="E34" t="s">
        <v>4192</v>
      </c>
      <c r="F34" t="s">
        <v>58</v>
      </c>
      <c r="H34" t="s">
        <v>2936</v>
      </c>
      <c r="I34" s="8" t="s">
        <v>4103</v>
      </c>
      <c r="J34" s="8" t="s">
        <v>2986</v>
      </c>
      <c r="K34" t="s">
        <v>4104</v>
      </c>
      <c r="L34" t="s">
        <v>4105</v>
      </c>
      <c r="M34" s="3" t="str">
        <f>HYPERLINK(СторонТрансп[[#This Row],[RelativePath]])</f>
        <v>11 С ангара на базу\E33149364_4_20251126T104715Z.jpg</v>
      </c>
    </row>
    <row r="35" spans="1:13" x14ac:dyDescent="0.25">
      <c r="A35" t="s">
        <v>15</v>
      </c>
      <c r="B35" s="4">
        <v>45987</v>
      </c>
      <c r="C35" s="6">
        <v>0.44723379629629628</v>
      </c>
      <c r="D35" s="7" t="s">
        <v>289</v>
      </c>
      <c r="E35" t="s">
        <v>4192</v>
      </c>
      <c r="F35" t="s">
        <v>58</v>
      </c>
      <c r="I35" s="8" t="s">
        <v>4094</v>
      </c>
      <c r="J35" s="8" t="s">
        <v>2986</v>
      </c>
      <c r="K35" t="s">
        <v>4095</v>
      </c>
      <c r="L35" t="s">
        <v>4096</v>
      </c>
      <c r="M35" s="3" t="str">
        <f>HYPERLINK(СторонТрансп[[#This Row],[RelativePath]])</f>
        <v>11 С ангара на базу\E33149364_4_20251126T104401Z.jpg</v>
      </c>
    </row>
    <row r="36" spans="1:13" x14ac:dyDescent="0.25">
      <c r="A36" t="s">
        <v>15</v>
      </c>
      <c r="B36" s="4">
        <v>45987</v>
      </c>
      <c r="C36" s="6">
        <v>0.44848379629629631</v>
      </c>
      <c r="D36" s="7" t="s">
        <v>289</v>
      </c>
      <c r="E36" t="s">
        <v>4192</v>
      </c>
      <c r="F36" t="s">
        <v>58</v>
      </c>
      <c r="H36" t="s">
        <v>2936</v>
      </c>
      <c r="I36" s="8" t="s">
        <v>4097</v>
      </c>
      <c r="J36" s="8" t="s">
        <v>2986</v>
      </c>
      <c r="K36" t="s">
        <v>4098</v>
      </c>
      <c r="L36" t="s">
        <v>4099</v>
      </c>
      <c r="M36" s="3" t="str">
        <f>HYPERLINK(СторонТрансп[[#This Row],[RelativePath]])</f>
        <v>11 С ангара на базу\E33149364_4_20251126T104549Z.jpg</v>
      </c>
    </row>
    <row r="37" spans="1:13" x14ac:dyDescent="0.25">
      <c r="A37" t="s">
        <v>15</v>
      </c>
      <c r="B37" s="4">
        <v>45987</v>
      </c>
      <c r="C37" s="6">
        <v>0.44864583333333335</v>
      </c>
      <c r="D37" s="7" t="s">
        <v>289</v>
      </c>
      <c r="E37" t="s">
        <v>4192</v>
      </c>
      <c r="F37" t="s">
        <v>58</v>
      </c>
      <c r="H37" t="s">
        <v>2936</v>
      </c>
      <c r="I37" s="8" t="s">
        <v>4100</v>
      </c>
      <c r="J37" s="8" t="s">
        <v>2986</v>
      </c>
      <c r="K37" t="s">
        <v>4101</v>
      </c>
      <c r="L37" t="s">
        <v>4102</v>
      </c>
      <c r="M37" s="3" t="str">
        <f>HYPERLINK(СторонТрансп[[#This Row],[RelativePath]])</f>
        <v>11 С ангара на базу\E33149364_4_20251126T104603Z.jpg</v>
      </c>
    </row>
    <row r="38" spans="1:13" x14ac:dyDescent="0.25">
      <c r="A38" t="s">
        <v>18</v>
      </c>
      <c r="B38" s="4">
        <v>45990</v>
      </c>
      <c r="C38" s="6">
        <v>0.58278935185185188</v>
      </c>
      <c r="D38" s="7" t="s">
        <v>289</v>
      </c>
      <c r="E38" t="s">
        <v>4217</v>
      </c>
      <c r="F38" t="s">
        <v>4211</v>
      </c>
      <c r="H38" t="s">
        <v>2936</v>
      </c>
      <c r="I38" s="8" t="s">
        <v>3603</v>
      </c>
      <c r="J38" s="8" t="s">
        <v>2984</v>
      </c>
      <c r="K38" t="s">
        <v>3604</v>
      </c>
      <c r="L38" t="s">
        <v>3605</v>
      </c>
      <c r="M38" s="3" t="str">
        <f>HYPERLINK(СторонТрансп[[#This Row],[RelativePath]])</f>
        <v>7 Площадка 2 бетонщики\K07156189_18_20251129T135913Z.jpg</v>
      </c>
    </row>
    <row r="39" spans="1:13" x14ac:dyDescent="0.25">
      <c r="A39" t="s">
        <v>18</v>
      </c>
      <c r="B39" s="4">
        <v>45990</v>
      </c>
      <c r="C39" s="6">
        <v>0.57168981481481485</v>
      </c>
      <c r="D39" s="7" t="s">
        <v>289</v>
      </c>
      <c r="E39" t="s">
        <v>4217</v>
      </c>
      <c r="F39" t="s">
        <v>4211</v>
      </c>
      <c r="H39" t="s">
        <v>2936</v>
      </c>
      <c r="I39" s="8" t="s">
        <v>3585</v>
      </c>
      <c r="J39" s="8" t="s">
        <v>2984</v>
      </c>
      <c r="K39" t="s">
        <v>3586</v>
      </c>
      <c r="L39" t="s">
        <v>3587</v>
      </c>
      <c r="M39" s="3" t="str">
        <f>HYPERLINK(СторонТрансп[[#This Row],[RelativePath]])</f>
        <v>7 Площадка 2 бетонщики\K07156189_18_20251129T134314Z.jpg</v>
      </c>
    </row>
    <row r="40" spans="1:13" x14ac:dyDescent="0.25">
      <c r="A40" t="s">
        <v>18</v>
      </c>
      <c r="B40" s="4">
        <v>45990</v>
      </c>
      <c r="C40" s="6">
        <v>0.57995370370370369</v>
      </c>
      <c r="D40" s="7" t="s">
        <v>289</v>
      </c>
      <c r="E40" t="s">
        <v>4217</v>
      </c>
      <c r="F40" t="s">
        <v>4211</v>
      </c>
      <c r="H40" t="s">
        <v>2936</v>
      </c>
      <c r="I40" s="8" t="s">
        <v>3597</v>
      </c>
      <c r="J40" s="8" t="s">
        <v>2984</v>
      </c>
      <c r="K40" t="s">
        <v>3598</v>
      </c>
      <c r="L40" t="s">
        <v>3599</v>
      </c>
      <c r="M40" s="3" t="str">
        <f>HYPERLINK(СторонТрансп[[#This Row],[RelativePath]])</f>
        <v>7 Площадка 2 бетонщики\K07156189_18_20251129T135508Z.jpg</v>
      </c>
    </row>
    <row r="41" spans="1:13" x14ac:dyDescent="0.25">
      <c r="A41" t="s">
        <v>18</v>
      </c>
      <c r="B41" s="4">
        <v>45990</v>
      </c>
      <c r="C41" s="6">
        <v>0.55314814814814817</v>
      </c>
      <c r="D41" s="7" t="s">
        <v>289</v>
      </c>
      <c r="E41" t="s">
        <v>4217</v>
      </c>
      <c r="F41" t="s">
        <v>4211</v>
      </c>
      <c r="H41" t="s">
        <v>2936</v>
      </c>
      <c r="I41" s="8" t="s">
        <v>3570</v>
      </c>
      <c r="J41" s="8" t="s">
        <v>2984</v>
      </c>
      <c r="K41" t="s">
        <v>3571</v>
      </c>
      <c r="L41" t="s">
        <v>3572</v>
      </c>
      <c r="M41" s="3" t="str">
        <f>HYPERLINK(СторонТрансп[[#This Row],[RelativePath]])</f>
        <v>7 Площадка 2 бетонщики\K07156189_18_20251129T131632Z.jpg</v>
      </c>
    </row>
    <row r="42" spans="1:13" x14ac:dyDescent="0.25">
      <c r="A42" t="s">
        <v>18</v>
      </c>
      <c r="B42" s="4">
        <v>45990</v>
      </c>
      <c r="C42" s="6">
        <v>0.57275462962962964</v>
      </c>
      <c r="D42" s="7" t="s">
        <v>289</v>
      </c>
      <c r="E42" t="s">
        <v>4217</v>
      </c>
      <c r="F42" t="s">
        <v>4211</v>
      </c>
      <c r="H42" t="s">
        <v>2936</v>
      </c>
      <c r="I42" s="8" t="s">
        <v>3588</v>
      </c>
      <c r="J42" s="8" t="s">
        <v>2984</v>
      </c>
      <c r="K42" t="s">
        <v>3589</v>
      </c>
      <c r="L42" t="s">
        <v>3590</v>
      </c>
      <c r="M42" s="3" t="str">
        <f>HYPERLINK(СторонТрансп[[#This Row],[RelativePath]])</f>
        <v>7 Площадка 2 бетонщики\K07156189_18_20251129T134446Z.jpg</v>
      </c>
    </row>
    <row r="43" spans="1:13" x14ac:dyDescent="0.25">
      <c r="A43" t="s">
        <v>18</v>
      </c>
      <c r="B43" s="4">
        <v>45990</v>
      </c>
      <c r="C43" s="6">
        <v>0.57449074074074069</v>
      </c>
      <c r="D43" s="7" t="s">
        <v>289</v>
      </c>
      <c r="E43" t="s">
        <v>4217</v>
      </c>
      <c r="F43" t="s">
        <v>4211</v>
      </c>
      <c r="H43" t="s">
        <v>2936</v>
      </c>
      <c r="I43" s="8" t="s">
        <v>3591</v>
      </c>
      <c r="J43" s="8" t="s">
        <v>2984</v>
      </c>
      <c r="K43" t="s">
        <v>3592</v>
      </c>
      <c r="L43" t="s">
        <v>3593</v>
      </c>
      <c r="M43" s="3" t="str">
        <f>HYPERLINK(СторонТрансп[[#This Row],[RelativePath]])</f>
        <v>7 Площадка 2 бетонщики\K07156189_18_20251129T134716Z.jpg</v>
      </c>
    </row>
    <row r="44" spans="1:13" x14ac:dyDescent="0.25">
      <c r="A44" t="s">
        <v>18</v>
      </c>
      <c r="B44" s="4">
        <v>45990</v>
      </c>
      <c r="C44" s="6">
        <v>0.58212962962962966</v>
      </c>
      <c r="D44" s="7" t="s">
        <v>289</v>
      </c>
      <c r="E44" t="s">
        <v>4217</v>
      </c>
      <c r="F44" t="s">
        <v>4211</v>
      </c>
      <c r="H44" t="s">
        <v>2936</v>
      </c>
      <c r="I44" s="8" t="s">
        <v>3600</v>
      </c>
      <c r="J44" s="8" t="s">
        <v>2984</v>
      </c>
      <c r="K44" t="s">
        <v>3601</v>
      </c>
      <c r="L44" t="s">
        <v>3602</v>
      </c>
      <c r="M44" s="3" t="str">
        <f>HYPERLINK(СторонТрансп[[#This Row],[RelativePath]])</f>
        <v>7 Площадка 2 бетонщики\K07156189_18_20251129T135816Z.jpg</v>
      </c>
    </row>
    <row r="45" spans="1:13" x14ac:dyDescent="0.25">
      <c r="A45" t="s">
        <v>18</v>
      </c>
      <c r="B45" s="4">
        <v>45990</v>
      </c>
      <c r="C45" s="6">
        <v>0.58450231481481485</v>
      </c>
      <c r="D45" s="7" t="s">
        <v>289</v>
      </c>
      <c r="E45" t="s">
        <v>4217</v>
      </c>
      <c r="F45" t="s">
        <v>4211</v>
      </c>
      <c r="H45" t="s">
        <v>2936</v>
      </c>
      <c r="I45" s="8" t="s">
        <v>3606</v>
      </c>
      <c r="J45" s="8" t="s">
        <v>2984</v>
      </c>
      <c r="K45" t="s">
        <v>3607</v>
      </c>
      <c r="L45" t="s">
        <v>3608</v>
      </c>
      <c r="M45" s="3" t="str">
        <f>HYPERLINK(СторонТрансп[[#This Row],[RelativePath]])</f>
        <v>7 Площадка 2 бетонщики\K07156189_18_20251129T140141Z.jpg</v>
      </c>
    </row>
    <row r="46" spans="1:13" x14ac:dyDescent="0.25">
      <c r="A46" t="s">
        <v>18</v>
      </c>
      <c r="B46" s="4">
        <v>45990</v>
      </c>
      <c r="C46" s="6">
        <v>0.6917592592592593</v>
      </c>
      <c r="D46" s="7" t="s">
        <v>289</v>
      </c>
      <c r="E46" t="s">
        <v>4195</v>
      </c>
      <c r="F46" t="s">
        <v>4211</v>
      </c>
      <c r="H46" t="s">
        <v>2936</v>
      </c>
      <c r="I46" s="8" t="s">
        <v>3707</v>
      </c>
      <c r="J46" s="8" t="s">
        <v>2984</v>
      </c>
      <c r="K46" t="s">
        <v>3708</v>
      </c>
      <c r="L46" t="s">
        <v>3709</v>
      </c>
      <c r="M46" s="3" t="str">
        <f>HYPERLINK(СторонТрансп[[#This Row],[RelativePath]])</f>
        <v>7 Площадка 2 бетонщики\K07156189_18_20251129T163608Z.jpg</v>
      </c>
    </row>
    <row r="47" spans="1:13" x14ac:dyDescent="0.25">
      <c r="A47" t="s">
        <v>18</v>
      </c>
      <c r="B47" s="4">
        <v>45990</v>
      </c>
      <c r="C47" s="6">
        <v>0.57677083333333334</v>
      </c>
      <c r="D47" s="7" t="s">
        <v>289</v>
      </c>
      <c r="E47" t="s">
        <v>4217</v>
      </c>
      <c r="F47" t="s">
        <v>4211</v>
      </c>
      <c r="H47" t="s">
        <v>2936</v>
      </c>
      <c r="I47" s="8" t="s">
        <v>3594</v>
      </c>
      <c r="J47" s="8" t="s">
        <v>2984</v>
      </c>
      <c r="K47" t="s">
        <v>3595</v>
      </c>
      <c r="L47" t="s">
        <v>3596</v>
      </c>
      <c r="M47" s="3" t="str">
        <f>HYPERLINK(СторонТрансп[[#This Row],[RelativePath]])</f>
        <v>7 Площадка 2 бетонщики\K07156189_18_20251129T135033Z.jpg</v>
      </c>
    </row>
    <row r="48" spans="1:13" x14ac:dyDescent="0.25">
      <c r="A48" t="s">
        <v>18</v>
      </c>
      <c r="B48" s="4">
        <v>45990</v>
      </c>
      <c r="C48" s="6">
        <v>0.61375000000000002</v>
      </c>
      <c r="D48" s="7" t="s">
        <v>289</v>
      </c>
      <c r="E48" t="s">
        <v>4194</v>
      </c>
      <c r="F48" t="s">
        <v>4211</v>
      </c>
      <c r="I48" s="8" t="s">
        <v>3612</v>
      </c>
      <c r="J48" s="8" t="s">
        <v>2984</v>
      </c>
      <c r="K48" t="s">
        <v>3613</v>
      </c>
      <c r="L48" t="s">
        <v>3614</v>
      </c>
      <c r="M48" s="3" t="str">
        <f>HYPERLINK(СторонТрансп[[#This Row],[RelativePath]])</f>
        <v>7 Площадка 2 бетонщики\K07156189_18_20251129T144348Z.jpg</v>
      </c>
    </row>
    <row r="49" spans="1:13" x14ac:dyDescent="0.25">
      <c r="A49" t="s">
        <v>18</v>
      </c>
      <c r="B49" s="4">
        <v>45990</v>
      </c>
      <c r="C49" s="6">
        <v>0.69224537037037037</v>
      </c>
      <c r="D49" s="7" t="s">
        <v>289</v>
      </c>
      <c r="E49" t="s">
        <v>4195</v>
      </c>
      <c r="F49" t="s">
        <v>4211</v>
      </c>
      <c r="H49" t="s">
        <v>2936</v>
      </c>
      <c r="I49" s="8" t="s">
        <v>3710</v>
      </c>
      <c r="J49" s="8" t="s">
        <v>2984</v>
      </c>
      <c r="K49" t="s">
        <v>3711</v>
      </c>
      <c r="L49" t="s">
        <v>3712</v>
      </c>
      <c r="M49" s="3" t="str">
        <f>HYPERLINK(СторонТрансп[[#This Row],[RelativePath]])</f>
        <v>7 Площадка 2 бетонщики\K07156189_18_20251129T163650Z.jpg</v>
      </c>
    </row>
    <row r="50" spans="1:13" x14ac:dyDescent="0.25">
      <c r="A50" t="s">
        <v>18</v>
      </c>
      <c r="B50" s="4">
        <v>45990</v>
      </c>
      <c r="C50" s="6">
        <v>0.5607523148148148</v>
      </c>
      <c r="D50" s="7" t="s">
        <v>289</v>
      </c>
      <c r="E50" t="s">
        <v>4217</v>
      </c>
      <c r="F50" t="s">
        <v>4211</v>
      </c>
      <c r="H50" t="s">
        <v>2936</v>
      </c>
      <c r="I50" s="8" t="s">
        <v>3576</v>
      </c>
      <c r="J50" s="8" t="s">
        <v>2984</v>
      </c>
      <c r="K50" t="s">
        <v>3577</v>
      </c>
      <c r="L50" t="s">
        <v>3578</v>
      </c>
      <c r="M50" s="3" t="str">
        <f>HYPERLINK(СторонТрансп[[#This Row],[RelativePath]])</f>
        <v>7 Площадка 2 бетонщики\K07156189_18_20251129T132729Z.jpg</v>
      </c>
    </row>
    <row r="51" spans="1:13" x14ac:dyDescent="0.25">
      <c r="A51" t="s">
        <v>18</v>
      </c>
      <c r="B51" s="4">
        <v>45990</v>
      </c>
      <c r="C51" s="6">
        <v>0.56593749999999998</v>
      </c>
      <c r="D51" s="7" t="s">
        <v>289</v>
      </c>
      <c r="E51" t="s">
        <v>4217</v>
      </c>
      <c r="F51" t="s">
        <v>4211</v>
      </c>
      <c r="H51" t="s">
        <v>2936</v>
      </c>
      <c r="I51" s="8" t="s">
        <v>3579</v>
      </c>
      <c r="J51" s="8" t="s">
        <v>2984</v>
      </c>
      <c r="K51" t="s">
        <v>3580</v>
      </c>
      <c r="L51" t="s">
        <v>3581</v>
      </c>
      <c r="M51" s="3" t="str">
        <f>HYPERLINK(СторонТрансп[[#This Row],[RelativePath]])</f>
        <v>7 Площадка 2 бетонщики\K07156189_18_20251129T133457Z.jpg</v>
      </c>
    </row>
    <row r="52" spans="1:13" x14ac:dyDescent="0.25">
      <c r="A52" t="s">
        <v>18</v>
      </c>
      <c r="B52" s="4">
        <v>45990</v>
      </c>
      <c r="C52" s="6">
        <v>0.55888888888888888</v>
      </c>
      <c r="D52" s="7" t="s">
        <v>289</v>
      </c>
      <c r="E52" t="s">
        <v>4217</v>
      </c>
      <c r="F52" t="s">
        <v>4211</v>
      </c>
      <c r="H52" t="s">
        <v>2936</v>
      </c>
      <c r="I52" s="8" t="s">
        <v>3573</v>
      </c>
      <c r="J52" s="8" t="s">
        <v>2984</v>
      </c>
      <c r="K52" t="s">
        <v>3574</v>
      </c>
      <c r="L52" t="s">
        <v>3575</v>
      </c>
      <c r="M52" s="3" t="str">
        <f>HYPERLINK(СторонТрансп[[#This Row],[RelativePath]])</f>
        <v>7 Площадка 2 бетонщики\K07156189_18_20251129T132448Z.jpg</v>
      </c>
    </row>
    <row r="53" spans="1:13" x14ac:dyDescent="0.25">
      <c r="A53" t="s">
        <v>18</v>
      </c>
      <c r="B53" s="4">
        <v>45990</v>
      </c>
      <c r="C53" s="6">
        <v>0.56846064814814812</v>
      </c>
      <c r="D53" s="7" t="s">
        <v>289</v>
      </c>
      <c r="E53" t="s">
        <v>4217</v>
      </c>
      <c r="F53" t="s">
        <v>4211</v>
      </c>
      <c r="H53" t="s">
        <v>2936</v>
      </c>
      <c r="I53" s="8" t="s">
        <v>3582</v>
      </c>
      <c r="J53" s="8" t="s">
        <v>2984</v>
      </c>
      <c r="K53" t="s">
        <v>3583</v>
      </c>
      <c r="L53" t="s">
        <v>3584</v>
      </c>
      <c r="M53" s="3" t="str">
        <f>HYPERLINK(СторонТрансп[[#This Row],[RelativePath]])</f>
        <v>7 Площадка 2 бетонщики\K07156189_18_20251129T133835Z.jpg</v>
      </c>
    </row>
    <row r="54" spans="1:13" x14ac:dyDescent="0.25">
      <c r="A54" t="s">
        <v>18</v>
      </c>
      <c r="B54" s="4">
        <v>45990</v>
      </c>
      <c r="C54" s="6">
        <v>0.55248842592592595</v>
      </c>
      <c r="D54" s="7" t="s">
        <v>289</v>
      </c>
      <c r="E54" t="s">
        <v>4217</v>
      </c>
      <c r="F54" t="s">
        <v>4211</v>
      </c>
      <c r="I54" s="8" t="s">
        <v>3567</v>
      </c>
      <c r="J54" s="8" t="s">
        <v>2984</v>
      </c>
      <c r="K54" t="s">
        <v>3568</v>
      </c>
      <c r="L54" t="s">
        <v>3569</v>
      </c>
      <c r="M54" s="3" t="str">
        <f>HYPERLINK(СторонТрансп[[#This Row],[RelativePath]])</f>
        <v>7 Площадка 2 бетонщики\K07156189_18_20251129T131535Z.jpg</v>
      </c>
    </row>
    <row r="55" spans="1:13" x14ac:dyDescent="0.25">
      <c r="A55" t="s">
        <v>18</v>
      </c>
      <c r="B55" s="4">
        <v>45990</v>
      </c>
      <c r="C55" s="6">
        <v>0.64195601851851847</v>
      </c>
      <c r="D55" s="7" t="s">
        <v>289</v>
      </c>
      <c r="E55" t="s">
        <v>4194</v>
      </c>
      <c r="F55" t="s">
        <v>4211</v>
      </c>
      <c r="H55" t="s">
        <v>2936</v>
      </c>
      <c r="I55" s="8" t="s">
        <v>3642</v>
      </c>
      <c r="J55" s="8" t="s">
        <v>2984</v>
      </c>
      <c r="K55" t="s">
        <v>3643</v>
      </c>
      <c r="L55" t="s">
        <v>3644</v>
      </c>
      <c r="M55" s="3" t="str">
        <f>HYPERLINK(СторонТрансп[[#This Row],[RelativePath]])</f>
        <v>7 Площадка 2 бетонщики\K07156189_18_20251129T152425Z.jpg</v>
      </c>
    </row>
    <row r="56" spans="1:13" x14ac:dyDescent="0.25">
      <c r="A56" t="s">
        <v>18</v>
      </c>
      <c r="B56" s="4">
        <v>45990</v>
      </c>
      <c r="C56" s="6">
        <v>0.63914351851851847</v>
      </c>
      <c r="D56" s="7" t="s">
        <v>289</v>
      </c>
      <c r="E56" t="s">
        <v>4194</v>
      </c>
      <c r="F56" t="s">
        <v>4211</v>
      </c>
      <c r="H56" t="s">
        <v>2936</v>
      </c>
      <c r="I56" s="8" t="s">
        <v>3639</v>
      </c>
      <c r="J56" s="8" t="s">
        <v>2984</v>
      </c>
      <c r="K56" t="s">
        <v>3640</v>
      </c>
      <c r="L56" t="s">
        <v>3641</v>
      </c>
      <c r="M56" s="3" t="str">
        <f>HYPERLINK(СторонТрансп[[#This Row],[RelativePath]])</f>
        <v>7 Площадка 2 бетонщики\K07156189_18_20251129T152022Z.jpg</v>
      </c>
    </row>
    <row r="57" spans="1:13" x14ac:dyDescent="0.25">
      <c r="A57" t="s">
        <v>18</v>
      </c>
      <c r="B57" s="4">
        <v>45990</v>
      </c>
      <c r="C57" s="6">
        <v>0.63736111111111116</v>
      </c>
      <c r="D57" s="7" t="s">
        <v>289</v>
      </c>
      <c r="E57" t="s">
        <v>4194</v>
      </c>
      <c r="F57" t="s">
        <v>4211</v>
      </c>
      <c r="H57" t="s">
        <v>2936</v>
      </c>
      <c r="I57" s="8" t="s">
        <v>3636</v>
      </c>
      <c r="J57" s="8" t="s">
        <v>2984</v>
      </c>
      <c r="K57" t="s">
        <v>3637</v>
      </c>
      <c r="L57" t="s">
        <v>3638</v>
      </c>
      <c r="M57" s="3" t="str">
        <f>HYPERLINK(СторонТрансп[[#This Row],[RelativePath]])</f>
        <v>7 Площадка 2 бетонщики\K07156189_18_20251129T151748Z.jpg</v>
      </c>
    </row>
    <row r="58" spans="1:13" x14ac:dyDescent="0.25">
      <c r="A58" t="s">
        <v>18</v>
      </c>
      <c r="B58" s="4">
        <v>45990</v>
      </c>
      <c r="C58" s="6">
        <v>0.68951388888888887</v>
      </c>
      <c r="D58" s="7" t="s">
        <v>289</v>
      </c>
      <c r="E58" t="s">
        <v>4195</v>
      </c>
      <c r="F58" t="s">
        <v>4211</v>
      </c>
      <c r="H58" t="s">
        <v>2936</v>
      </c>
      <c r="I58" s="8" t="s">
        <v>3704</v>
      </c>
      <c r="J58" s="8" t="s">
        <v>2984</v>
      </c>
      <c r="K58" t="s">
        <v>3705</v>
      </c>
      <c r="L58" t="s">
        <v>3706</v>
      </c>
      <c r="M58" s="3" t="str">
        <f>HYPERLINK(СторонТрансп[[#This Row],[RelativePath]])</f>
        <v>7 Площадка 2 бетонщики\K07156189_18_20251129T163254Z.jpg</v>
      </c>
    </row>
    <row r="59" spans="1:13" x14ac:dyDescent="0.25">
      <c r="A59" t="s">
        <v>18</v>
      </c>
      <c r="B59" s="4">
        <v>45990</v>
      </c>
      <c r="C59" s="6">
        <v>0.61982638888888886</v>
      </c>
      <c r="D59" s="7" t="s">
        <v>289</v>
      </c>
      <c r="E59" t="s">
        <v>4194</v>
      </c>
      <c r="F59" t="s">
        <v>4211</v>
      </c>
      <c r="H59" t="s">
        <v>2936</v>
      </c>
      <c r="I59" s="8" t="s">
        <v>3618</v>
      </c>
      <c r="J59" s="8" t="s">
        <v>2984</v>
      </c>
      <c r="K59" t="s">
        <v>3619</v>
      </c>
      <c r="L59" t="s">
        <v>3620</v>
      </c>
      <c r="M59" s="3" t="str">
        <f>HYPERLINK(СторонТрансп[[#This Row],[RelativePath]])</f>
        <v>7 Площадка 2 бетонщики\K07156189_18_20251129T145233Z.jpg</v>
      </c>
    </row>
    <row r="60" spans="1:13" x14ac:dyDescent="0.25">
      <c r="A60" t="s">
        <v>18</v>
      </c>
      <c r="B60" s="4">
        <v>45990</v>
      </c>
      <c r="C60" s="6">
        <v>0.65543981481481484</v>
      </c>
      <c r="D60" s="7" t="s">
        <v>289</v>
      </c>
      <c r="E60" t="s">
        <v>4195</v>
      </c>
      <c r="F60" t="s">
        <v>4211</v>
      </c>
      <c r="H60" t="s">
        <v>2936</v>
      </c>
      <c r="I60" s="8" t="s">
        <v>3656</v>
      </c>
      <c r="J60" s="8" t="s">
        <v>2984</v>
      </c>
      <c r="K60" t="s">
        <v>3657</v>
      </c>
      <c r="L60" t="s">
        <v>3658</v>
      </c>
      <c r="M60" s="3" t="str">
        <f>HYPERLINK(СторонТрансп[[#This Row],[RelativePath]])</f>
        <v>7 Площадка 2 бетонщики\K07156189_18_20251129T154350Z.jpg</v>
      </c>
    </row>
    <row r="61" spans="1:13" x14ac:dyDescent="0.25">
      <c r="A61" t="s">
        <v>18</v>
      </c>
      <c r="B61" s="4">
        <v>45990</v>
      </c>
      <c r="C61" s="6">
        <v>0.65312499999999996</v>
      </c>
      <c r="D61" s="7" t="s">
        <v>289</v>
      </c>
      <c r="E61" t="s">
        <v>4195</v>
      </c>
      <c r="F61" t="s">
        <v>4211</v>
      </c>
      <c r="I61" s="8" t="s">
        <v>3653</v>
      </c>
      <c r="J61" s="8" t="s">
        <v>2984</v>
      </c>
      <c r="K61" t="s">
        <v>3654</v>
      </c>
      <c r="L61" t="s">
        <v>3655</v>
      </c>
      <c r="M61" s="3" t="str">
        <f>HYPERLINK(СторонТрансп[[#This Row],[RelativePath]])</f>
        <v>7 Площадка 2 бетонщики\K07156189_18_20251129T154030Z.jpg</v>
      </c>
    </row>
    <row r="62" spans="1:13" x14ac:dyDescent="0.25">
      <c r="A62" t="s">
        <v>18</v>
      </c>
      <c r="B62" s="4">
        <v>45990</v>
      </c>
      <c r="C62" s="6">
        <v>0.67155092592592591</v>
      </c>
      <c r="D62" s="7" t="s">
        <v>289</v>
      </c>
      <c r="E62" t="s">
        <v>4195</v>
      </c>
      <c r="F62" t="s">
        <v>4211</v>
      </c>
      <c r="H62" t="s">
        <v>2936</v>
      </c>
      <c r="I62" s="8" t="s">
        <v>3677</v>
      </c>
      <c r="J62" s="8" t="s">
        <v>2984</v>
      </c>
      <c r="K62" t="s">
        <v>3678</v>
      </c>
      <c r="L62" t="s">
        <v>3679</v>
      </c>
      <c r="M62" s="3" t="str">
        <f>HYPERLINK(СторонТрансп[[#This Row],[RelativePath]])</f>
        <v>7 Площадка 2 бетонщики\K07156189_18_20251129T160702Z.jpg</v>
      </c>
    </row>
    <row r="63" spans="1:13" x14ac:dyDescent="0.25">
      <c r="A63" t="s">
        <v>18</v>
      </c>
      <c r="B63" s="4">
        <v>45990</v>
      </c>
      <c r="C63" s="6">
        <v>0.6338773148148148</v>
      </c>
      <c r="D63" s="7" t="s">
        <v>289</v>
      </c>
      <c r="E63" t="s">
        <v>4194</v>
      </c>
      <c r="F63" t="s">
        <v>4211</v>
      </c>
      <c r="H63" t="s">
        <v>2936</v>
      </c>
      <c r="I63" s="8" t="s">
        <v>3633</v>
      </c>
      <c r="J63" s="8" t="s">
        <v>2984</v>
      </c>
      <c r="K63" t="s">
        <v>3634</v>
      </c>
      <c r="L63" t="s">
        <v>3635</v>
      </c>
      <c r="M63" s="3" t="str">
        <f>HYPERLINK(СторонТрансп[[#This Row],[RelativePath]])</f>
        <v>7 Площадка 2 бетонщики\K07156189_18_20251129T151247Z.jpg</v>
      </c>
    </row>
    <row r="64" spans="1:13" x14ac:dyDescent="0.25">
      <c r="A64" t="s">
        <v>18</v>
      </c>
      <c r="B64" s="4">
        <v>45990</v>
      </c>
      <c r="C64" s="6">
        <v>0.6216666666666667</v>
      </c>
      <c r="D64" s="7" t="s">
        <v>289</v>
      </c>
      <c r="E64" t="s">
        <v>4194</v>
      </c>
      <c r="F64" t="s">
        <v>4211</v>
      </c>
      <c r="H64" t="s">
        <v>2936</v>
      </c>
      <c r="I64" s="8" t="s">
        <v>3621</v>
      </c>
      <c r="J64" s="8" t="s">
        <v>2984</v>
      </c>
      <c r="K64" t="s">
        <v>3622</v>
      </c>
      <c r="L64" t="s">
        <v>3623</v>
      </c>
      <c r="M64" s="3" t="str">
        <f>HYPERLINK(СторонТрансп[[#This Row],[RelativePath]])</f>
        <v>7 Площадка 2 бетонщики\K07156189_18_20251129T145512Z.jpg</v>
      </c>
    </row>
    <row r="65" spans="1:13" x14ac:dyDescent="0.25">
      <c r="A65" t="s">
        <v>18</v>
      </c>
      <c r="B65" s="4">
        <v>45990</v>
      </c>
      <c r="C65" s="6">
        <v>0.64386574074074077</v>
      </c>
      <c r="D65" s="7" t="s">
        <v>289</v>
      </c>
      <c r="E65" t="s">
        <v>4194</v>
      </c>
      <c r="F65" t="s">
        <v>87</v>
      </c>
      <c r="I65" s="8" t="s">
        <v>3645</v>
      </c>
      <c r="J65" s="8" t="s">
        <v>2984</v>
      </c>
      <c r="K65" t="s">
        <v>3646</v>
      </c>
      <c r="L65" t="s">
        <v>3647</v>
      </c>
      <c r="M65" s="3" t="str">
        <f>HYPERLINK(СторонТрансп[[#This Row],[RelativePath]])</f>
        <v>7 Площадка 2 бетонщики\K07156189_18_20251129T152710Z.jpg</v>
      </c>
    </row>
    <row r="66" spans="1:13" x14ac:dyDescent="0.25">
      <c r="A66" t="s">
        <v>18</v>
      </c>
      <c r="B66" s="4">
        <v>45990</v>
      </c>
      <c r="C66" s="6">
        <v>0.67753472222222222</v>
      </c>
      <c r="D66" s="7" t="s">
        <v>289</v>
      </c>
      <c r="E66" t="s">
        <v>4195</v>
      </c>
      <c r="F66" t="s">
        <v>4211</v>
      </c>
      <c r="H66" t="s">
        <v>2936</v>
      </c>
      <c r="I66" s="8" t="s">
        <v>3689</v>
      </c>
      <c r="J66" s="8" t="s">
        <v>2984</v>
      </c>
      <c r="K66" t="s">
        <v>3690</v>
      </c>
      <c r="L66" t="s">
        <v>3691</v>
      </c>
      <c r="M66" s="3" t="str">
        <f>HYPERLINK(СторонТрансп[[#This Row],[RelativePath]])</f>
        <v>7 Площадка 2 бетонщики\K07156189_18_20251129T161539Z.jpg</v>
      </c>
    </row>
    <row r="67" spans="1:13" x14ac:dyDescent="0.25">
      <c r="A67" t="s">
        <v>18</v>
      </c>
      <c r="B67" s="4">
        <v>45990</v>
      </c>
      <c r="C67" s="6">
        <v>0.62604166666666672</v>
      </c>
      <c r="D67" s="7" t="s">
        <v>289</v>
      </c>
      <c r="E67" t="s">
        <v>4194</v>
      </c>
      <c r="F67" t="s">
        <v>4211</v>
      </c>
      <c r="H67" t="s">
        <v>2936</v>
      </c>
      <c r="I67" s="8" t="s">
        <v>3627</v>
      </c>
      <c r="J67" s="8" t="s">
        <v>2984</v>
      </c>
      <c r="K67" t="s">
        <v>3628</v>
      </c>
      <c r="L67" t="s">
        <v>3629</v>
      </c>
      <c r="M67" s="3" t="str">
        <f>HYPERLINK(СторонТрансп[[#This Row],[RelativePath]])</f>
        <v>7 Площадка 2 бетонщики\K07156189_18_20251129T150130Z.jpg</v>
      </c>
    </row>
    <row r="68" spans="1:13" x14ac:dyDescent="0.25">
      <c r="A68" t="s">
        <v>18</v>
      </c>
      <c r="B68" s="4">
        <v>45990</v>
      </c>
      <c r="C68" s="6">
        <v>0.63124999999999998</v>
      </c>
      <c r="D68" s="7" t="s">
        <v>289</v>
      </c>
      <c r="E68" t="s">
        <v>4194</v>
      </c>
      <c r="F68" t="s">
        <v>4211</v>
      </c>
      <c r="H68" t="s">
        <v>2936</v>
      </c>
      <c r="I68" s="8" t="s">
        <v>3630</v>
      </c>
      <c r="J68" s="8" t="s">
        <v>2984</v>
      </c>
      <c r="K68" t="s">
        <v>3631</v>
      </c>
      <c r="L68" t="s">
        <v>3632</v>
      </c>
      <c r="M68" s="3" t="str">
        <f>HYPERLINK(СторонТрансп[[#This Row],[RelativePath]])</f>
        <v>7 Площадка 2 бетонщики\K07156189_18_20251129T150900Z.jpg</v>
      </c>
    </row>
    <row r="69" spans="1:13" x14ac:dyDescent="0.25">
      <c r="A69" t="s">
        <v>18</v>
      </c>
      <c r="B69" s="4">
        <v>45990</v>
      </c>
      <c r="C69" s="6">
        <v>0.61790509259259263</v>
      </c>
      <c r="D69" s="7" t="s">
        <v>289</v>
      </c>
      <c r="E69" t="s">
        <v>4194</v>
      </c>
      <c r="F69" t="s">
        <v>4211</v>
      </c>
      <c r="H69" t="s">
        <v>2936</v>
      </c>
      <c r="I69" s="8" t="s">
        <v>3615</v>
      </c>
      <c r="J69" s="8" t="s">
        <v>2984</v>
      </c>
      <c r="K69" t="s">
        <v>3616</v>
      </c>
      <c r="L69" t="s">
        <v>3617</v>
      </c>
      <c r="M69" s="3" t="str">
        <f>HYPERLINK(СторонТрансп[[#This Row],[RelativePath]])</f>
        <v>7 Площадка 2 бетонщики\K07156189_18_20251129T144947Z.jpg</v>
      </c>
    </row>
    <row r="70" spans="1:13" x14ac:dyDescent="0.25">
      <c r="A70" t="s">
        <v>18</v>
      </c>
      <c r="B70" s="4">
        <v>45990</v>
      </c>
      <c r="C70" s="6">
        <v>0.62410879629629634</v>
      </c>
      <c r="D70" s="7" t="s">
        <v>289</v>
      </c>
      <c r="E70" t="s">
        <v>4194</v>
      </c>
      <c r="F70" t="s">
        <v>4211</v>
      </c>
      <c r="H70" t="s">
        <v>2936</v>
      </c>
      <c r="I70" s="8" t="s">
        <v>3624</v>
      </c>
      <c r="J70" s="8" t="s">
        <v>2984</v>
      </c>
      <c r="K70" t="s">
        <v>3625</v>
      </c>
      <c r="L70" t="s">
        <v>3626</v>
      </c>
      <c r="M70" s="3" t="str">
        <f>HYPERLINK(СторонТрансп[[#This Row],[RelativePath]])</f>
        <v>7 Площадка 2 бетонщики\K07156189_18_20251129T145843Z.jpg</v>
      </c>
    </row>
    <row r="71" spans="1:13" x14ac:dyDescent="0.25">
      <c r="A71" t="s">
        <v>18</v>
      </c>
      <c r="B71" s="4">
        <v>45990</v>
      </c>
      <c r="C71" s="6">
        <v>0.65699074074074071</v>
      </c>
      <c r="D71" s="7" t="s">
        <v>289</v>
      </c>
      <c r="E71" t="s">
        <v>4195</v>
      </c>
      <c r="F71" t="s">
        <v>4211</v>
      </c>
      <c r="H71" t="s">
        <v>2936</v>
      </c>
      <c r="I71" s="8" t="s">
        <v>3659</v>
      </c>
      <c r="J71" s="8" t="s">
        <v>2984</v>
      </c>
      <c r="K71" t="s">
        <v>3660</v>
      </c>
      <c r="L71" t="s">
        <v>3661</v>
      </c>
      <c r="M71" s="3" t="str">
        <f>HYPERLINK(СторонТрансп[[#This Row],[RelativePath]])</f>
        <v>7 Площадка 2 бетонщики\K07156189_18_20251129T154604Z.jpg</v>
      </c>
    </row>
    <row r="72" spans="1:13" x14ac:dyDescent="0.25">
      <c r="A72" t="s">
        <v>18</v>
      </c>
      <c r="B72" s="4">
        <v>45990</v>
      </c>
      <c r="C72" s="6">
        <v>0.67405092592592597</v>
      </c>
      <c r="D72" s="7" t="s">
        <v>289</v>
      </c>
      <c r="E72" t="s">
        <v>4195</v>
      </c>
      <c r="F72" t="s">
        <v>4211</v>
      </c>
      <c r="H72" t="s">
        <v>2936</v>
      </c>
      <c r="I72" s="8" t="s">
        <v>3680</v>
      </c>
      <c r="J72" s="8" t="s">
        <v>2984</v>
      </c>
      <c r="K72" t="s">
        <v>3681</v>
      </c>
      <c r="L72" t="s">
        <v>3682</v>
      </c>
      <c r="M72" s="3" t="str">
        <f>HYPERLINK(СторонТрансп[[#This Row],[RelativePath]])</f>
        <v>7 Площадка 2 бетонщики\K07156189_18_20251129T161038Z.jpg</v>
      </c>
    </row>
    <row r="73" spans="1:13" x14ac:dyDescent="0.25">
      <c r="A73" t="s">
        <v>18</v>
      </c>
      <c r="B73" s="4">
        <v>45990</v>
      </c>
      <c r="C73" s="6">
        <v>0.67623842592592598</v>
      </c>
      <c r="D73" s="7" t="s">
        <v>289</v>
      </c>
      <c r="E73" t="s">
        <v>4195</v>
      </c>
      <c r="F73" t="s">
        <v>4211</v>
      </c>
      <c r="H73" t="s">
        <v>2936</v>
      </c>
      <c r="I73" s="8" t="s">
        <v>3686</v>
      </c>
      <c r="J73" s="8" t="s">
        <v>2984</v>
      </c>
      <c r="K73" t="s">
        <v>3687</v>
      </c>
      <c r="L73" t="s">
        <v>3688</v>
      </c>
      <c r="M73" s="3" t="str">
        <f>HYPERLINK(СторонТрансп[[#This Row],[RelativePath]])</f>
        <v>7 Площадка 2 бетонщики\K07156189_18_20251129T161347Z.jpg</v>
      </c>
    </row>
    <row r="74" spans="1:13" x14ac:dyDescent="0.25">
      <c r="A74" t="s">
        <v>18</v>
      </c>
      <c r="B74" s="4">
        <v>45990</v>
      </c>
      <c r="C74" s="6">
        <v>0.67570601851851853</v>
      </c>
      <c r="D74" s="7" t="s">
        <v>289</v>
      </c>
      <c r="E74" t="s">
        <v>4195</v>
      </c>
      <c r="F74" t="s">
        <v>4211</v>
      </c>
      <c r="H74" t="s">
        <v>2936</v>
      </c>
      <c r="I74" s="8" t="s">
        <v>3683</v>
      </c>
      <c r="J74" s="8" t="s">
        <v>2984</v>
      </c>
      <c r="K74" t="s">
        <v>3684</v>
      </c>
      <c r="L74" t="s">
        <v>3685</v>
      </c>
      <c r="M74" s="3" t="str">
        <f>HYPERLINK(СторонТрансп[[#This Row],[RelativePath]])</f>
        <v>7 Площадка 2 бетонщики\K07156189_18_20251129T161301Z.jpg</v>
      </c>
    </row>
    <row r="75" spans="1:13" x14ac:dyDescent="0.25">
      <c r="A75" t="s">
        <v>18</v>
      </c>
      <c r="B75" s="4">
        <v>45990</v>
      </c>
      <c r="C75" s="6">
        <v>0.68625000000000003</v>
      </c>
      <c r="D75" s="7" t="s">
        <v>289</v>
      </c>
      <c r="E75" t="s">
        <v>4195</v>
      </c>
      <c r="F75" t="s">
        <v>4211</v>
      </c>
      <c r="H75" t="s">
        <v>2936</v>
      </c>
      <c r="I75" s="8" t="s">
        <v>3701</v>
      </c>
      <c r="J75" s="8" t="s">
        <v>2984</v>
      </c>
      <c r="K75" t="s">
        <v>3702</v>
      </c>
      <c r="L75" t="s">
        <v>3703</v>
      </c>
      <c r="M75" s="3" t="str">
        <f>HYPERLINK(СторонТрансп[[#This Row],[RelativePath]])</f>
        <v>7 Площадка 2 бетонщики\K07156189_18_20251129T162812Z.jpg</v>
      </c>
    </row>
    <row r="76" spans="1:13" x14ac:dyDescent="0.25">
      <c r="A76" t="s">
        <v>18</v>
      </c>
      <c r="B76" s="4">
        <v>45990</v>
      </c>
      <c r="C76" s="6">
        <v>0.68329861111111112</v>
      </c>
      <c r="D76" s="7" t="s">
        <v>289</v>
      </c>
      <c r="E76" t="s">
        <v>4195</v>
      </c>
      <c r="F76" t="s">
        <v>4211</v>
      </c>
      <c r="H76" t="s">
        <v>2936</v>
      </c>
      <c r="I76" s="8" t="s">
        <v>3695</v>
      </c>
      <c r="J76" s="8" t="s">
        <v>2984</v>
      </c>
      <c r="K76" t="s">
        <v>3696</v>
      </c>
      <c r="L76" t="s">
        <v>3697</v>
      </c>
      <c r="M76" s="3" t="str">
        <f>HYPERLINK(СторонТрансп[[#This Row],[RelativePath]])</f>
        <v>7 Площадка 2 бетонщики\K07156189_18_20251129T162357Z.jpg</v>
      </c>
    </row>
    <row r="77" spans="1:13" x14ac:dyDescent="0.25">
      <c r="A77" t="s">
        <v>18</v>
      </c>
      <c r="B77" s="4">
        <v>45990</v>
      </c>
      <c r="C77" s="6">
        <v>0.68038194444444444</v>
      </c>
      <c r="D77" s="7" t="s">
        <v>289</v>
      </c>
      <c r="E77" t="s">
        <v>4195</v>
      </c>
      <c r="F77" t="s">
        <v>4211</v>
      </c>
      <c r="H77" t="s">
        <v>2936</v>
      </c>
      <c r="I77" s="8" t="s">
        <v>3692</v>
      </c>
      <c r="J77" s="8" t="s">
        <v>2984</v>
      </c>
      <c r="K77" t="s">
        <v>3693</v>
      </c>
      <c r="L77" t="s">
        <v>3694</v>
      </c>
      <c r="M77" s="3" t="str">
        <f>HYPERLINK(СторонТрансп[[#This Row],[RelativePath]])</f>
        <v>7 Площадка 2 бетонщики\K07156189_18_20251129T161945Z.jpg</v>
      </c>
    </row>
    <row r="78" spans="1:13" x14ac:dyDescent="0.25">
      <c r="A78" t="s">
        <v>18</v>
      </c>
      <c r="B78" s="4">
        <v>45990</v>
      </c>
      <c r="C78" s="6">
        <v>0.68376157407407412</v>
      </c>
      <c r="D78" s="7" t="s">
        <v>289</v>
      </c>
      <c r="E78" t="s">
        <v>4195</v>
      </c>
      <c r="F78" t="s">
        <v>4211</v>
      </c>
      <c r="H78" t="s">
        <v>2936</v>
      </c>
      <c r="I78" s="8" t="s">
        <v>3698</v>
      </c>
      <c r="J78" s="8" t="s">
        <v>2984</v>
      </c>
      <c r="K78" t="s">
        <v>3699</v>
      </c>
      <c r="L78" t="s">
        <v>3700</v>
      </c>
      <c r="M78" s="3" t="str">
        <f>HYPERLINK(СторонТрансп[[#This Row],[RelativePath]])</f>
        <v>7 Площадка 2 бетонщики\K07156189_18_20251129T162437Z.jpg</v>
      </c>
    </row>
    <row r="79" spans="1:13" x14ac:dyDescent="0.25">
      <c r="A79" t="s">
        <v>18</v>
      </c>
      <c r="B79" s="4">
        <v>45990</v>
      </c>
      <c r="C79" s="6">
        <v>0.66106481481481483</v>
      </c>
      <c r="D79" s="7" t="s">
        <v>289</v>
      </c>
      <c r="E79" t="s">
        <v>4195</v>
      </c>
      <c r="F79" t="s">
        <v>4211</v>
      </c>
      <c r="H79" t="s">
        <v>2936</v>
      </c>
      <c r="I79" s="8" t="s">
        <v>3665</v>
      </c>
      <c r="J79" s="8" t="s">
        <v>2984</v>
      </c>
      <c r="K79" t="s">
        <v>3666</v>
      </c>
      <c r="L79" t="s">
        <v>3667</v>
      </c>
      <c r="M79" s="3" t="str">
        <f>HYPERLINK(СторонТрансп[[#This Row],[RelativePath]])</f>
        <v>7 Площадка 2 бетонщики\K07156189_18_20251129T155156Z.jpg</v>
      </c>
    </row>
    <row r="80" spans="1:13" x14ac:dyDescent="0.25">
      <c r="A80" t="s">
        <v>18</v>
      </c>
      <c r="B80" s="4">
        <v>45990</v>
      </c>
      <c r="C80" s="6">
        <v>0.65927083333333336</v>
      </c>
      <c r="D80" s="7" t="s">
        <v>289</v>
      </c>
      <c r="E80" t="s">
        <v>4195</v>
      </c>
      <c r="F80" t="s">
        <v>4211</v>
      </c>
      <c r="H80" t="s">
        <v>2936</v>
      </c>
      <c r="I80" s="8" t="s">
        <v>3662</v>
      </c>
      <c r="J80" s="8" t="s">
        <v>2984</v>
      </c>
      <c r="K80" t="s">
        <v>3663</v>
      </c>
      <c r="L80" t="s">
        <v>3664</v>
      </c>
      <c r="M80" s="3" t="str">
        <f>HYPERLINK(СторонТрансп[[#This Row],[RelativePath]])</f>
        <v>7 Площадка 2 бетонщики\K07156189_18_20251129T154921Z.jpg</v>
      </c>
    </row>
    <row r="81" spans="1:13" x14ac:dyDescent="0.25">
      <c r="A81" t="s">
        <v>18</v>
      </c>
      <c r="B81" s="4">
        <v>45990</v>
      </c>
      <c r="C81" s="6">
        <v>0.66378472222222218</v>
      </c>
      <c r="D81" s="7" t="s">
        <v>289</v>
      </c>
      <c r="E81" t="s">
        <v>4195</v>
      </c>
      <c r="F81" t="s">
        <v>4211</v>
      </c>
      <c r="H81" t="s">
        <v>2936</v>
      </c>
      <c r="I81" s="8" t="s">
        <v>3668</v>
      </c>
      <c r="J81" s="8" t="s">
        <v>2984</v>
      </c>
      <c r="K81" t="s">
        <v>3669</v>
      </c>
      <c r="L81" t="s">
        <v>3670</v>
      </c>
      <c r="M81" s="3" t="str">
        <f>HYPERLINK(СторонТрансп[[#This Row],[RelativePath]])</f>
        <v>7 Площадка 2 бетонщики\K07156189_18_20251129T155551Z.jpg</v>
      </c>
    </row>
    <row r="82" spans="1:13" x14ac:dyDescent="0.25">
      <c r="A82" t="s">
        <v>18</v>
      </c>
      <c r="B82" s="4">
        <v>45990</v>
      </c>
      <c r="C82" s="6">
        <v>0.66971064814814818</v>
      </c>
      <c r="D82" s="7" t="s">
        <v>289</v>
      </c>
      <c r="E82" t="s">
        <v>4195</v>
      </c>
      <c r="F82" t="s">
        <v>4211</v>
      </c>
      <c r="H82" t="s">
        <v>2936</v>
      </c>
      <c r="I82" s="8" t="s">
        <v>3674</v>
      </c>
      <c r="J82" s="8" t="s">
        <v>2984</v>
      </c>
      <c r="K82" t="s">
        <v>3675</v>
      </c>
      <c r="L82" t="s">
        <v>3676</v>
      </c>
      <c r="M82" s="3" t="str">
        <f>HYPERLINK(СторонТрансп[[#This Row],[RelativePath]])</f>
        <v>7 Площадка 2 бетонщики\K07156189_18_20251129T160423Z.jpg</v>
      </c>
    </row>
    <row r="83" spans="1:13" x14ac:dyDescent="0.25">
      <c r="A83" t="s">
        <v>18</v>
      </c>
      <c r="B83" s="4">
        <v>45990</v>
      </c>
      <c r="C83" s="6">
        <v>0.66733796296296299</v>
      </c>
      <c r="D83" s="7" t="s">
        <v>289</v>
      </c>
      <c r="E83" t="s">
        <v>4195</v>
      </c>
      <c r="F83" t="s">
        <v>4211</v>
      </c>
      <c r="H83" t="s">
        <v>2936</v>
      </c>
      <c r="I83" s="8" t="s">
        <v>3671</v>
      </c>
      <c r="J83" s="8" t="s">
        <v>2984</v>
      </c>
      <c r="K83" t="s">
        <v>3672</v>
      </c>
      <c r="L83" t="s">
        <v>3673</v>
      </c>
      <c r="M83" s="3" t="str">
        <f>HYPERLINK(СторонТрансп[[#This Row],[RelativePath]])</f>
        <v>7 Площадка 2 бетонщики\K07156189_18_20251129T160058Z.jpg</v>
      </c>
    </row>
    <row r="84" spans="1:13" x14ac:dyDescent="0.25">
      <c r="A84" t="s">
        <v>22</v>
      </c>
      <c r="B84" s="4">
        <v>45998</v>
      </c>
      <c r="C84" s="6">
        <v>0.61756944444444439</v>
      </c>
      <c r="D84" s="7" t="s">
        <v>289</v>
      </c>
      <c r="E84" t="s">
        <v>5263</v>
      </c>
      <c r="F84" t="s">
        <v>5093</v>
      </c>
      <c r="I84" s="8" t="s">
        <v>5151</v>
      </c>
      <c r="J84" s="8" t="s">
        <v>2982</v>
      </c>
      <c r="K84" t="s">
        <v>5152</v>
      </c>
      <c r="L84" t="s">
        <v>5153</v>
      </c>
      <c r="M84" s="3" t="str">
        <f>HYPERLINK(СторонТрансп[[#This Row],[RelativePath]])</f>
        <v>5 Крыльцо общага\K07156189_22_20251207T144918Z.jpg</v>
      </c>
    </row>
    <row r="85" spans="1:13" x14ac:dyDescent="0.25">
      <c r="A85" t="s">
        <v>22</v>
      </c>
      <c r="B85" s="4">
        <v>45998</v>
      </c>
      <c r="C85" s="6">
        <v>0.62070601851851848</v>
      </c>
      <c r="D85" s="7" t="s">
        <v>289</v>
      </c>
      <c r="E85" t="s">
        <v>5263</v>
      </c>
      <c r="F85" t="s">
        <v>5093</v>
      </c>
      <c r="H85" t="s">
        <v>2936</v>
      </c>
      <c r="I85" s="8" t="s">
        <v>5154</v>
      </c>
      <c r="J85" s="8" t="s">
        <v>2982</v>
      </c>
      <c r="K85" t="s">
        <v>5155</v>
      </c>
      <c r="L85" t="s">
        <v>5156</v>
      </c>
      <c r="M85" s="3" t="str">
        <f>HYPERLINK(СторонТрансп[[#This Row],[RelativePath]])</f>
        <v>5 Крыльцо общага\K07156189_22_20251207T145349Z.jpg</v>
      </c>
    </row>
    <row r="86" spans="1:13" x14ac:dyDescent="0.25">
      <c r="A86" t="s">
        <v>22</v>
      </c>
      <c r="B86" s="4">
        <v>45998</v>
      </c>
      <c r="C86" s="6">
        <v>0.62306712962962962</v>
      </c>
      <c r="D86" s="7" t="s">
        <v>289</v>
      </c>
      <c r="E86" t="s">
        <v>5263</v>
      </c>
      <c r="F86" t="s">
        <v>5093</v>
      </c>
      <c r="H86" t="s">
        <v>2936</v>
      </c>
      <c r="I86" s="8" t="s">
        <v>5157</v>
      </c>
      <c r="J86" s="8" t="s">
        <v>2982</v>
      </c>
      <c r="K86" t="s">
        <v>5158</v>
      </c>
      <c r="L86" t="s">
        <v>5159</v>
      </c>
      <c r="M86" s="3" t="str">
        <f>HYPERLINK(СторонТрансп[[#This Row],[RelativePath]])</f>
        <v>5 Крыльцо общага\K07156189_22_20251207T145713Z.jpg</v>
      </c>
    </row>
    <row r="87" spans="1:13" x14ac:dyDescent="0.25">
      <c r="A87" t="s">
        <v>22</v>
      </c>
      <c r="B87" s="4">
        <v>45998</v>
      </c>
      <c r="C87" s="6">
        <v>0.62668981481481478</v>
      </c>
      <c r="D87" s="7" t="s">
        <v>289</v>
      </c>
      <c r="E87" t="s">
        <v>5263</v>
      </c>
      <c r="F87" t="s">
        <v>5093</v>
      </c>
      <c r="H87" t="s">
        <v>2936</v>
      </c>
      <c r="I87" s="8" t="s">
        <v>5160</v>
      </c>
      <c r="J87" s="8" t="s">
        <v>2982</v>
      </c>
      <c r="K87" t="s">
        <v>5161</v>
      </c>
      <c r="L87" t="s">
        <v>5162</v>
      </c>
      <c r="M87" s="3" t="str">
        <f>HYPERLINK(СторонТрансп[[#This Row],[RelativePath]])</f>
        <v>5 Крыльцо общага\K07156189_22_20251207T150226Z.jpg</v>
      </c>
    </row>
    <row r="88" spans="1:13" x14ac:dyDescent="0.25">
      <c r="A88" t="s">
        <v>22</v>
      </c>
      <c r="B88" s="4">
        <v>45998</v>
      </c>
      <c r="C88" s="6">
        <v>0.62921296296296292</v>
      </c>
      <c r="D88" s="7" t="s">
        <v>289</v>
      </c>
      <c r="E88" t="s">
        <v>5263</v>
      </c>
      <c r="F88" t="s">
        <v>5093</v>
      </c>
      <c r="H88" t="s">
        <v>2936</v>
      </c>
      <c r="I88" s="8" t="s">
        <v>5163</v>
      </c>
      <c r="J88" s="8" t="s">
        <v>2982</v>
      </c>
      <c r="K88" t="s">
        <v>5164</v>
      </c>
      <c r="L88" t="s">
        <v>5165</v>
      </c>
      <c r="M88" s="3" t="str">
        <f>HYPERLINK(СторонТрансп[[#This Row],[RelativePath]])</f>
        <v>5 Крыльцо общага\K07156189_22_20251207T150604Z.jpg</v>
      </c>
    </row>
    <row r="89" spans="1:13" x14ac:dyDescent="0.25">
      <c r="A89" t="s">
        <v>22</v>
      </c>
      <c r="B89" s="4">
        <v>45998</v>
      </c>
      <c r="C89" s="6">
        <v>0.63689814814814816</v>
      </c>
      <c r="D89" s="7" t="s">
        <v>289</v>
      </c>
      <c r="E89" t="s">
        <v>5263</v>
      </c>
      <c r="F89" t="s">
        <v>5093</v>
      </c>
      <c r="H89" t="s">
        <v>2936</v>
      </c>
      <c r="I89" s="8" t="s">
        <v>5166</v>
      </c>
      <c r="J89" s="8" t="s">
        <v>2982</v>
      </c>
      <c r="K89" t="s">
        <v>5167</v>
      </c>
      <c r="L89" t="s">
        <v>5168</v>
      </c>
      <c r="M89" s="3" t="str">
        <f>HYPERLINK(СторонТрансп[[#This Row],[RelativePath]])</f>
        <v>5 Крыльцо общага\K07156189_22_20251207T151708Z.jpg</v>
      </c>
    </row>
    <row r="90" spans="1:13" x14ac:dyDescent="0.25">
      <c r="A90" t="s">
        <v>22</v>
      </c>
      <c r="B90" s="4">
        <v>45998</v>
      </c>
      <c r="C90" s="6">
        <v>0.60039351851851852</v>
      </c>
      <c r="D90" s="7" t="s">
        <v>289</v>
      </c>
      <c r="E90" t="s">
        <v>5263</v>
      </c>
      <c r="F90" t="s">
        <v>4233</v>
      </c>
      <c r="I90" s="8" t="s">
        <v>5187</v>
      </c>
      <c r="J90" s="8" t="s">
        <v>2985</v>
      </c>
      <c r="K90" t="s">
        <v>5188</v>
      </c>
      <c r="L90" t="s">
        <v>5189</v>
      </c>
      <c r="M90" s="3" t="str">
        <f>HYPERLINK(СторонТрансп[[#This Row],[RelativePath]])</f>
        <v>10 Сушилка навес\E33149364_3_20251207T142434Z.jpg</v>
      </c>
    </row>
    <row r="91" spans="1:13" x14ac:dyDescent="0.25">
      <c r="A91" t="s">
        <v>22</v>
      </c>
      <c r="B91" s="4">
        <v>45998</v>
      </c>
      <c r="C91" s="6">
        <v>0.60648148148148151</v>
      </c>
      <c r="D91" s="7" t="s">
        <v>289</v>
      </c>
      <c r="E91" t="s">
        <v>5263</v>
      </c>
      <c r="F91" t="s">
        <v>4233</v>
      </c>
      <c r="H91" t="s">
        <v>2936</v>
      </c>
      <c r="I91" s="8" t="s">
        <v>5190</v>
      </c>
      <c r="J91" s="8" t="s">
        <v>2985</v>
      </c>
      <c r="K91" t="s">
        <v>5191</v>
      </c>
      <c r="L91" t="s">
        <v>5192</v>
      </c>
      <c r="M91" s="3" t="str">
        <f>HYPERLINK(СторонТрансп[[#This Row],[RelativePath]])</f>
        <v>10 Сушилка навес\E33149364_3_20251207T143320Z.jpg</v>
      </c>
    </row>
    <row r="92" spans="1:13" x14ac:dyDescent="0.25">
      <c r="A92" t="s">
        <v>18</v>
      </c>
      <c r="B92" s="4">
        <v>46004</v>
      </c>
      <c r="C92" s="6">
        <v>0.39997685185185183</v>
      </c>
      <c r="D92" s="7" t="s">
        <v>289</v>
      </c>
      <c r="E92" t="s">
        <v>6167</v>
      </c>
      <c r="F92" t="s">
        <v>6188</v>
      </c>
      <c r="H92" t="s">
        <v>2936</v>
      </c>
      <c r="I92" s="8" t="s">
        <v>6128</v>
      </c>
      <c r="J92" s="8" t="s">
        <v>5633</v>
      </c>
      <c r="K92" t="s">
        <v>6129</v>
      </c>
      <c r="L92" t="s">
        <v>6130</v>
      </c>
      <c r="M92" s="3" t="str">
        <f>HYPERLINK(СторонТрансп[[#This Row],[RelativePath]])</f>
        <v>11 С ангара на базу\E33149364_4_20251213T093558Z.jpg</v>
      </c>
    </row>
    <row r="93" spans="1:13" x14ac:dyDescent="0.25">
      <c r="A93" t="s">
        <v>18</v>
      </c>
      <c r="B93" s="4">
        <v>46004</v>
      </c>
      <c r="C93" s="6">
        <v>0.39961805555555557</v>
      </c>
      <c r="D93" s="7" t="s">
        <v>289</v>
      </c>
      <c r="E93" t="s">
        <v>6167</v>
      </c>
      <c r="F93" t="s">
        <v>6188</v>
      </c>
      <c r="H93" t="s">
        <v>2936</v>
      </c>
      <c r="I93" s="8" t="s">
        <v>6125</v>
      </c>
      <c r="J93" s="8" t="s">
        <v>5633</v>
      </c>
      <c r="K93" t="s">
        <v>6126</v>
      </c>
      <c r="L93" t="s">
        <v>6127</v>
      </c>
      <c r="M93" s="3" t="str">
        <f>HYPERLINK(СторонТрансп[[#This Row],[RelativePath]])</f>
        <v>11 С ангара на базу\E33149364_4_20251213T093527Z.jpg</v>
      </c>
    </row>
    <row r="94" spans="1:13" x14ac:dyDescent="0.25">
      <c r="A94" t="s">
        <v>18</v>
      </c>
      <c r="B94" s="4">
        <v>46004</v>
      </c>
      <c r="C94" s="6">
        <v>0.40229166666666666</v>
      </c>
      <c r="D94" s="7" t="s">
        <v>289</v>
      </c>
      <c r="E94" t="s">
        <v>6167</v>
      </c>
      <c r="F94" t="s">
        <v>6188</v>
      </c>
      <c r="H94" t="s">
        <v>2936</v>
      </c>
      <c r="I94" s="8" t="s">
        <v>6134</v>
      </c>
      <c r="J94" s="8" t="s">
        <v>5633</v>
      </c>
      <c r="K94" t="s">
        <v>6135</v>
      </c>
      <c r="L94" t="s">
        <v>6136</v>
      </c>
      <c r="M94" s="3" t="str">
        <f>HYPERLINK(СторонТрансп[[#This Row],[RelativePath]])</f>
        <v>11 С ангара на базу\E33149364_4_20251213T093918Z.jpg</v>
      </c>
    </row>
    <row r="95" spans="1:13" x14ac:dyDescent="0.25">
      <c r="A95" t="s">
        <v>18</v>
      </c>
      <c r="B95" s="4">
        <v>46004</v>
      </c>
      <c r="C95" s="6">
        <v>0.40167824074074077</v>
      </c>
      <c r="D95" s="7" t="s">
        <v>289</v>
      </c>
      <c r="E95" t="s">
        <v>6167</v>
      </c>
      <c r="F95" t="s">
        <v>6188</v>
      </c>
      <c r="H95" t="s">
        <v>2936</v>
      </c>
      <c r="I95" s="8" t="s">
        <v>6131</v>
      </c>
      <c r="J95" s="8" t="s">
        <v>5633</v>
      </c>
      <c r="K95" t="s">
        <v>6132</v>
      </c>
      <c r="L95" t="s">
        <v>6133</v>
      </c>
      <c r="M95" s="3" t="str">
        <f>HYPERLINK(СторонТрансп[[#This Row],[RelativePath]])</f>
        <v>11 С ангара на базу\E33149364_4_20251213T093825Z.jpg</v>
      </c>
    </row>
    <row r="96" spans="1:13" x14ac:dyDescent="0.25">
      <c r="A96" t="s">
        <v>18</v>
      </c>
      <c r="B96" s="4">
        <v>46004</v>
      </c>
      <c r="C96" s="6">
        <v>0.39643518518518517</v>
      </c>
      <c r="D96" s="7" t="s">
        <v>289</v>
      </c>
      <c r="E96" t="s">
        <v>6167</v>
      </c>
      <c r="F96" t="s">
        <v>6188</v>
      </c>
      <c r="H96" t="s">
        <v>2936</v>
      </c>
      <c r="I96" s="8" t="s">
        <v>6116</v>
      </c>
      <c r="J96" s="8" t="s">
        <v>5633</v>
      </c>
      <c r="K96" t="s">
        <v>6117</v>
      </c>
      <c r="L96" t="s">
        <v>6118</v>
      </c>
      <c r="M96" s="3" t="str">
        <f>HYPERLINK(СторонТрансп[[#This Row],[RelativePath]])</f>
        <v>11 С ангара на базу\E33149364_4_20251213T093052Z.jpg</v>
      </c>
    </row>
    <row r="97" spans="1:13" x14ac:dyDescent="0.25">
      <c r="A97" t="s">
        <v>18</v>
      </c>
      <c r="B97" s="4">
        <v>46004</v>
      </c>
      <c r="C97" s="6">
        <v>0.39291666666666669</v>
      </c>
      <c r="D97" s="7" t="s">
        <v>289</v>
      </c>
      <c r="E97" t="s">
        <v>6167</v>
      </c>
      <c r="F97" t="s">
        <v>6188</v>
      </c>
      <c r="H97" t="s">
        <v>2936</v>
      </c>
      <c r="I97" s="8" t="s">
        <v>6113</v>
      </c>
      <c r="J97" s="8" t="s">
        <v>5633</v>
      </c>
      <c r="K97" t="s">
        <v>6114</v>
      </c>
      <c r="L97" t="s">
        <v>6115</v>
      </c>
      <c r="M97" s="3" t="str">
        <f>HYPERLINK(СторонТрансп[[#This Row],[RelativePath]])</f>
        <v>11 С ангара на базу\E33149364_4_20251213T092548Z.jpg</v>
      </c>
    </row>
    <row r="98" spans="1:13" x14ac:dyDescent="0.25">
      <c r="A98" t="s">
        <v>18</v>
      </c>
      <c r="B98" s="4">
        <v>46004</v>
      </c>
      <c r="C98" s="6">
        <v>0.3972222222222222</v>
      </c>
      <c r="D98" s="7" t="s">
        <v>289</v>
      </c>
      <c r="E98" t="s">
        <v>6167</v>
      </c>
      <c r="F98" t="s">
        <v>6188</v>
      </c>
      <c r="H98" t="s">
        <v>2936</v>
      </c>
      <c r="I98" s="8" t="s">
        <v>6122</v>
      </c>
      <c r="J98" s="8" t="s">
        <v>5633</v>
      </c>
      <c r="K98" t="s">
        <v>6123</v>
      </c>
      <c r="L98" t="s">
        <v>6124</v>
      </c>
      <c r="M98" s="3" t="str">
        <f>HYPERLINK(СторонТрансп[[#This Row],[RelativePath]])</f>
        <v>11 С ангара на базу\E33149364_4_20251213T093200Z.jpg</v>
      </c>
    </row>
    <row r="99" spans="1:13" x14ac:dyDescent="0.25">
      <c r="A99" t="s">
        <v>18</v>
      </c>
      <c r="B99" s="4">
        <v>46004</v>
      </c>
      <c r="C99" s="6">
        <v>0.39685185185185184</v>
      </c>
      <c r="D99" s="7" t="s">
        <v>289</v>
      </c>
      <c r="E99" t="s">
        <v>6167</v>
      </c>
      <c r="F99" t="s">
        <v>6188</v>
      </c>
      <c r="H99" t="s">
        <v>2936</v>
      </c>
      <c r="I99" s="8" t="s">
        <v>6119</v>
      </c>
      <c r="J99" s="8" t="s">
        <v>5633</v>
      </c>
      <c r="K99" t="s">
        <v>6120</v>
      </c>
      <c r="L99" t="s">
        <v>6121</v>
      </c>
      <c r="M99" s="3" t="str">
        <f>HYPERLINK(СторонТрансп[[#This Row],[RelativePath]])</f>
        <v>11 С ангара на базу\E33149364_4_20251213T093128Z.jpg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s="8" t="s">
        <v>33</v>
      </c>
      <c r="J100" s="8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s="8" t="s">
        <v>34</v>
      </c>
      <c r="J101" s="8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s="8" t="s">
        <v>35</v>
      </c>
      <c r="J102" s="8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s="8" t="s">
        <v>36</v>
      </c>
      <c r="J103" s="8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s="8" t="s">
        <v>37</v>
      </c>
      <c r="J104" s="8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s="8" t="s">
        <v>38</v>
      </c>
      <c r="J105" s="8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s="8" t="s">
        <v>41</v>
      </c>
      <c r="J106" s="8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s="8" t="s">
        <v>42</v>
      </c>
      <c r="J107" s="8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s="8" t="s">
        <v>75</v>
      </c>
      <c r="J108" s="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s="8" t="s">
        <v>77</v>
      </c>
      <c r="J109" s="8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s="8" t="s">
        <v>78</v>
      </c>
      <c r="J110" s="8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s="8" t="s">
        <v>79</v>
      </c>
      <c r="J111" s="8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s="8" t="s">
        <v>80</v>
      </c>
      <c r="J112" s="8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s="8" t="s">
        <v>81</v>
      </c>
      <c r="J113" s="8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s="8" t="s">
        <v>82</v>
      </c>
      <c r="J114" s="8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s="8" t="s">
        <v>83</v>
      </c>
      <c r="J115" s="8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s="8" t="s">
        <v>1110</v>
      </c>
      <c r="J116" s="8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s="8" t="s">
        <v>1111</v>
      </c>
      <c r="J117" s="8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s="8" t="s">
        <v>3225</v>
      </c>
      <c r="J118" s="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s="8" t="s">
        <v>3228</v>
      </c>
      <c r="J119" s="8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s="8" t="s">
        <v>3231</v>
      </c>
      <c r="J120" s="8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s="8" t="s">
        <v>3234</v>
      </c>
      <c r="J121" s="8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s="8" t="s">
        <v>3243</v>
      </c>
      <c r="J122" s="8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s="8" t="s">
        <v>3246</v>
      </c>
      <c r="J123" s="8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s="8" t="s">
        <v>3249</v>
      </c>
      <c r="J124" s="8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s="8" t="s">
        <v>3252</v>
      </c>
      <c r="J125" s="8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s="8" t="s">
        <v>3255</v>
      </c>
      <c r="J126" s="8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s="8" t="s">
        <v>3258</v>
      </c>
      <c r="J127" s="8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s="8" t="s">
        <v>4402</v>
      </c>
      <c r="J128" s="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s="8" t="s">
        <v>4405</v>
      </c>
      <c r="J129" s="8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s="8" t="s">
        <v>5144</v>
      </c>
      <c r="J130" s="8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s="8" t="s">
        <v>5146</v>
      </c>
      <c r="J131" s="8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s="8" t="s">
        <v>5272</v>
      </c>
      <c r="J132" s="8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s="8" t="s">
        <v>5274</v>
      </c>
      <c r="J133" s="8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s="8" t="s">
        <v>5481</v>
      </c>
      <c r="J134" s="8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s="8" t="s">
        <v>5484</v>
      </c>
      <c r="J135" s="8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s="8" t="s">
        <v>5487</v>
      </c>
      <c r="J136" s="8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s="8" t="s">
        <v>5490</v>
      </c>
      <c r="J137" s="8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s="8" t="s">
        <v>5493</v>
      </c>
      <c r="J138" s="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s="8" t="s">
        <v>5496</v>
      </c>
      <c r="J139" s="8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s="8" t="s">
        <v>5499</v>
      </c>
      <c r="J140" s="8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s="8" t="s">
        <v>5502</v>
      </c>
      <c r="J141" s="8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s="8" t="s">
        <v>6023</v>
      </c>
      <c r="J142" s="8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s="8" t="s">
        <v>6026</v>
      </c>
      <c r="J143" s="8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s="8" t="s">
        <v>6029</v>
      </c>
      <c r="J144" s="8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s="8" t="s">
        <v>6032</v>
      </c>
      <c r="J145" s="8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s="8" t="s">
        <v>6035</v>
      </c>
      <c r="J146" s="8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s="8" t="s">
        <v>6038</v>
      </c>
      <c r="J147" s="8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s="8" t="s">
        <v>6041</v>
      </c>
      <c r="J148" s="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s="8" t="s">
        <v>6263</v>
      </c>
      <c r="J149" s="8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s="8" t="s">
        <v>6278</v>
      </c>
      <c r="J150" s="8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46007</v>
      </c>
      <c r="C151" s="6">
        <v>0.49627314814814816</v>
      </c>
      <c r="D151" s="7" t="s">
        <v>64</v>
      </c>
      <c r="E151" t="s">
        <v>4193</v>
      </c>
      <c r="F151" t="s">
        <v>5076</v>
      </c>
      <c r="I151" s="8" t="s">
        <v>6539</v>
      </c>
      <c r="J151" s="8" t="s">
        <v>2981</v>
      </c>
      <c r="K151" t="s">
        <v>6540</v>
      </c>
      <c r="L151" t="s">
        <v>6541</v>
      </c>
      <c r="M151" s="3" t="str">
        <f>HYPERLINK(СторонТрансп[[#This Row],[RelativePath]])</f>
        <v>1 Ангар Склад 2 въезд\E33149364_6_20251216T115438Z.jpg</v>
      </c>
    </row>
    <row r="152" spans="1:13" x14ac:dyDescent="0.25">
      <c r="A152" t="s">
        <v>14</v>
      </c>
      <c r="B152" s="4">
        <v>46007</v>
      </c>
      <c r="C152" s="6">
        <v>0.58416666666666661</v>
      </c>
      <c r="D152" s="7" t="s">
        <v>85</v>
      </c>
      <c r="E152" t="s">
        <v>4193</v>
      </c>
      <c r="F152" t="s">
        <v>5076</v>
      </c>
      <c r="I152" s="8" t="s">
        <v>6542</v>
      </c>
      <c r="J152" s="8" t="s">
        <v>2981</v>
      </c>
      <c r="K152" t="s">
        <v>6543</v>
      </c>
      <c r="L152" t="s">
        <v>6544</v>
      </c>
      <c r="M152" s="3" t="str">
        <f>HYPERLINK(СторонТрансп[[#This Row],[RelativePath]])</f>
        <v>1 Ангар Склад 2 въезд\E33149364_6_20251216T140112Z.jpg</v>
      </c>
    </row>
    <row r="153" spans="1:13" x14ac:dyDescent="0.25">
      <c r="A153" t="s">
        <v>16</v>
      </c>
      <c r="B153" s="4">
        <v>46009</v>
      </c>
      <c r="C153" s="6">
        <v>0.51199074074074069</v>
      </c>
      <c r="D153" s="7" t="s">
        <v>64</v>
      </c>
      <c r="E153" t="s">
        <v>4193</v>
      </c>
      <c r="F153" t="s">
        <v>5076</v>
      </c>
      <c r="I153" s="8" t="s">
        <v>6667</v>
      </c>
      <c r="J153" s="8" t="s">
        <v>2981</v>
      </c>
      <c r="K153" t="s">
        <v>6668</v>
      </c>
      <c r="L153" t="s">
        <v>6669</v>
      </c>
      <c r="M153" s="3" t="str">
        <f>HYPERLINK(СторонТрансп[[#This Row],[RelativePath]])</f>
        <v>1 Ангар Склад 2 въезд\E33149364_6_20251218T121716Z.jpg</v>
      </c>
    </row>
    <row r="154" spans="1:13" x14ac:dyDescent="0.25">
      <c r="A154" t="s">
        <v>16</v>
      </c>
      <c r="B154" s="4">
        <v>46009</v>
      </c>
      <c r="C154" s="6">
        <v>0.61517361111111113</v>
      </c>
      <c r="D154" s="7" t="s">
        <v>85</v>
      </c>
      <c r="E154" t="s">
        <v>4193</v>
      </c>
      <c r="F154" t="s">
        <v>5076</v>
      </c>
      <c r="I154" s="8" t="s">
        <v>6679</v>
      </c>
      <c r="J154" s="8" t="s">
        <v>2981</v>
      </c>
      <c r="K154" t="s">
        <v>6680</v>
      </c>
      <c r="L154" t="s">
        <v>6681</v>
      </c>
      <c r="M154" s="3" t="str">
        <f>HYPERLINK(СторонТрансп[[#This Row],[RelativePath]])</f>
        <v>1 Ангар Склад 2 въезд\E33149364_6_20251218T144551Z.jpg</v>
      </c>
    </row>
    <row r="155" spans="1:13" x14ac:dyDescent="0.25">
      <c r="A155" t="s">
        <v>13</v>
      </c>
      <c r="B155" s="4">
        <v>46013</v>
      </c>
      <c r="C155" s="6">
        <v>0.46493055555555557</v>
      </c>
      <c r="D155" s="7" t="s">
        <v>64</v>
      </c>
      <c r="E155" t="s">
        <v>4193</v>
      </c>
      <c r="F155" t="s">
        <v>5076</v>
      </c>
      <c r="I155" s="8" t="s">
        <v>7242</v>
      </c>
      <c r="J155" s="8" t="s">
        <v>2981</v>
      </c>
      <c r="K155" t="s">
        <v>7243</v>
      </c>
      <c r="L155" t="s">
        <v>7244</v>
      </c>
      <c r="M155" s="3" t="str">
        <f>HYPERLINK(СторонТрансп[[#This Row],[RelativePath]])</f>
        <v>1 Ангар Склад 2 въезд\E33149364_6_20251222T110930Z.jpg</v>
      </c>
    </row>
    <row r="156" spans="1:13" x14ac:dyDescent="0.25">
      <c r="A156" t="s">
        <v>13</v>
      </c>
      <c r="B156" s="4">
        <v>46013</v>
      </c>
      <c r="C156" s="6">
        <v>0.55439814814814814</v>
      </c>
      <c r="D156" s="7" t="s">
        <v>85</v>
      </c>
      <c r="E156" t="s">
        <v>4193</v>
      </c>
      <c r="F156" t="s">
        <v>5076</v>
      </c>
      <c r="I156" s="8" t="s">
        <v>7245</v>
      </c>
      <c r="J156" s="8" t="s">
        <v>2981</v>
      </c>
      <c r="K156" t="s">
        <v>7246</v>
      </c>
      <c r="L156" t="s">
        <v>7247</v>
      </c>
      <c r="M156" s="3" t="str">
        <f>HYPERLINK(СторонТрансп[[#This Row],[RelativePath]])</f>
        <v>1 Ангар Склад 2 въезд\E33149364_6_20251222T131820Z.jpg</v>
      </c>
    </row>
    <row r="157" spans="1:13" x14ac:dyDescent="0.25">
      <c r="A157" t="s">
        <v>16</v>
      </c>
      <c r="B157" s="4">
        <v>46016</v>
      </c>
      <c r="C157" s="6">
        <v>0.51089120370370367</v>
      </c>
      <c r="D157" s="7" t="s">
        <v>91</v>
      </c>
      <c r="E157" t="s">
        <v>4193</v>
      </c>
      <c r="F157" t="s">
        <v>51</v>
      </c>
      <c r="I157" s="8" t="s">
        <v>7430</v>
      </c>
      <c r="J157" s="8" t="s">
        <v>2981</v>
      </c>
      <c r="K157" t="s">
        <v>7431</v>
      </c>
      <c r="L157" t="s">
        <v>7432</v>
      </c>
      <c r="M157" s="3" t="str">
        <f>HYPERLINK(СторонТрансп[[#This Row],[RelativePath]])</f>
        <v>1 Ангар Склад 2 въезд\E33149364_6_20251225T121541Z.jpg</v>
      </c>
    </row>
    <row r="158" spans="1:13" x14ac:dyDescent="0.25">
      <c r="A158" t="s">
        <v>16</v>
      </c>
      <c r="B158" s="4">
        <v>46016</v>
      </c>
      <c r="C158" s="6">
        <v>0.62315972222222227</v>
      </c>
      <c r="D158" s="7" t="s">
        <v>62</v>
      </c>
      <c r="E158" t="s">
        <v>4193</v>
      </c>
      <c r="F158" t="s">
        <v>4240</v>
      </c>
      <c r="I158" s="8" t="s">
        <v>7436</v>
      </c>
      <c r="J158" s="8" t="s">
        <v>2981</v>
      </c>
      <c r="K158" t="s">
        <v>7437</v>
      </c>
      <c r="L158" t="s">
        <v>7438</v>
      </c>
      <c r="M158" s="3" t="str">
        <f>HYPERLINK(СторонТрансп[[#This Row],[RelativePath]])</f>
        <v>1 Ангар Склад 2 въезд\E33149364_6_20251225T145721Z.jpg</v>
      </c>
    </row>
    <row r="159" spans="1:13" x14ac:dyDescent="0.25">
      <c r="A159" t="s">
        <v>17</v>
      </c>
      <c r="B159" s="4">
        <v>46017</v>
      </c>
      <c r="C159" s="6">
        <v>0.41902777777777778</v>
      </c>
      <c r="D159" s="7" t="s">
        <v>91</v>
      </c>
      <c r="E159" t="s">
        <v>4193</v>
      </c>
      <c r="F159" t="s">
        <v>5076</v>
      </c>
      <c r="I159" s="8" t="s">
        <v>7723</v>
      </c>
      <c r="J159" s="8" t="s">
        <v>2981</v>
      </c>
      <c r="K159" t="s">
        <v>7724</v>
      </c>
      <c r="L159" t="s">
        <v>7725</v>
      </c>
      <c r="M159" s="3" t="str">
        <f>HYPERLINK(СторонТрансп[[#This Row],[RelativePath]])</f>
        <v>1 Ангар Склад 2 въезд\E33149364_6_20251226T100324Z.jpg</v>
      </c>
    </row>
    <row r="160" spans="1:13" x14ac:dyDescent="0.25">
      <c r="A160" t="s">
        <v>17</v>
      </c>
      <c r="B160" s="4">
        <v>46017</v>
      </c>
      <c r="C160" s="6">
        <v>0.49219907407407409</v>
      </c>
      <c r="D160" s="7" t="s">
        <v>62</v>
      </c>
      <c r="E160" t="s">
        <v>4193</v>
      </c>
      <c r="F160" t="s">
        <v>5076</v>
      </c>
      <c r="I160" s="8" t="s">
        <v>7726</v>
      </c>
      <c r="J160" s="8" t="s">
        <v>2981</v>
      </c>
      <c r="K160" t="s">
        <v>7727</v>
      </c>
      <c r="L160" t="s">
        <v>7728</v>
      </c>
      <c r="M160" s="3" t="str">
        <f>HYPERLINK(СторонТрансп[[#This Row],[RelativePath]])</f>
        <v>1 Ангар Склад 2 въезд\E33149364_6_20251226T114846Z.jpg</v>
      </c>
    </row>
    <row r="161" spans="1:13" x14ac:dyDescent="0.25">
      <c r="A161" t="s">
        <v>18</v>
      </c>
      <c r="B161" s="4">
        <v>46018</v>
      </c>
      <c r="C161" s="6">
        <v>0.43266203703703704</v>
      </c>
      <c r="D161" s="7" t="s">
        <v>64</v>
      </c>
      <c r="E161" t="s">
        <v>4193</v>
      </c>
      <c r="F161" t="s">
        <v>5076</v>
      </c>
      <c r="I161" s="8" t="s">
        <v>7890</v>
      </c>
      <c r="J161" s="8" t="s">
        <v>2981</v>
      </c>
      <c r="K161" t="s">
        <v>7891</v>
      </c>
      <c r="L161" t="s">
        <v>7892</v>
      </c>
      <c r="M161" s="3" t="str">
        <f>HYPERLINK(СторонТрансп[[#This Row],[RelativePath]])</f>
        <v>1 Ангар Склад 2 въезд\E33149364_6_20251227T102302Z.jpg</v>
      </c>
    </row>
    <row r="162" spans="1:13" x14ac:dyDescent="0.25">
      <c r="A162" t="s">
        <v>18</v>
      </c>
      <c r="B162" s="4">
        <v>46018</v>
      </c>
      <c r="C162" s="6">
        <v>0.58099537037037041</v>
      </c>
      <c r="D162" s="7" t="s">
        <v>85</v>
      </c>
      <c r="E162" t="s">
        <v>4193</v>
      </c>
      <c r="F162" t="s">
        <v>5076</v>
      </c>
      <c r="I162" s="8" t="s">
        <v>7893</v>
      </c>
      <c r="J162" s="8" t="s">
        <v>2981</v>
      </c>
      <c r="K162" t="s">
        <v>7894</v>
      </c>
      <c r="L162" t="s">
        <v>7895</v>
      </c>
      <c r="M162" s="3" t="str">
        <f>HYPERLINK(СторонТрансп[[#This Row],[RelativePath]])</f>
        <v>1 Ангар Склад 2 въезд\E33149364_6_20251227T135638Z.jpg</v>
      </c>
    </row>
    <row r="163" spans="1:13" x14ac:dyDescent="0.25">
      <c r="A163" t="s">
        <v>22</v>
      </c>
      <c r="B163" s="4">
        <v>46019</v>
      </c>
      <c r="C163" s="6">
        <v>0.50267361111111108</v>
      </c>
      <c r="D163" s="7" t="s">
        <v>91</v>
      </c>
      <c r="E163" t="s">
        <v>4193</v>
      </c>
      <c r="F163" t="s">
        <v>5076</v>
      </c>
      <c r="I163" s="8" t="s">
        <v>7902</v>
      </c>
      <c r="J163" s="8" t="s">
        <v>2981</v>
      </c>
      <c r="K163" t="s">
        <v>7903</v>
      </c>
      <c r="L163" t="s">
        <v>7904</v>
      </c>
      <c r="M163" s="3" t="str">
        <f>HYPERLINK(СторонТрансп[[#This Row],[RelativePath]])</f>
        <v>1 Ангар Склад 2 въезд\E33149364_6_20251228T120351Z.jpg</v>
      </c>
    </row>
    <row r="164" spans="1:13" x14ac:dyDescent="0.25">
      <c r="A164" t="s">
        <v>22</v>
      </c>
      <c r="B164" s="4">
        <v>46019</v>
      </c>
      <c r="C164" s="6">
        <v>0.50665509259259256</v>
      </c>
      <c r="D164" s="7" t="s">
        <v>62</v>
      </c>
      <c r="E164" t="s">
        <v>4193</v>
      </c>
      <c r="F164" t="s">
        <v>5076</v>
      </c>
      <c r="I164" s="8" t="s">
        <v>7905</v>
      </c>
      <c r="J164" s="8" t="s">
        <v>2981</v>
      </c>
      <c r="K164" t="s">
        <v>7906</v>
      </c>
      <c r="L164" t="s">
        <v>7907</v>
      </c>
      <c r="M164" s="3" t="str">
        <f>HYPERLINK(СторонТрансп[[#This Row],[RelativePath]])</f>
        <v>1 Ангар Склад 2 въезд\E33149364_6_20251228T120935Z.jpg</v>
      </c>
    </row>
    <row r="165" spans="1:13" x14ac:dyDescent="0.25">
      <c r="A165" t="s">
        <v>22</v>
      </c>
      <c r="B165" s="4">
        <v>46019</v>
      </c>
      <c r="C165" s="6">
        <v>0.50677083333333328</v>
      </c>
      <c r="D165" s="7" t="s">
        <v>8040</v>
      </c>
      <c r="E165" t="s">
        <v>4193</v>
      </c>
      <c r="F165" t="s">
        <v>5076</v>
      </c>
      <c r="I165" s="8" t="s">
        <v>7908</v>
      </c>
      <c r="J165" s="8" t="s">
        <v>2981</v>
      </c>
      <c r="K165" t="s">
        <v>7909</v>
      </c>
      <c r="L165" t="s">
        <v>7910</v>
      </c>
      <c r="M165" s="3" t="str">
        <f>HYPERLINK(СторонТрансп[[#This Row],[RelativePath]])</f>
        <v>1 Ангар Склад 2 въезд\E33149364_6_20251228T120945Z.jpg</v>
      </c>
    </row>
    <row r="166" spans="1:13" x14ac:dyDescent="0.25">
      <c r="A166" t="s">
        <v>22</v>
      </c>
      <c r="B166" s="4">
        <v>46019</v>
      </c>
      <c r="C166" s="6">
        <v>0.50702546296296291</v>
      </c>
      <c r="D166" s="7" t="s">
        <v>64</v>
      </c>
      <c r="E166" t="s">
        <v>4193</v>
      </c>
      <c r="F166" t="s">
        <v>5076</v>
      </c>
      <c r="I166" s="8" t="s">
        <v>7911</v>
      </c>
      <c r="J166" s="8" t="s">
        <v>2981</v>
      </c>
      <c r="K166" t="s">
        <v>7912</v>
      </c>
      <c r="L166" t="s">
        <v>7913</v>
      </c>
      <c r="M166" s="3" t="str">
        <f>HYPERLINK(СторонТрансп[[#This Row],[RelativePath]])</f>
        <v>1 Ангар Склад 2 въезд\E33149364_6_20251228T121007Z.jpg</v>
      </c>
    </row>
    <row r="167" spans="1:13" x14ac:dyDescent="0.25">
      <c r="A167" t="s">
        <v>22</v>
      </c>
      <c r="B167" s="4">
        <v>46019</v>
      </c>
      <c r="C167" s="6">
        <v>0.64039351851851856</v>
      </c>
      <c r="D167" s="7" t="s">
        <v>85</v>
      </c>
      <c r="E167" t="s">
        <v>4193</v>
      </c>
      <c r="F167" t="s">
        <v>5076</v>
      </c>
      <c r="I167" s="8" t="s">
        <v>7917</v>
      </c>
      <c r="J167" s="8" t="s">
        <v>2981</v>
      </c>
      <c r="K167" t="s">
        <v>7918</v>
      </c>
      <c r="L167" t="s">
        <v>7919</v>
      </c>
      <c r="M167" s="3" t="str">
        <f>HYPERLINK(СторонТрансп[[#This Row],[RelativePath]])</f>
        <v>1 Ангар Склад 2 въезд\E33149364_6_20251228T152210Z.jpg</v>
      </c>
    </row>
    <row r="168" spans="1:13" x14ac:dyDescent="0.25">
      <c r="A168" t="s">
        <v>15</v>
      </c>
      <c r="B168" s="4">
        <v>46036</v>
      </c>
      <c r="C168" s="6">
        <v>0.4987152777777778</v>
      </c>
      <c r="D168" s="7" t="s">
        <v>91</v>
      </c>
      <c r="E168" t="s">
        <v>4193</v>
      </c>
      <c r="F168" t="s">
        <v>5076</v>
      </c>
      <c r="I168" s="8" t="s">
        <v>9243</v>
      </c>
      <c r="J168" s="8" t="s">
        <v>2981</v>
      </c>
      <c r="K168" t="s">
        <v>9244</v>
      </c>
      <c r="L168" t="s">
        <v>9245</v>
      </c>
      <c r="M168" s="3" t="str">
        <f>HYPERLINK(СторонТрансп[[#This Row],[RelativePath]])</f>
        <v>1 Ангар Склад 2 въезд\E33149364_6_20260114T115809Z.jpg</v>
      </c>
    </row>
    <row r="169" spans="1:13" x14ac:dyDescent="0.25">
      <c r="A169" t="s">
        <v>15</v>
      </c>
      <c r="B169" s="4">
        <v>46036</v>
      </c>
      <c r="C169" s="6">
        <v>0.70822916666666669</v>
      </c>
      <c r="D169" s="7" t="s">
        <v>62</v>
      </c>
      <c r="E169" t="s">
        <v>4193</v>
      </c>
      <c r="F169" t="s">
        <v>5076</v>
      </c>
      <c r="I169" s="8" t="s">
        <v>9246</v>
      </c>
      <c r="J169" s="8" t="s">
        <v>2981</v>
      </c>
      <c r="K169" t="s">
        <v>9247</v>
      </c>
      <c r="L169" t="s">
        <v>9248</v>
      </c>
      <c r="M169" s="3" t="str">
        <f>HYPERLINK(СторонТрансп[[#This Row],[RelativePath]])</f>
        <v>1 Ангар Склад 2 въезд\E33149364_6_20260114T165951Z.jpg</v>
      </c>
    </row>
    <row r="170" spans="1:13" x14ac:dyDescent="0.25">
      <c r="A170" t="s">
        <v>16</v>
      </c>
      <c r="B170" s="4">
        <v>46044</v>
      </c>
      <c r="C170" s="6">
        <v>0.50423611111111111</v>
      </c>
      <c r="D170" s="7" t="s">
        <v>91</v>
      </c>
      <c r="E170" t="s">
        <v>4193</v>
      </c>
      <c r="F170" t="s">
        <v>5076</v>
      </c>
      <c r="I170" s="8" t="s">
        <v>9930</v>
      </c>
      <c r="J170" s="8" t="s">
        <v>2981</v>
      </c>
      <c r="K170" t="s">
        <v>9931</v>
      </c>
      <c r="L170" t="s">
        <v>9932</v>
      </c>
      <c r="M170" s="3" t="str">
        <f>HYPERLINK(СторонТрансп[[#This Row],[RelativePath]])</f>
        <v>1 Ангар Склад 2 въезд\E33149364_6_20260122T120606Z.jpg</v>
      </c>
    </row>
    <row r="171" spans="1:13" x14ac:dyDescent="0.25">
      <c r="A171" t="s">
        <v>16</v>
      </c>
      <c r="B171" s="4">
        <v>46044</v>
      </c>
      <c r="C171" s="6">
        <v>0.6736805555555555</v>
      </c>
      <c r="D171" s="7" t="s">
        <v>62</v>
      </c>
      <c r="E171" t="s">
        <v>4193</v>
      </c>
      <c r="F171" t="s">
        <v>5076</v>
      </c>
      <c r="I171" s="8" t="s">
        <v>9933</v>
      </c>
      <c r="J171" s="8" t="s">
        <v>2981</v>
      </c>
      <c r="K171" t="s">
        <v>9934</v>
      </c>
      <c r="L171" t="s">
        <v>9935</v>
      </c>
      <c r="M171" s="3" t="str">
        <f>HYPERLINK(СторонТрансп[[#This Row],[RelativePath]])</f>
        <v>1 Ангар Склад 2 въезд\E33149364_6_20260122T161006Z.jpg</v>
      </c>
    </row>
    <row r="172" spans="1:13" x14ac:dyDescent="0.25">
      <c r="A172" t="s">
        <v>14</v>
      </c>
      <c r="B172" s="4">
        <v>45972</v>
      </c>
      <c r="C172" s="6">
        <v>0.45701388888888889</v>
      </c>
      <c r="D172" s="7" t="s">
        <v>159</v>
      </c>
      <c r="E172" t="s">
        <v>63</v>
      </c>
      <c r="F172" t="s">
        <v>51</v>
      </c>
      <c r="I172" s="8" t="s">
        <v>112</v>
      </c>
      <c r="J172" s="8" t="s">
        <v>2989</v>
      </c>
      <c r="K172" t="s">
        <v>146</v>
      </c>
      <c r="L172" t="s">
        <v>113</v>
      </c>
      <c r="M172" s="3" t="str">
        <f>HYPERLINK(СторонТрансп[[#This Row],[RelativePath]])</f>
        <v>2 Пилорама поката\E33149364_7_20251111T105806Z.jpg</v>
      </c>
    </row>
    <row r="173" spans="1:13" x14ac:dyDescent="0.25">
      <c r="A173" t="s">
        <v>15</v>
      </c>
      <c r="B173" s="4">
        <v>45987</v>
      </c>
      <c r="C173" s="6">
        <v>0.43495370370370373</v>
      </c>
      <c r="D173" s="7" t="s">
        <v>4198</v>
      </c>
      <c r="E173" t="s">
        <v>4192</v>
      </c>
      <c r="F173" t="s">
        <v>51</v>
      </c>
      <c r="I173" s="8" t="s">
        <v>3261</v>
      </c>
      <c r="J173" s="8" t="s">
        <v>2989</v>
      </c>
      <c r="K173" t="s">
        <v>3262</v>
      </c>
      <c r="L173" t="s">
        <v>3263</v>
      </c>
      <c r="M173" s="3" t="str">
        <f>HYPERLINK(СторонТрансп[[#This Row],[RelativePath]])</f>
        <v>2 Пилорама поката\E33149364_7_20251126T102620Z.jpg</v>
      </c>
    </row>
    <row r="174" spans="1:13" x14ac:dyDescent="0.25">
      <c r="A174" t="s">
        <v>17</v>
      </c>
      <c r="B174" s="4">
        <v>45989</v>
      </c>
      <c r="C174" s="6">
        <v>0.45557870370370368</v>
      </c>
      <c r="D174" s="7" t="s">
        <v>4202</v>
      </c>
      <c r="E174" t="s">
        <v>4193</v>
      </c>
      <c r="F174" t="s">
        <v>51</v>
      </c>
      <c r="I174" s="8" t="s">
        <v>3321</v>
      </c>
      <c r="J174" s="8" t="s">
        <v>2989</v>
      </c>
      <c r="K174" t="s">
        <v>3322</v>
      </c>
      <c r="L174" t="s">
        <v>3323</v>
      </c>
      <c r="M174" s="3" t="str">
        <f>HYPERLINK(СторонТрансп[[#This Row],[RelativePath]])</f>
        <v>2 Пилорама поката\E33149364_7_20251128T105602Z.jpg</v>
      </c>
    </row>
    <row r="175" spans="1:13" x14ac:dyDescent="0.25">
      <c r="A175" t="s">
        <v>17</v>
      </c>
      <c r="B175" s="4">
        <v>45989</v>
      </c>
      <c r="C175" s="6">
        <v>0.45584490740740741</v>
      </c>
      <c r="D175" s="7" t="s">
        <v>4202</v>
      </c>
      <c r="E175" t="s">
        <v>4193</v>
      </c>
      <c r="F175" t="s">
        <v>51</v>
      </c>
      <c r="H175" t="s">
        <v>2936</v>
      </c>
      <c r="I175" s="8" t="s">
        <v>3324</v>
      </c>
      <c r="J175" s="8" t="s">
        <v>2989</v>
      </c>
      <c r="K175" t="s">
        <v>3325</v>
      </c>
      <c r="L175" t="s">
        <v>3326</v>
      </c>
      <c r="M175" s="3" t="str">
        <f>HYPERLINK(СторонТрансп[[#This Row],[RelativePath]])</f>
        <v>2 Пилорама поката\E33149364_7_20251128T105625Z.jpg</v>
      </c>
    </row>
    <row r="176" spans="1:13" x14ac:dyDescent="0.25">
      <c r="A176" t="s">
        <v>17</v>
      </c>
      <c r="B176" s="4">
        <v>45989</v>
      </c>
      <c r="C176" s="6">
        <v>0.49850694444444443</v>
      </c>
      <c r="D176" s="7" t="s">
        <v>4202</v>
      </c>
      <c r="E176" t="s">
        <v>4193</v>
      </c>
      <c r="F176" t="s">
        <v>51</v>
      </c>
      <c r="H176" t="s">
        <v>2936</v>
      </c>
      <c r="I176" s="8" t="s">
        <v>3327</v>
      </c>
      <c r="J176" s="8" t="s">
        <v>2989</v>
      </c>
      <c r="K176" t="s">
        <v>3328</v>
      </c>
      <c r="L176" t="s">
        <v>3329</v>
      </c>
      <c r="M176" s="3" t="str">
        <f>HYPERLINK(СторонТрансп[[#This Row],[RelativePath]])</f>
        <v>2 Пилорама поката\E33149364_7_20251128T115751Z.jpg</v>
      </c>
    </row>
    <row r="177" spans="1:13" x14ac:dyDescent="0.25">
      <c r="A177" t="s">
        <v>17</v>
      </c>
      <c r="B177" s="4">
        <v>45989</v>
      </c>
      <c r="C177" s="6">
        <v>0.50651620370370365</v>
      </c>
      <c r="D177" s="7" t="s">
        <v>4201</v>
      </c>
      <c r="E177" t="s">
        <v>4193</v>
      </c>
      <c r="I177" s="8" t="s">
        <v>3330</v>
      </c>
      <c r="J177" s="8" t="s">
        <v>2989</v>
      </c>
      <c r="K177" t="s">
        <v>3331</v>
      </c>
      <c r="L177" t="s">
        <v>3332</v>
      </c>
      <c r="M177" s="3" t="str">
        <f>HYPERLINK(СторонТрансп[[#This Row],[RelativePath]])</f>
        <v>2 Пилорама поката\E33149364_7_20251128T120923Z.jpg</v>
      </c>
    </row>
    <row r="178" spans="1:13" x14ac:dyDescent="0.25">
      <c r="A178" t="s">
        <v>13</v>
      </c>
      <c r="B178" s="4">
        <v>45999</v>
      </c>
      <c r="C178" s="6">
        <v>0.59916666666666663</v>
      </c>
      <c r="D178" s="7" t="s">
        <v>4</v>
      </c>
      <c r="E178" t="s">
        <v>4193</v>
      </c>
      <c r="F178" t="s">
        <v>5076</v>
      </c>
      <c r="I178" s="8" t="s">
        <v>5282</v>
      </c>
      <c r="J178" s="8" t="s">
        <v>2989</v>
      </c>
      <c r="K178" t="s">
        <v>5283</v>
      </c>
      <c r="L178" t="s">
        <v>5284</v>
      </c>
      <c r="M178" s="3" t="str">
        <f>HYPERLINK(СторонТрансп[[#This Row],[RelativePath]])</f>
        <v>2 Пилорама поката\E33149364_7_20251208T142248Z.jpg</v>
      </c>
    </row>
    <row r="179" spans="1:13" x14ac:dyDescent="0.25">
      <c r="A179" t="s">
        <v>13</v>
      </c>
      <c r="B179" s="4">
        <v>45999</v>
      </c>
      <c r="C179" s="6">
        <v>0.6244791666666667</v>
      </c>
      <c r="D179" s="7" t="s">
        <v>4</v>
      </c>
      <c r="E179" t="s">
        <v>4193</v>
      </c>
      <c r="F179" t="s">
        <v>5076</v>
      </c>
      <c r="H179" t="s">
        <v>5474</v>
      </c>
      <c r="I179" s="8" t="s">
        <v>5269</v>
      </c>
      <c r="J179" s="8" t="s">
        <v>2989</v>
      </c>
      <c r="K179" t="s">
        <v>5270</v>
      </c>
      <c r="L179" t="s">
        <v>5271</v>
      </c>
      <c r="M179" s="3" t="str">
        <f>HYPERLINK(СторонТрансп[[#This Row],[RelativePath]])</f>
        <v>2 Пилорама поката\E33149364_7_20251208T145915Z.jpg</v>
      </c>
    </row>
    <row r="180" spans="1:13" x14ac:dyDescent="0.25">
      <c r="A180" t="s">
        <v>13</v>
      </c>
      <c r="B180" s="4">
        <v>45999</v>
      </c>
      <c r="C180" s="6">
        <v>0.66174768518518523</v>
      </c>
      <c r="D180" s="7" t="s">
        <v>4</v>
      </c>
      <c r="E180" t="s">
        <v>5475</v>
      </c>
      <c r="F180" t="s">
        <v>5076</v>
      </c>
      <c r="H180" t="s">
        <v>5474</v>
      </c>
      <c r="I180" s="8" t="s">
        <v>5291</v>
      </c>
      <c r="J180" s="8" t="s">
        <v>2989</v>
      </c>
      <c r="K180" t="s">
        <v>5292</v>
      </c>
      <c r="L180" t="s">
        <v>5293</v>
      </c>
      <c r="M180" s="3" t="str">
        <f>HYPERLINK(СторонТрансп[[#This Row],[RelativePath]])</f>
        <v>2 Пилорама поката\E33149364_7_20251208T155255Z.jpg</v>
      </c>
    </row>
    <row r="181" spans="1:13" x14ac:dyDescent="0.25">
      <c r="A181" t="s">
        <v>14</v>
      </c>
      <c r="B181" s="4">
        <v>46000</v>
      </c>
      <c r="C181" s="6">
        <v>0.43395833333333333</v>
      </c>
      <c r="D181" s="7" t="s">
        <v>1606</v>
      </c>
      <c r="E181" t="s">
        <v>4193</v>
      </c>
      <c r="F181" t="s">
        <v>5076</v>
      </c>
      <c r="I181" s="8" t="s">
        <v>5509</v>
      </c>
      <c r="J181" s="8" t="s">
        <v>2989</v>
      </c>
      <c r="K181" t="s">
        <v>5510</v>
      </c>
      <c r="L181" t="s">
        <v>5511</v>
      </c>
      <c r="M181" s="3" t="str">
        <f>HYPERLINK(СторонТрансп[[#This Row],[RelativePath]])</f>
        <v>2 Пилорама поката\E33149364_7_20251209T102454Z.jpg</v>
      </c>
    </row>
    <row r="182" spans="1:13" x14ac:dyDescent="0.25">
      <c r="A182" t="s">
        <v>14</v>
      </c>
      <c r="B182" s="4">
        <v>46000</v>
      </c>
      <c r="C182" s="6">
        <v>0.43410879629629628</v>
      </c>
      <c r="D182" s="7" t="s">
        <v>6171</v>
      </c>
      <c r="E182" t="s">
        <v>4193</v>
      </c>
      <c r="F182" t="s">
        <v>5076</v>
      </c>
      <c r="H182" t="s">
        <v>5474</v>
      </c>
      <c r="I182" s="8" t="s">
        <v>5512</v>
      </c>
      <c r="J182" s="8" t="s">
        <v>2989</v>
      </c>
      <c r="K182" t="s">
        <v>5513</v>
      </c>
      <c r="L182" t="s">
        <v>5514</v>
      </c>
      <c r="M182" s="3" t="str">
        <f>HYPERLINK(СторонТрансп[[#This Row],[RelativePath]])</f>
        <v>2 Пилорама поката\E33149364_7_20251209T102507Z.jpg</v>
      </c>
    </row>
    <row r="183" spans="1:13" x14ac:dyDescent="0.25">
      <c r="A183" t="s">
        <v>14</v>
      </c>
      <c r="B183" s="4">
        <v>46000</v>
      </c>
      <c r="C183" s="6">
        <v>0.63540509259259259</v>
      </c>
      <c r="D183" s="7" t="s">
        <v>1606</v>
      </c>
      <c r="E183" t="s">
        <v>4193</v>
      </c>
      <c r="F183" t="s">
        <v>5076</v>
      </c>
      <c r="I183" s="8" t="s">
        <v>5515</v>
      </c>
      <c r="J183" s="8" t="s">
        <v>2989</v>
      </c>
      <c r="K183" t="s">
        <v>5516</v>
      </c>
      <c r="L183" t="s">
        <v>5517</v>
      </c>
      <c r="M183" s="3" t="str">
        <f>HYPERLINK(СторонТрансп[[#This Row],[RelativePath]])</f>
        <v>2 Пилорама поката\E33149364_7_20251209T151459Z.jpg</v>
      </c>
    </row>
    <row r="184" spans="1:13" x14ac:dyDescent="0.25">
      <c r="A184" t="s">
        <v>14</v>
      </c>
      <c r="B184" s="4">
        <v>46000</v>
      </c>
      <c r="C184" s="6">
        <v>0.6868171296296296</v>
      </c>
      <c r="D184" s="7" t="s">
        <v>6171</v>
      </c>
      <c r="E184" t="s">
        <v>4193</v>
      </c>
      <c r="F184" t="s">
        <v>5076</v>
      </c>
      <c r="H184" t="s">
        <v>5474</v>
      </c>
      <c r="I184" s="8" t="s">
        <v>5518</v>
      </c>
      <c r="J184" s="8" t="s">
        <v>2989</v>
      </c>
      <c r="K184" t="s">
        <v>5519</v>
      </c>
      <c r="L184" t="s">
        <v>5520</v>
      </c>
      <c r="M184" s="3" t="str">
        <f>HYPERLINK(СторонТрансп[[#This Row],[RelativePath]])</f>
        <v>2 Пилорама поката\E33149364_7_20251209T162901Z.jpg</v>
      </c>
    </row>
    <row r="185" spans="1:13" x14ac:dyDescent="0.25">
      <c r="A185" t="s">
        <v>15</v>
      </c>
      <c r="B185" s="4">
        <v>46001</v>
      </c>
      <c r="C185" s="6">
        <v>0.53289351851851852</v>
      </c>
      <c r="D185" s="7" t="s">
        <v>1606</v>
      </c>
      <c r="E185" t="s">
        <v>4193</v>
      </c>
      <c r="F185" t="s">
        <v>5076</v>
      </c>
      <c r="I185" s="8" t="s">
        <v>5533</v>
      </c>
      <c r="J185" s="8" t="s">
        <v>2989</v>
      </c>
      <c r="K185" t="s">
        <v>5534</v>
      </c>
      <c r="L185" t="s">
        <v>5535</v>
      </c>
      <c r="M185" s="3" t="str">
        <f>HYPERLINK(СторонТрансп[[#This Row],[RelativePath]])</f>
        <v>2 Пилорама поката\E33149364_7_20251210T124722Z.jpg</v>
      </c>
    </row>
    <row r="186" spans="1:13" x14ac:dyDescent="0.25">
      <c r="A186" t="s">
        <v>15</v>
      </c>
      <c r="B186" s="4">
        <v>46001</v>
      </c>
      <c r="C186" s="6">
        <v>0.57746527777777779</v>
      </c>
      <c r="D186" s="7" t="s">
        <v>6171</v>
      </c>
      <c r="E186" t="s">
        <v>4193</v>
      </c>
      <c r="F186" t="s">
        <v>5076</v>
      </c>
      <c r="H186" t="s">
        <v>5474</v>
      </c>
      <c r="I186" s="8" t="s">
        <v>5536</v>
      </c>
      <c r="J186" s="8" t="s">
        <v>2989</v>
      </c>
      <c r="K186" t="s">
        <v>5537</v>
      </c>
      <c r="L186" t="s">
        <v>5538</v>
      </c>
      <c r="M186" s="3" t="str">
        <f>HYPERLINK(СторонТрансп[[#This Row],[RelativePath]])</f>
        <v>2 Пилорама поката\E33149364_7_20251210T135133Z.jpg</v>
      </c>
    </row>
    <row r="187" spans="1:13" x14ac:dyDescent="0.25">
      <c r="A187" t="s">
        <v>13</v>
      </c>
      <c r="B187" s="4">
        <v>46006</v>
      </c>
      <c r="C187" s="6">
        <v>0.4377199074074074</v>
      </c>
      <c r="D187" s="7" t="s">
        <v>1606</v>
      </c>
      <c r="E187" t="s">
        <v>4193</v>
      </c>
      <c r="F187" t="s">
        <v>5076</v>
      </c>
      <c r="I187" s="8" t="s">
        <v>6290</v>
      </c>
      <c r="J187" s="8" t="s">
        <v>2989</v>
      </c>
      <c r="K187" t="s">
        <v>6291</v>
      </c>
      <c r="L187" t="s">
        <v>6292</v>
      </c>
      <c r="M187" s="3" t="str">
        <f>HYPERLINK(СторонТрансп[[#This Row],[RelativePath]])</f>
        <v>2 Пилорама поката\E33149364_7_20251215T103019Z.jpg</v>
      </c>
    </row>
    <row r="188" spans="1:13" x14ac:dyDescent="0.25">
      <c r="A188" t="s">
        <v>13</v>
      </c>
      <c r="B188" s="4">
        <v>46006</v>
      </c>
      <c r="C188" s="6">
        <v>0.44763888888888886</v>
      </c>
      <c r="D188" s="7" t="s">
        <v>6171</v>
      </c>
      <c r="E188" t="s">
        <v>4193</v>
      </c>
      <c r="F188" t="s">
        <v>5076</v>
      </c>
      <c r="H188" t="s">
        <v>5474</v>
      </c>
      <c r="I188" s="8" t="s">
        <v>6293</v>
      </c>
      <c r="J188" s="8" t="s">
        <v>2989</v>
      </c>
      <c r="K188" t="s">
        <v>6294</v>
      </c>
      <c r="L188" t="s">
        <v>6295</v>
      </c>
      <c r="M188" s="3" t="str">
        <f>HYPERLINK(СторонТрансп[[#This Row],[RelativePath]])</f>
        <v>2 Пилорама поката\E33149364_7_20251215T104436Z.jpg</v>
      </c>
    </row>
    <row r="189" spans="1:13" x14ac:dyDescent="0.25">
      <c r="A189" t="s">
        <v>13</v>
      </c>
      <c r="B189" s="4">
        <v>46006</v>
      </c>
      <c r="C189" s="6">
        <v>0.54278935185185184</v>
      </c>
      <c r="D189" s="7" t="s">
        <v>650</v>
      </c>
      <c r="E189" t="s">
        <v>4193</v>
      </c>
      <c r="F189" t="s">
        <v>5076</v>
      </c>
      <c r="I189" s="8" t="s">
        <v>6297</v>
      </c>
      <c r="J189" s="8" t="s">
        <v>2989</v>
      </c>
      <c r="K189" t="s">
        <v>6298</v>
      </c>
      <c r="L189" t="s">
        <v>6299</v>
      </c>
      <c r="M189" s="3" t="str">
        <f>HYPERLINK(СторонТрансп[[#This Row],[RelativePath]])</f>
        <v>2 Пилорама поката\E33149364_7_20251215T130137Z.jpg</v>
      </c>
    </row>
    <row r="190" spans="1:13" x14ac:dyDescent="0.25">
      <c r="A190" t="s">
        <v>14</v>
      </c>
      <c r="B190" s="4">
        <v>46007</v>
      </c>
      <c r="C190" s="6">
        <v>0.49843749999999998</v>
      </c>
      <c r="D190" s="7" t="s">
        <v>6171</v>
      </c>
      <c r="E190" t="s">
        <v>4193</v>
      </c>
      <c r="F190" t="s">
        <v>5076</v>
      </c>
      <c r="H190" t="s">
        <v>5474</v>
      </c>
      <c r="I190" s="8" t="s">
        <v>6551</v>
      </c>
      <c r="J190" s="8" t="s">
        <v>2989</v>
      </c>
      <c r="K190" t="s">
        <v>6552</v>
      </c>
      <c r="L190" t="s">
        <v>6553</v>
      </c>
      <c r="M190" s="3" t="str">
        <f>HYPERLINK(СторонТрансп[[#This Row],[RelativePath]])</f>
        <v>2 Пилорама поката\E33149364_7_20251216T115745Z.jpg</v>
      </c>
    </row>
    <row r="191" spans="1:13" x14ac:dyDescent="0.25">
      <c r="A191" t="s">
        <v>14</v>
      </c>
      <c r="B191" s="4">
        <v>46007</v>
      </c>
      <c r="C191" s="6">
        <v>0.58371527777777776</v>
      </c>
      <c r="D191" s="7" t="s">
        <v>650</v>
      </c>
      <c r="E191" t="s">
        <v>4193</v>
      </c>
      <c r="F191" t="s">
        <v>5076</v>
      </c>
      <c r="I191" s="8" t="s">
        <v>6554</v>
      </c>
      <c r="J191" s="8" t="s">
        <v>2989</v>
      </c>
      <c r="K191" t="s">
        <v>6555</v>
      </c>
      <c r="L191" t="s">
        <v>6556</v>
      </c>
      <c r="M191" s="3" t="str">
        <f>HYPERLINK(СторонТрансп[[#This Row],[RelativePath]])</f>
        <v>2 Пилорама поката\E33149364_7_20251216T140033Z.jpg</v>
      </c>
    </row>
    <row r="192" spans="1:13" x14ac:dyDescent="0.25">
      <c r="A192" t="s">
        <v>16</v>
      </c>
      <c r="B192" s="4">
        <v>46009</v>
      </c>
      <c r="C192" s="6">
        <v>0.51219907407407406</v>
      </c>
      <c r="D192" s="7" t="s">
        <v>1606</v>
      </c>
      <c r="E192" t="s">
        <v>4193</v>
      </c>
      <c r="F192" t="s">
        <v>5076</v>
      </c>
      <c r="I192" s="8" t="s">
        <v>6694</v>
      </c>
      <c r="J192" s="8" t="s">
        <v>2989</v>
      </c>
      <c r="K192" t="s">
        <v>6695</v>
      </c>
      <c r="L192" t="s">
        <v>6696</v>
      </c>
      <c r="M192" s="3" t="str">
        <f>HYPERLINK(СторонТрансп[[#This Row],[RelativePath]])</f>
        <v>2 Пилорама поката\E33149364_7_20251218T121734Z.jpg</v>
      </c>
    </row>
    <row r="193" spans="1:13" x14ac:dyDescent="0.25">
      <c r="A193" t="s">
        <v>16</v>
      </c>
      <c r="B193" s="4">
        <v>46009</v>
      </c>
      <c r="C193" s="6">
        <v>0.51600694444444439</v>
      </c>
      <c r="D193" s="7" t="s">
        <v>6171</v>
      </c>
      <c r="E193" t="s">
        <v>4193</v>
      </c>
      <c r="F193" t="s">
        <v>5076</v>
      </c>
      <c r="H193" t="s">
        <v>5474</v>
      </c>
      <c r="I193" s="8" t="s">
        <v>6697</v>
      </c>
      <c r="J193" s="8" t="s">
        <v>2989</v>
      </c>
      <c r="K193" t="s">
        <v>6698</v>
      </c>
      <c r="L193" t="s">
        <v>6699</v>
      </c>
      <c r="M193" s="3" t="str">
        <f>HYPERLINK(СторонТрансп[[#This Row],[RelativePath]])</f>
        <v>2 Пилорама поката\E33149364_7_20251218T122303Z.jpg</v>
      </c>
    </row>
    <row r="194" spans="1:13" x14ac:dyDescent="0.25">
      <c r="A194" t="s">
        <v>16</v>
      </c>
      <c r="B194" s="4">
        <v>46009</v>
      </c>
      <c r="C194" s="6">
        <v>0.61460648148148145</v>
      </c>
      <c r="D194" s="7" t="s">
        <v>650</v>
      </c>
      <c r="E194" t="s">
        <v>4193</v>
      </c>
      <c r="F194" t="s">
        <v>5076</v>
      </c>
      <c r="I194" s="8" t="s">
        <v>6700</v>
      </c>
      <c r="J194" s="8" t="s">
        <v>2989</v>
      </c>
      <c r="K194" t="s">
        <v>6701</v>
      </c>
      <c r="L194" t="s">
        <v>6702</v>
      </c>
      <c r="M194" s="3" t="str">
        <f>HYPERLINK(СторонТрансп[[#This Row],[RelativePath]])</f>
        <v>2 Пилорама поката\E33149364_7_20251218T144502Z.jpg</v>
      </c>
    </row>
    <row r="195" spans="1:13" x14ac:dyDescent="0.25">
      <c r="A195" t="s">
        <v>13</v>
      </c>
      <c r="B195" s="4">
        <v>46013</v>
      </c>
      <c r="C195" s="6">
        <v>0.46530092592592592</v>
      </c>
      <c r="D195" s="7" t="s">
        <v>1606</v>
      </c>
      <c r="E195" t="s">
        <v>4193</v>
      </c>
      <c r="F195" t="s">
        <v>5076</v>
      </c>
      <c r="I195" s="8" t="s">
        <v>7218</v>
      </c>
      <c r="J195" s="8" t="s">
        <v>2989</v>
      </c>
      <c r="K195" t="s">
        <v>7219</v>
      </c>
      <c r="L195" t="s">
        <v>7220</v>
      </c>
      <c r="M195" s="3" t="str">
        <f>HYPERLINK(СторонТрансп[[#This Row],[RelativePath]])</f>
        <v>2 Пилорама поката\E33149364_7_20251222T111002Z.jpg</v>
      </c>
    </row>
    <row r="196" spans="1:13" x14ac:dyDescent="0.25">
      <c r="A196" t="s">
        <v>13</v>
      </c>
      <c r="B196" s="4">
        <v>46013</v>
      </c>
      <c r="C196" s="6">
        <v>0.54984953703703698</v>
      </c>
      <c r="D196" s="7" t="s">
        <v>650</v>
      </c>
      <c r="E196" t="s">
        <v>4193</v>
      </c>
      <c r="F196" t="s">
        <v>5076</v>
      </c>
      <c r="I196" s="8" t="s">
        <v>7221</v>
      </c>
      <c r="J196" s="8" t="s">
        <v>2989</v>
      </c>
      <c r="K196" t="s">
        <v>7222</v>
      </c>
      <c r="L196" t="s">
        <v>7223</v>
      </c>
      <c r="M196" s="3" t="str">
        <f>HYPERLINK(СторонТрансп[[#This Row],[RelativePath]])</f>
        <v>2 Пилорама поката\E33149364_7_20251222T131147Z.jpg</v>
      </c>
    </row>
    <row r="197" spans="1:13" x14ac:dyDescent="0.25">
      <c r="A197" t="s">
        <v>18</v>
      </c>
      <c r="B197" s="4">
        <v>46018</v>
      </c>
      <c r="C197" s="6">
        <v>0.43297453703703703</v>
      </c>
      <c r="D197" s="7" t="s">
        <v>1606</v>
      </c>
      <c r="E197" t="s">
        <v>4193</v>
      </c>
      <c r="F197" t="s">
        <v>5076</v>
      </c>
      <c r="I197" s="8" t="s">
        <v>7872</v>
      </c>
      <c r="J197" s="8" t="s">
        <v>2989</v>
      </c>
      <c r="K197" t="s">
        <v>7873</v>
      </c>
      <c r="L197" t="s">
        <v>7874</v>
      </c>
      <c r="M197" s="3" t="str">
        <f>HYPERLINK(СторонТрансп[[#This Row],[RelativePath]])</f>
        <v>2 Пилорама поката\E33149364_7_20251227T102329Z.jpg</v>
      </c>
    </row>
    <row r="198" spans="1:13" x14ac:dyDescent="0.25">
      <c r="A198" t="s">
        <v>18</v>
      </c>
      <c r="B198" s="4">
        <v>46018</v>
      </c>
      <c r="C198" s="6">
        <v>0.44199074074074074</v>
      </c>
      <c r="D198" s="7" t="s">
        <v>6171</v>
      </c>
      <c r="E198" t="s">
        <v>4193</v>
      </c>
      <c r="F198" t="s">
        <v>5076</v>
      </c>
      <c r="H198" t="s">
        <v>5474</v>
      </c>
      <c r="I198" s="8" t="s">
        <v>7875</v>
      </c>
      <c r="J198" s="8" t="s">
        <v>2989</v>
      </c>
      <c r="K198" t="s">
        <v>7876</v>
      </c>
      <c r="L198" t="s">
        <v>7877</v>
      </c>
      <c r="M198" s="3" t="str">
        <f>HYPERLINK(СторонТрансп[[#This Row],[RelativePath]])</f>
        <v>2 Пилорама поката\E33149364_7_20251227T103628Z.jpg</v>
      </c>
    </row>
    <row r="199" spans="1:13" x14ac:dyDescent="0.25">
      <c r="A199" t="s">
        <v>18</v>
      </c>
      <c r="B199" s="4">
        <v>46018</v>
      </c>
      <c r="C199" s="6">
        <v>0.5803356481481482</v>
      </c>
      <c r="D199" s="7" t="s">
        <v>650</v>
      </c>
      <c r="E199" t="s">
        <v>4193</v>
      </c>
      <c r="F199" t="s">
        <v>5076</v>
      </c>
      <c r="I199" s="8" t="s">
        <v>7878</v>
      </c>
      <c r="J199" s="8" t="s">
        <v>2989</v>
      </c>
      <c r="K199" t="s">
        <v>7879</v>
      </c>
      <c r="L199" t="s">
        <v>7880</v>
      </c>
      <c r="M199" s="3" t="str">
        <f>HYPERLINK(СторонТрансп[[#This Row],[RelativePath]])</f>
        <v>2 Пилорама поката\E33149364_7_20251227T135541Z.jpg</v>
      </c>
    </row>
    <row r="200" spans="1:13" x14ac:dyDescent="0.25">
      <c r="A200" t="s">
        <v>22</v>
      </c>
      <c r="B200" s="4">
        <v>46019</v>
      </c>
      <c r="C200" s="6">
        <v>0.59177083333333336</v>
      </c>
      <c r="D200" s="7" t="s">
        <v>1606</v>
      </c>
      <c r="E200" t="s">
        <v>4193</v>
      </c>
      <c r="F200" t="s">
        <v>5076</v>
      </c>
      <c r="I200" s="8" t="s">
        <v>7884</v>
      </c>
      <c r="J200" s="8" t="s">
        <v>2989</v>
      </c>
      <c r="K200" t="s">
        <v>7885</v>
      </c>
      <c r="L200" t="s">
        <v>7886</v>
      </c>
      <c r="M200" s="3" t="str">
        <f>HYPERLINK(СторонТрансп[[#This Row],[RelativePath]])</f>
        <v>2 Пилорама поката\E33149364_7_20251228T141209Z.jpg</v>
      </c>
    </row>
    <row r="201" spans="1:13" x14ac:dyDescent="0.25">
      <c r="A201" t="s">
        <v>22</v>
      </c>
      <c r="B201" s="4">
        <v>46019</v>
      </c>
      <c r="C201" s="6">
        <v>0.64005787037037032</v>
      </c>
      <c r="D201" s="7" t="s">
        <v>650</v>
      </c>
      <c r="E201" t="s">
        <v>4193</v>
      </c>
      <c r="F201" t="s">
        <v>5076</v>
      </c>
      <c r="I201" s="8" t="s">
        <v>7887</v>
      </c>
      <c r="J201" s="8" t="s">
        <v>2989</v>
      </c>
      <c r="K201" t="s">
        <v>7888</v>
      </c>
      <c r="L201" t="s">
        <v>7889</v>
      </c>
      <c r="M201" s="3" t="str">
        <f>HYPERLINK(СторонТрансп[[#This Row],[RelativePath]])</f>
        <v>2 Пилорама поката\E33149364_7_20251228T152141Z.jpg</v>
      </c>
    </row>
    <row r="202" spans="1:13" x14ac:dyDescent="0.25">
      <c r="A202" t="s">
        <v>15</v>
      </c>
      <c r="B202" s="4">
        <v>46036</v>
      </c>
      <c r="C202" s="6">
        <v>0.50626157407407413</v>
      </c>
      <c r="D202" s="7" t="s">
        <v>1606</v>
      </c>
      <c r="E202" t="s">
        <v>4193</v>
      </c>
      <c r="I202" s="8" t="s">
        <v>9213</v>
      </c>
      <c r="J202" s="8" t="s">
        <v>2989</v>
      </c>
      <c r="K202" t="s">
        <v>9214</v>
      </c>
      <c r="L202" t="s">
        <v>9215</v>
      </c>
      <c r="M202" s="3" t="str">
        <f>HYPERLINK(СторонТрансп[[#This Row],[RelativePath]])</f>
        <v>2 Пилорама поката\E33149364_7_20260114T120901Z.jpg</v>
      </c>
    </row>
    <row r="203" spans="1:13" x14ac:dyDescent="0.25">
      <c r="A203" t="s">
        <v>15</v>
      </c>
      <c r="B203" s="4">
        <v>46036</v>
      </c>
      <c r="C203" s="6">
        <v>0.51443287037037033</v>
      </c>
      <c r="D203" s="7" t="s">
        <v>9337</v>
      </c>
      <c r="E203" t="s">
        <v>4193</v>
      </c>
      <c r="I203" s="8" t="s">
        <v>9216</v>
      </c>
      <c r="J203" s="8" t="s">
        <v>2989</v>
      </c>
      <c r="K203" t="s">
        <v>9217</v>
      </c>
      <c r="L203" t="s">
        <v>9218</v>
      </c>
      <c r="M203" s="3" t="str">
        <f>HYPERLINK(СторонТрансп[[#This Row],[RelativePath]])</f>
        <v>2 Пилорама поката\E33149364_7_20260114T122047Z.jpg</v>
      </c>
    </row>
    <row r="204" spans="1:13" x14ac:dyDescent="0.25">
      <c r="A204" t="s">
        <v>15</v>
      </c>
      <c r="B204" s="4">
        <v>46036</v>
      </c>
      <c r="C204" s="6">
        <v>0.59844907407407411</v>
      </c>
      <c r="D204" s="7" t="s">
        <v>9337</v>
      </c>
      <c r="E204" t="s">
        <v>4193</v>
      </c>
      <c r="H204" t="s">
        <v>9338</v>
      </c>
      <c r="I204" s="8" t="s">
        <v>9219</v>
      </c>
      <c r="J204" s="8" t="s">
        <v>2989</v>
      </c>
      <c r="K204" t="s">
        <v>9220</v>
      </c>
      <c r="L204" t="s">
        <v>9221</v>
      </c>
      <c r="M204" s="3" t="str">
        <f>HYPERLINK(СторонТрансп[[#This Row],[RelativePath]])</f>
        <v>2 Пилорама поката\E33149364_7_20260114T142146Z.jpg</v>
      </c>
    </row>
    <row r="205" spans="1:13" x14ac:dyDescent="0.25">
      <c r="A205" t="s">
        <v>15</v>
      </c>
      <c r="B205" s="4">
        <v>46036</v>
      </c>
      <c r="C205" s="6">
        <v>0.68151620370370369</v>
      </c>
      <c r="D205" s="7" t="s">
        <v>9337</v>
      </c>
      <c r="E205" t="s">
        <v>4193</v>
      </c>
      <c r="F205" t="s">
        <v>9339</v>
      </c>
      <c r="H205" t="s">
        <v>9340</v>
      </c>
      <c r="I205" s="8" t="s">
        <v>9222</v>
      </c>
      <c r="J205" s="8" t="s">
        <v>2989</v>
      </c>
      <c r="K205" t="s">
        <v>9223</v>
      </c>
      <c r="L205" t="s">
        <v>9224</v>
      </c>
      <c r="M205" s="3" t="str">
        <f>HYPERLINK(СторонТрансп[[#This Row],[RelativePath]])</f>
        <v>2 Пилорама поката\E33149364_7_20260114T162123Z.jpg</v>
      </c>
    </row>
    <row r="206" spans="1:13" x14ac:dyDescent="0.25">
      <c r="A206" t="s">
        <v>15</v>
      </c>
      <c r="B206" s="4">
        <v>46036</v>
      </c>
      <c r="C206" s="6">
        <v>0.70737268518518515</v>
      </c>
      <c r="D206" s="7" t="s">
        <v>650</v>
      </c>
      <c r="E206" t="s">
        <v>4193</v>
      </c>
      <c r="I206" s="8" t="s">
        <v>9225</v>
      </c>
      <c r="J206" s="8" t="s">
        <v>2989</v>
      </c>
      <c r="K206" t="s">
        <v>9226</v>
      </c>
      <c r="L206" t="s">
        <v>9227</v>
      </c>
      <c r="M206" s="3" t="str">
        <f>HYPERLINK(СторонТрансп[[#This Row],[RelativePath]])</f>
        <v>2 Пилорама поката\E33149364_7_20260114T165837Z.jpg</v>
      </c>
    </row>
    <row r="207" spans="1:13" x14ac:dyDescent="0.25">
      <c r="A207" t="s">
        <v>16</v>
      </c>
      <c r="B207" s="4">
        <v>46044</v>
      </c>
      <c r="C207" s="6">
        <v>0.51006944444444446</v>
      </c>
      <c r="D207" s="7" t="s">
        <v>1606</v>
      </c>
      <c r="E207" t="s">
        <v>4193</v>
      </c>
      <c r="H207" t="s">
        <v>5474</v>
      </c>
      <c r="I207" s="8" t="s">
        <v>9921</v>
      </c>
      <c r="J207" s="8" t="s">
        <v>2989</v>
      </c>
      <c r="K207" t="s">
        <v>9922</v>
      </c>
      <c r="L207" t="s">
        <v>9923</v>
      </c>
      <c r="M207" s="3" t="str">
        <f>HYPERLINK(СторонТрансп[[#This Row],[RelativePath]])</f>
        <v>2 Пилорама поката\E33149364_7_20260122T121430Z.jpg</v>
      </c>
    </row>
    <row r="208" spans="1:13" x14ac:dyDescent="0.25">
      <c r="A208" t="s">
        <v>16</v>
      </c>
      <c r="B208" s="4">
        <v>46044</v>
      </c>
      <c r="C208" s="6">
        <v>0.52622685185185181</v>
      </c>
      <c r="D208" s="7" t="s">
        <v>650</v>
      </c>
      <c r="E208" t="s">
        <v>4193</v>
      </c>
      <c r="I208" s="8" t="s">
        <v>9924</v>
      </c>
      <c r="J208" s="8" t="s">
        <v>2989</v>
      </c>
      <c r="K208" t="s">
        <v>9925</v>
      </c>
      <c r="L208" t="s">
        <v>9926</v>
      </c>
      <c r="M208" s="3" t="str">
        <f>HYPERLINK(СторонТрансп[[#This Row],[RelativePath]])</f>
        <v>2 Пилорама поката\E33149364_7_20260122T123746Z.jpg</v>
      </c>
    </row>
    <row r="209" spans="1:13" x14ac:dyDescent="0.25">
      <c r="A209" t="s">
        <v>15</v>
      </c>
      <c r="B209" s="4">
        <v>45973</v>
      </c>
      <c r="C209" s="6">
        <v>0.6857523148148148</v>
      </c>
      <c r="D209" s="7" t="s">
        <v>289</v>
      </c>
      <c r="E209" t="s">
        <v>66</v>
      </c>
      <c r="F209" t="s">
        <v>288</v>
      </c>
      <c r="I209" s="8" t="s">
        <v>249</v>
      </c>
      <c r="J209" s="8" t="s">
        <v>2990</v>
      </c>
      <c r="K209" t="s">
        <v>250</v>
      </c>
      <c r="L209" t="s">
        <v>251</v>
      </c>
      <c r="M209" s="3" t="str">
        <f>HYPERLINK(СторонТрансп[[#This Row],[RelativePath]])</f>
        <v>3 Въезд на базу\E33149364_8_20251112T162729Z.jpg</v>
      </c>
    </row>
    <row r="210" spans="1:13" x14ac:dyDescent="0.25">
      <c r="A210" t="s">
        <v>17</v>
      </c>
      <c r="B210" s="4">
        <v>45975</v>
      </c>
      <c r="C210" s="6">
        <v>0.5526388888888889</v>
      </c>
      <c r="D210" s="7" t="s">
        <v>290</v>
      </c>
      <c r="E210" t="s">
        <v>66</v>
      </c>
      <c r="F210" t="s">
        <v>88</v>
      </c>
      <c r="I210" s="8" t="s">
        <v>279</v>
      </c>
      <c r="J210" s="8" t="s">
        <v>2990</v>
      </c>
      <c r="K210" t="s">
        <v>280</v>
      </c>
      <c r="L210" t="s">
        <v>281</v>
      </c>
      <c r="M210" s="3" t="str">
        <f>HYPERLINK(СторонТрансп[[#This Row],[RelativePath]])</f>
        <v>3 Въезд на базу\E33149364_8_20251114T131548Z.jpg</v>
      </c>
    </row>
    <row r="211" spans="1:13" x14ac:dyDescent="0.25">
      <c r="A211" t="s">
        <v>15</v>
      </c>
      <c r="B211" s="4">
        <v>45987</v>
      </c>
      <c r="C211" s="6">
        <v>0.45251157407407405</v>
      </c>
      <c r="D211" s="7" t="s">
        <v>4</v>
      </c>
      <c r="E211" t="s">
        <v>4192</v>
      </c>
      <c r="F211" t="s">
        <v>58</v>
      </c>
      <c r="I211" s="8" t="s">
        <v>3354</v>
      </c>
      <c r="J211" s="8" t="s">
        <v>2990</v>
      </c>
      <c r="K211" t="s">
        <v>3355</v>
      </c>
      <c r="L211" t="s">
        <v>3356</v>
      </c>
      <c r="M211" s="3" t="str">
        <f>HYPERLINK(СторонТрансп[[#This Row],[RelativePath]])</f>
        <v>3 Въезд на базу\E33149364_8_20251126T105137Z.jpg</v>
      </c>
    </row>
    <row r="212" spans="1:13" x14ac:dyDescent="0.25">
      <c r="A212" t="s">
        <v>18</v>
      </c>
      <c r="B212" s="4">
        <v>45990</v>
      </c>
      <c r="C212" s="6">
        <v>0.71567129629629633</v>
      </c>
      <c r="D212" s="7" t="s">
        <v>4</v>
      </c>
      <c r="E212" t="s">
        <v>4194</v>
      </c>
      <c r="F212" t="s">
        <v>4196</v>
      </c>
      <c r="I212" s="8" t="s">
        <v>3378</v>
      </c>
      <c r="J212" s="8" t="s">
        <v>2990</v>
      </c>
      <c r="K212" t="s">
        <v>3379</v>
      </c>
      <c r="L212" t="s">
        <v>3380</v>
      </c>
      <c r="M212" s="3" t="str">
        <f>HYPERLINK(СторонТрансп[[#This Row],[RelativePath]])</f>
        <v>3 Въезд на базу\E33149364_8_20251129T171034Z.jpg</v>
      </c>
    </row>
    <row r="213" spans="1:13" x14ac:dyDescent="0.25">
      <c r="A213" t="s">
        <v>13</v>
      </c>
      <c r="B213" s="4">
        <v>45992</v>
      </c>
      <c r="C213" s="6">
        <v>0.86937500000000001</v>
      </c>
      <c r="D213" s="7" t="s">
        <v>4</v>
      </c>
      <c r="E213" t="s">
        <v>4194</v>
      </c>
      <c r="H213" t="s">
        <v>5089</v>
      </c>
      <c r="I213" s="8" t="s">
        <v>4561</v>
      </c>
      <c r="J213" s="8" t="s">
        <v>2990</v>
      </c>
      <c r="K213" t="s">
        <v>4562</v>
      </c>
      <c r="L213" t="s">
        <v>4563</v>
      </c>
      <c r="M213" s="3" t="str">
        <f>HYPERLINK(СторонТрансп[[#This Row],[RelativePath]])</f>
        <v>3 Въезд на базу\E33149364_8_20251201T205154Z.jpg</v>
      </c>
    </row>
    <row r="214" spans="1:13" x14ac:dyDescent="0.25">
      <c r="A214" t="s">
        <v>22</v>
      </c>
      <c r="B214" s="4">
        <v>45998</v>
      </c>
      <c r="C214" s="6">
        <v>0.6731597222222222</v>
      </c>
      <c r="D214" s="7" t="s">
        <v>4</v>
      </c>
      <c r="E214" t="s">
        <v>5262</v>
      </c>
      <c r="F214" t="s">
        <v>1609</v>
      </c>
      <c r="I214" s="8" t="s">
        <v>5141</v>
      </c>
      <c r="J214" s="8" t="s">
        <v>2990</v>
      </c>
      <c r="K214" t="s">
        <v>5142</v>
      </c>
      <c r="L214" t="s">
        <v>5143</v>
      </c>
      <c r="M214" s="3" t="str">
        <f>HYPERLINK(СторонТрансп[[#This Row],[RelativePath]])</f>
        <v>3 Въезд на базу\E33149364_8_20251207T160921Z.jpg</v>
      </c>
    </row>
    <row r="215" spans="1:13" x14ac:dyDescent="0.25">
      <c r="A215" t="s">
        <v>18</v>
      </c>
      <c r="B215" s="4">
        <v>45976</v>
      </c>
      <c r="C215" s="6">
        <v>0.46825231481481483</v>
      </c>
      <c r="D215" s="7" t="s">
        <v>1606</v>
      </c>
      <c r="E215" t="s">
        <v>2001</v>
      </c>
      <c r="I215" s="8" t="s">
        <v>1253</v>
      </c>
      <c r="J215" s="8" t="s">
        <v>2991</v>
      </c>
      <c r="K215" t="s">
        <v>1254</v>
      </c>
      <c r="L215" t="s">
        <v>1255</v>
      </c>
      <c r="M215" s="3" t="str">
        <f>HYPERLINK(СторонТрансп[[#This Row],[RelativePath]])</f>
        <v>4 Крыльцо офиса\K07156189_21_20251115T111417Z.jpg</v>
      </c>
    </row>
    <row r="216" spans="1:13" x14ac:dyDescent="0.25">
      <c r="A216" t="s">
        <v>18</v>
      </c>
      <c r="B216" s="4">
        <v>45976</v>
      </c>
      <c r="C216" s="6">
        <v>0.49733796296296295</v>
      </c>
      <c r="D216" s="7" t="s">
        <v>650</v>
      </c>
      <c r="E216" t="s">
        <v>2001</v>
      </c>
      <c r="I216" s="8" t="s">
        <v>1256</v>
      </c>
      <c r="J216" s="8" t="s">
        <v>2991</v>
      </c>
      <c r="K216" t="s">
        <v>1257</v>
      </c>
      <c r="L216" t="s">
        <v>1258</v>
      </c>
      <c r="M216" s="3" t="str">
        <f>HYPERLINK(СторонТрансп[[#This Row],[RelativePath]])</f>
        <v>4 Крыльцо офиса\K07156189_21_20251115T115610Z.jpg</v>
      </c>
    </row>
    <row r="217" spans="1:13" x14ac:dyDescent="0.25">
      <c r="A217" t="s">
        <v>18</v>
      </c>
      <c r="B217" s="4">
        <v>45990</v>
      </c>
      <c r="C217" s="6">
        <v>0.71454861111111112</v>
      </c>
      <c r="D217" s="7" t="s">
        <v>4</v>
      </c>
      <c r="E217" t="s">
        <v>4194</v>
      </c>
      <c r="F217" t="s">
        <v>4196</v>
      </c>
      <c r="H217" t="s">
        <v>4205</v>
      </c>
      <c r="I217" s="8" t="s">
        <v>3402</v>
      </c>
      <c r="J217" s="8" t="s">
        <v>2991</v>
      </c>
      <c r="K217" t="s">
        <v>3403</v>
      </c>
      <c r="L217" t="s">
        <v>3404</v>
      </c>
      <c r="M217" s="3" t="str">
        <f>HYPERLINK(СторонТрансп[[#This Row],[RelativePath]])</f>
        <v>4 Крыльцо офиса\K07156189_21_20251129T170857Z.jpg</v>
      </c>
    </row>
    <row r="218" spans="1:13" x14ac:dyDescent="0.25">
      <c r="A218" t="s">
        <v>13</v>
      </c>
      <c r="B218" s="4">
        <v>45992</v>
      </c>
      <c r="C218" s="6">
        <v>0.86984953703703705</v>
      </c>
      <c r="D218" s="7" t="s">
        <v>290</v>
      </c>
      <c r="E218" t="s">
        <v>4194</v>
      </c>
      <c r="F218" t="s">
        <v>5093</v>
      </c>
      <c r="I218" s="8" t="s">
        <v>4450</v>
      </c>
      <c r="J218" s="8" t="s">
        <v>2991</v>
      </c>
      <c r="K218" t="s">
        <v>4451</v>
      </c>
      <c r="L218" t="s">
        <v>4452</v>
      </c>
      <c r="M218" s="3" t="str">
        <f>HYPERLINK(СторонТрансп[[#This Row],[RelativePath]])</f>
        <v>4 Крыльцо офиса\K07156189_21_20251201T205235Z.jpg</v>
      </c>
    </row>
    <row r="219" spans="1:13" x14ac:dyDescent="0.25">
      <c r="A219" t="s">
        <v>13</v>
      </c>
      <c r="B219" s="4">
        <v>45992</v>
      </c>
      <c r="C219" s="6">
        <v>0.87006944444444445</v>
      </c>
      <c r="D219" s="7" t="s">
        <v>290</v>
      </c>
      <c r="E219" t="s">
        <v>4194</v>
      </c>
      <c r="F219" t="s">
        <v>5093</v>
      </c>
      <c r="I219" s="8" t="s">
        <v>4453</v>
      </c>
      <c r="J219" s="8" t="s">
        <v>2991</v>
      </c>
      <c r="K219" t="s">
        <v>4454</v>
      </c>
      <c r="L219" t="s">
        <v>4455</v>
      </c>
      <c r="M219" s="3" t="str">
        <f>HYPERLINK(СторонТрансп[[#This Row],[RelativePath]])</f>
        <v>4 Крыльцо офиса\K07156189_21_20251201T205254Z.jpg</v>
      </c>
    </row>
    <row r="220" spans="1:13" x14ac:dyDescent="0.25">
      <c r="A220" t="s">
        <v>13</v>
      </c>
      <c r="B220" s="4">
        <v>45992</v>
      </c>
      <c r="C220" s="6">
        <v>0.87283564814814818</v>
      </c>
      <c r="D220" s="7" t="s">
        <v>650</v>
      </c>
      <c r="E220" t="s">
        <v>4194</v>
      </c>
      <c r="I220" s="8" t="s">
        <v>4456</v>
      </c>
      <c r="J220" s="8" t="s">
        <v>2991</v>
      </c>
      <c r="K220" t="s">
        <v>4457</v>
      </c>
      <c r="L220" t="s">
        <v>4458</v>
      </c>
      <c r="M220" s="3" t="str">
        <f>HYPERLINK(СторонТрансп[[#This Row],[RelativePath]])</f>
        <v>4 Крыльцо офиса\K07156189_21_20251201T205653Z.jpg</v>
      </c>
    </row>
    <row r="221" spans="1:13" x14ac:dyDescent="0.25">
      <c r="A221" t="s">
        <v>14</v>
      </c>
      <c r="B221" s="4">
        <v>46000</v>
      </c>
      <c r="C221" s="6">
        <v>0.51223379629629628</v>
      </c>
      <c r="D221" s="7" t="s">
        <v>290</v>
      </c>
      <c r="E221" t="s">
        <v>5505</v>
      </c>
      <c r="F221" t="s">
        <v>6173</v>
      </c>
      <c r="I221" s="8" t="s">
        <v>5696</v>
      </c>
      <c r="J221" s="8" t="s">
        <v>2991</v>
      </c>
      <c r="K221" t="s">
        <v>5697</v>
      </c>
      <c r="L221" t="s">
        <v>5698</v>
      </c>
      <c r="M221" s="3" t="str">
        <f>HYPERLINK(СторонТрансп[[#This Row],[RelativePath]])</f>
        <v>4 Крыльцо офиса\K07156189_21_20251209T121737Z.jpg</v>
      </c>
    </row>
    <row r="222" spans="1:13" x14ac:dyDescent="0.25">
      <c r="A222" t="s">
        <v>14</v>
      </c>
      <c r="B222" s="4">
        <v>46000</v>
      </c>
      <c r="C222" s="6">
        <v>0.51232638888888893</v>
      </c>
      <c r="D222" s="7" t="s">
        <v>290</v>
      </c>
      <c r="E222" t="s">
        <v>5505</v>
      </c>
      <c r="F222" t="s">
        <v>6173</v>
      </c>
      <c r="H222" t="s">
        <v>2936</v>
      </c>
      <c r="I222" s="8" t="s">
        <v>5699</v>
      </c>
      <c r="J222" s="8" t="s">
        <v>2991</v>
      </c>
      <c r="K222" t="s">
        <v>5700</v>
      </c>
      <c r="L222" t="s">
        <v>5701</v>
      </c>
      <c r="M222" s="3" t="str">
        <f>HYPERLINK(СторонТрансп[[#This Row],[RelativePath]])</f>
        <v>4 Крыльцо офиса\K07156189_21_20251209T121745Z.jpg</v>
      </c>
    </row>
    <row r="223" spans="1:13" x14ac:dyDescent="0.25">
      <c r="A223" t="s">
        <v>14</v>
      </c>
      <c r="B223" s="4">
        <v>46000</v>
      </c>
      <c r="C223" s="6">
        <v>0.51336805555555554</v>
      </c>
      <c r="D223" s="7" t="s">
        <v>290</v>
      </c>
      <c r="E223" t="s">
        <v>5505</v>
      </c>
      <c r="F223" t="s">
        <v>6173</v>
      </c>
      <c r="H223" t="s">
        <v>2936</v>
      </c>
      <c r="I223" s="8" t="s">
        <v>5702</v>
      </c>
      <c r="J223" s="8" t="s">
        <v>2991</v>
      </c>
      <c r="K223" t="s">
        <v>5703</v>
      </c>
      <c r="L223" t="s">
        <v>5704</v>
      </c>
      <c r="M223" s="3" t="str">
        <f>HYPERLINK(СторонТрансп[[#This Row],[RelativePath]])</f>
        <v>4 Крыльцо офиса\K07156189_21_20251209T121915Z.jpg</v>
      </c>
    </row>
    <row r="224" spans="1:13" x14ac:dyDescent="0.25">
      <c r="A224" t="s">
        <v>18</v>
      </c>
      <c r="B224" s="4">
        <v>46004</v>
      </c>
      <c r="C224" s="6">
        <v>0.40708333333333335</v>
      </c>
      <c r="D224" s="7" t="s">
        <v>4</v>
      </c>
      <c r="E224" t="s">
        <v>6167</v>
      </c>
      <c r="F224" t="s">
        <v>58</v>
      </c>
      <c r="I224" s="8" t="s">
        <v>6044</v>
      </c>
      <c r="J224" s="8" t="s">
        <v>2991</v>
      </c>
      <c r="K224" t="s">
        <v>6045</v>
      </c>
      <c r="L224" t="s">
        <v>6046</v>
      </c>
      <c r="M224" s="3" t="str">
        <f>HYPERLINK(СторонТрансп[[#This Row],[RelativePath]])</f>
        <v>4 Крыльцо офиса\K07156189_21_20251213T094612Z.jpg</v>
      </c>
    </row>
    <row r="225" spans="1:13" x14ac:dyDescent="0.25">
      <c r="A225" t="s">
        <v>18</v>
      </c>
      <c r="B225" s="4">
        <v>46004</v>
      </c>
      <c r="C225" s="6">
        <v>0.40886574074074072</v>
      </c>
      <c r="D225" s="7" t="s">
        <v>4</v>
      </c>
      <c r="E225" t="s">
        <v>6167</v>
      </c>
      <c r="F225" t="s">
        <v>58</v>
      </c>
      <c r="H225" t="s">
        <v>4205</v>
      </c>
      <c r="I225" s="8" t="s">
        <v>6047</v>
      </c>
      <c r="J225" s="8" t="s">
        <v>2991</v>
      </c>
      <c r="K225" t="s">
        <v>6048</v>
      </c>
      <c r="L225" t="s">
        <v>6049</v>
      </c>
      <c r="M225" s="3" t="str">
        <f>HYPERLINK(СторонТрансп[[#This Row],[RelativePath]])</f>
        <v>4 Крыльцо офиса\K07156189_21_20251213T094846Z.jpg</v>
      </c>
    </row>
    <row r="226" spans="1:13" x14ac:dyDescent="0.25">
      <c r="A226" t="s">
        <v>18</v>
      </c>
      <c r="B226" s="4">
        <v>46004</v>
      </c>
      <c r="C226" s="6">
        <v>0.52965277777777775</v>
      </c>
      <c r="D226" s="7" t="s">
        <v>1606</v>
      </c>
      <c r="E226" t="s">
        <v>6166</v>
      </c>
      <c r="F226" t="s">
        <v>51</v>
      </c>
      <c r="I226" s="8" t="s">
        <v>6050</v>
      </c>
      <c r="J226" s="8" t="s">
        <v>2991</v>
      </c>
      <c r="K226" t="s">
        <v>6051</v>
      </c>
      <c r="L226" t="s">
        <v>6052</v>
      </c>
      <c r="M226" s="3" t="str">
        <f>HYPERLINK(СторонТрансп[[#This Row],[RelativePath]])</f>
        <v>4 Крыльцо офиса\K07156189_21_20251213T124242Z.jpg</v>
      </c>
    </row>
    <row r="227" spans="1:13" x14ac:dyDescent="0.25">
      <c r="A227" t="s">
        <v>18</v>
      </c>
      <c r="B227" s="4">
        <v>46004</v>
      </c>
      <c r="C227" s="6">
        <v>0.52991898148148153</v>
      </c>
      <c r="D227" s="7" t="s">
        <v>1606</v>
      </c>
      <c r="E227" t="s">
        <v>6165</v>
      </c>
      <c r="F227" t="s">
        <v>51</v>
      </c>
      <c r="I227" s="8" t="s">
        <v>6053</v>
      </c>
      <c r="J227" s="8" t="s">
        <v>2991</v>
      </c>
      <c r="K227" t="s">
        <v>6054</v>
      </c>
      <c r="L227" t="s">
        <v>6055</v>
      </c>
      <c r="M227" s="3" t="str">
        <f>HYPERLINK(СторонТрансп[[#This Row],[RelativePath]])</f>
        <v>4 Крыльцо офиса\K07156189_21_20251213T124305Z.jpg</v>
      </c>
    </row>
    <row r="228" spans="1:13" x14ac:dyDescent="0.25">
      <c r="A228" t="s">
        <v>18</v>
      </c>
      <c r="B228" s="4">
        <v>46004</v>
      </c>
      <c r="C228" s="6">
        <v>0.53687499999999999</v>
      </c>
      <c r="D228" s="7" t="s">
        <v>650</v>
      </c>
      <c r="E228" t="s">
        <v>6166</v>
      </c>
      <c r="F228" t="s">
        <v>51</v>
      </c>
      <c r="I228" s="8" t="s">
        <v>6056</v>
      </c>
      <c r="J228" s="8" t="s">
        <v>2991</v>
      </c>
      <c r="K228" t="s">
        <v>6057</v>
      </c>
      <c r="L228" t="s">
        <v>6058</v>
      </c>
      <c r="M228" s="3" t="str">
        <f>HYPERLINK(СторонТрансп[[#This Row],[RelativePath]])</f>
        <v>4 Крыльцо офиса\K07156189_21_20251213T125306Z.jpg</v>
      </c>
    </row>
    <row r="229" spans="1:13" x14ac:dyDescent="0.25">
      <c r="A229" t="s">
        <v>18</v>
      </c>
      <c r="B229" s="4">
        <v>46004</v>
      </c>
      <c r="C229" s="6">
        <v>0.5370949074074074</v>
      </c>
      <c r="D229" s="7" t="s">
        <v>650</v>
      </c>
      <c r="E229" t="s">
        <v>6165</v>
      </c>
      <c r="F229" t="s">
        <v>51</v>
      </c>
      <c r="I229" s="8" t="s">
        <v>6059</v>
      </c>
      <c r="J229" s="8" t="s">
        <v>2991</v>
      </c>
      <c r="K229" t="s">
        <v>6060</v>
      </c>
      <c r="L229" t="s">
        <v>6061</v>
      </c>
      <c r="M229" s="3" t="str">
        <f>HYPERLINK(СторонТрансп[[#This Row],[RelativePath]])</f>
        <v>4 Крыльцо офиса\K07156189_21_20251213T125325Z.jpg</v>
      </c>
    </row>
    <row r="230" spans="1:13" x14ac:dyDescent="0.25">
      <c r="A230" t="s">
        <v>18</v>
      </c>
      <c r="B230" s="4">
        <v>46004</v>
      </c>
      <c r="C230" s="6">
        <v>0.5397453703703704</v>
      </c>
      <c r="D230" s="7" t="s">
        <v>1606</v>
      </c>
      <c r="E230" t="s">
        <v>6167</v>
      </c>
      <c r="F230" t="s">
        <v>58</v>
      </c>
      <c r="I230" s="8" t="s">
        <v>6062</v>
      </c>
      <c r="J230" s="8" t="s">
        <v>2991</v>
      </c>
      <c r="K230" t="s">
        <v>6063</v>
      </c>
      <c r="L230" t="s">
        <v>6064</v>
      </c>
      <c r="M230" s="3" t="str">
        <f>HYPERLINK(СторонТрансп[[#This Row],[RelativePath]])</f>
        <v>4 Крыльцо офиса\K07156189_21_20251213T125714Z.jpg</v>
      </c>
    </row>
    <row r="231" spans="1:13" x14ac:dyDescent="0.25">
      <c r="A231" t="s">
        <v>18</v>
      </c>
      <c r="B231" s="4">
        <v>46004</v>
      </c>
      <c r="C231" s="6">
        <v>0.54593749999999996</v>
      </c>
      <c r="D231" s="7" t="s">
        <v>6174</v>
      </c>
      <c r="E231" t="s">
        <v>6167</v>
      </c>
      <c r="F231" t="s">
        <v>58</v>
      </c>
      <c r="I231" s="8" t="s">
        <v>6161</v>
      </c>
      <c r="J231" s="8" t="s">
        <v>2991</v>
      </c>
      <c r="K231" t="s">
        <v>6162</v>
      </c>
      <c r="L231" t="s">
        <v>6163</v>
      </c>
      <c r="M231" s="3" t="str">
        <f>HYPERLINK(СторонТрансп[[#This Row],[RelativePath]])</f>
        <v>4 Крыльцо офиса\K07156189_21_20251213T130609Z.jpg</v>
      </c>
    </row>
    <row r="232" spans="1:13" x14ac:dyDescent="0.25">
      <c r="A232" t="s">
        <v>22</v>
      </c>
      <c r="B232" s="4">
        <v>46019</v>
      </c>
      <c r="C232" s="6">
        <v>0.50564814814814818</v>
      </c>
      <c r="D232" s="7" t="s">
        <v>4</v>
      </c>
      <c r="E232" t="s">
        <v>4193</v>
      </c>
      <c r="F232" t="s">
        <v>5076</v>
      </c>
      <c r="I232" s="8" t="s">
        <v>7998</v>
      </c>
      <c r="J232" s="8" t="s">
        <v>2991</v>
      </c>
      <c r="K232" t="s">
        <v>7999</v>
      </c>
      <c r="L232" t="s">
        <v>8000</v>
      </c>
      <c r="M232" s="3" t="str">
        <f>HYPERLINK(СторонТрансп[[#This Row],[RelativePath]])</f>
        <v>4 Крыльцо офиса\K07156189_21_20251228T120808Z.jpg</v>
      </c>
    </row>
    <row r="233" spans="1:13" x14ac:dyDescent="0.25">
      <c r="A233" t="s">
        <v>14</v>
      </c>
      <c r="B233" s="4">
        <v>45972</v>
      </c>
      <c r="C233" s="6">
        <v>0.39533564814814814</v>
      </c>
      <c r="D233" s="7" t="s">
        <v>467</v>
      </c>
      <c r="E233" t="s">
        <v>67</v>
      </c>
      <c r="I233" s="8" t="s">
        <v>364</v>
      </c>
      <c r="J233" s="8" t="s">
        <v>2982</v>
      </c>
      <c r="K233" t="s">
        <v>365</v>
      </c>
      <c r="L233" t="s">
        <v>366</v>
      </c>
      <c r="M233" s="3" t="str">
        <f>HYPERLINK(СторонТрансп[[#This Row],[RelativePath]])</f>
        <v>5 Крыльцо общага\K07156189_22_20251111T092917Z.jpg</v>
      </c>
    </row>
    <row r="234" spans="1:13" x14ac:dyDescent="0.25">
      <c r="A234" t="s">
        <v>14</v>
      </c>
      <c r="B234" s="4">
        <v>45972</v>
      </c>
      <c r="C234" s="6">
        <v>0.39787037037037037</v>
      </c>
      <c r="D234" s="7" t="s">
        <v>289</v>
      </c>
      <c r="E234" t="s">
        <v>67</v>
      </c>
      <c r="F234" t="s">
        <v>468</v>
      </c>
      <c r="I234" s="8" t="s">
        <v>367</v>
      </c>
      <c r="J234" s="8" t="s">
        <v>2982</v>
      </c>
      <c r="K234" t="s">
        <v>368</v>
      </c>
      <c r="L234" t="s">
        <v>369</v>
      </c>
      <c r="M234" s="3" t="str">
        <f>HYPERLINK(СторонТрансп[[#This Row],[RelativePath]])</f>
        <v>5 Крыльцо общага\K07156189_22_20251111T093256Z.jpg</v>
      </c>
    </row>
    <row r="235" spans="1:13" x14ac:dyDescent="0.25">
      <c r="A235" t="s">
        <v>14</v>
      </c>
      <c r="B235" s="4">
        <v>45972</v>
      </c>
      <c r="C235" s="6">
        <v>0.40370370370370373</v>
      </c>
      <c r="D235" s="7" t="s">
        <v>289</v>
      </c>
      <c r="E235" t="s">
        <v>67</v>
      </c>
      <c r="F235" t="s">
        <v>468</v>
      </c>
      <c r="I235" s="8" t="s">
        <v>370</v>
      </c>
      <c r="J235" s="8" t="s">
        <v>2982</v>
      </c>
      <c r="K235" t="s">
        <v>371</v>
      </c>
      <c r="L235" t="s">
        <v>372</v>
      </c>
      <c r="M235" s="3" t="str">
        <f>HYPERLINK(СторонТрансп[[#This Row],[RelativePath]])</f>
        <v>5 Крыльцо общага\K07156189_22_20251111T094120Z.jpg</v>
      </c>
    </row>
    <row r="236" spans="1:13" x14ac:dyDescent="0.25">
      <c r="A236" t="s">
        <v>14</v>
      </c>
      <c r="B236" s="4">
        <v>45972</v>
      </c>
      <c r="C236" s="6">
        <v>0.40377314814814813</v>
      </c>
      <c r="D236" s="7" t="s">
        <v>289</v>
      </c>
      <c r="E236" t="s">
        <v>67</v>
      </c>
      <c r="F236" t="s">
        <v>468</v>
      </c>
      <c r="I236" s="8" t="s">
        <v>373</v>
      </c>
      <c r="J236" s="8" t="s">
        <v>2982</v>
      </c>
      <c r="K236" t="s">
        <v>374</v>
      </c>
      <c r="L236" t="s">
        <v>375</v>
      </c>
      <c r="M236" s="3" t="str">
        <f>HYPERLINK(СторонТрансп[[#This Row],[RelativePath]])</f>
        <v>5 Крыльцо общага\K07156189_22_20251111T094126Z.jpg</v>
      </c>
    </row>
    <row r="237" spans="1:13" x14ac:dyDescent="0.25">
      <c r="A237" t="s">
        <v>14</v>
      </c>
      <c r="B237" s="4">
        <v>45972</v>
      </c>
      <c r="C237" s="6">
        <v>0.40597222222222223</v>
      </c>
      <c r="D237" s="7" t="s">
        <v>289</v>
      </c>
      <c r="E237" t="s">
        <v>67</v>
      </c>
      <c r="F237" t="s">
        <v>468</v>
      </c>
      <c r="I237" s="8" t="s">
        <v>376</v>
      </c>
      <c r="J237" s="8" t="s">
        <v>2982</v>
      </c>
      <c r="K237" t="s">
        <v>377</v>
      </c>
      <c r="L237" t="s">
        <v>378</v>
      </c>
      <c r="M237" s="3" t="str">
        <f>HYPERLINK(СторонТрансп[[#This Row],[RelativePath]])</f>
        <v>5 Крыльцо общага\K07156189_22_20251111T094436Z.jpg</v>
      </c>
    </row>
    <row r="238" spans="1:13" x14ac:dyDescent="0.25">
      <c r="A238" t="s">
        <v>14</v>
      </c>
      <c r="B238" s="4">
        <v>45972</v>
      </c>
      <c r="C238" s="6">
        <v>0.40881944444444446</v>
      </c>
      <c r="D238" s="7" t="s">
        <v>289</v>
      </c>
      <c r="E238" t="s">
        <v>67</v>
      </c>
      <c r="F238" t="s">
        <v>468</v>
      </c>
      <c r="I238" s="8" t="s">
        <v>379</v>
      </c>
      <c r="J238" s="8" t="s">
        <v>2982</v>
      </c>
      <c r="K238" t="s">
        <v>380</v>
      </c>
      <c r="L238" t="s">
        <v>381</v>
      </c>
      <c r="M238" s="3" t="str">
        <f>HYPERLINK(СторонТрансп[[#This Row],[RelativePath]])</f>
        <v>5 Крыльцо общага\K07156189_22_20251111T094842Z.jpg</v>
      </c>
    </row>
    <row r="239" spans="1:13" x14ac:dyDescent="0.25">
      <c r="A239" t="s">
        <v>14</v>
      </c>
      <c r="B239" s="4">
        <v>45972</v>
      </c>
      <c r="C239" s="6">
        <v>0.4105787037037037</v>
      </c>
      <c r="D239" s="7" t="s">
        <v>289</v>
      </c>
      <c r="E239" t="s">
        <v>67</v>
      </c>
      <c r="F239" t="s">
        <v>468</v>
      </c>
      <c r="I239" s="8" t="s">
        <v>382</v>
      </c>
      <c r="J239" s="8" t="s">
        <v>2982</v>
      </c>
      <c r="K239" t="s">
        <v>383</v>
      </c>
      <c r="L239" t="s">
        <v>384</v>
      </c>
      <c r="M239" s="3" t="str">
        <f>HYPERLINK(СторонТрансп[[#This Row],[RelativePath]])</f>
        <v>5 Крыльцо общага\K07156189_22_20251111T095114Z.jpg</v>
      </c>
    </row>
    <row r="240" spans="1:13" x14ac:dyDescent="0.25">
      <c r="A240" t="s">
        <v>14</v>
      </c>
      <c r="B240" s="4">
        <v>45972</v>
      </c>
      <c r="C240" s="6">
        <v>0.41136574074074073</v>
      </c>
      <c r="D240" s="7" t="s">
        <v>289</v>
      </c>
      <c r="E240" t="s">
        <v>67</v>
      </c>
      <c r="F240" t="s">
        <v>468</v>
      </c>
      <c r="I240" s="8" t="s">
        <v>385</v>
      </c>
      <c r="J240" s="8" t="s">
        <v>2982</v>
      </c>
      <c r="K240" t="s">
        <v>386</v>
      </c>
      <c r="L240" t="s">
        <v>387</v>
      </c>
      <c r="M240" s="3" t="str">
        <f>HYPERLINK(СторонТрансп[[#This Row],[RelativePath]])</f>
        <v>5 Крыльцо общага\K07156189_22_20251111T095222Z.jpg</v>
      </c>
    </row>
    <row r="241" spans="1:13" x14ac:dyDescent="0.25">
      <c r="A241" t="s">
        <v>14</v>
      </c>
      <c r="B241" s="4">
        <v>45972</v>
      </c>
      <c r="C241" s="6">
        <v>0.41312500000000002</v>
      </c>
      <c r="D241" s="7" t="s">
        <v>289</v>
      </c>
      <c r="E241" t="s">
        <v>67</v>
      </c>
      <c r="F241" t="s">
        <v>468</v>
      </c>
      <c r="I241" s="8" t="s">
        <v>388</v>
      </c>
      <c r="J241" s="8" t="s">
        <v>2982</v>
      </c>
      <c r="K241" t="s">
        <v>389</v>
      </c>
      <c r="L241" t="s">
        <v>390</v>
      </c>
      <c r="M241" s="3" t="str">
        <f>HYPERLINK(СторонТрансп[[#This Row],[RelativePath]])</f>
        <v>5 Крыльцо общага\K07156189_22_20251111T095454Z.jpg</v>
      </c>
    </row>
    <row r="242" spans="1:13" x14ac:dyDescent="0.25">
      <c r="A242" t="s">
        <v>14</v>
      </c>
      <c r="B242" s="4">
        <v>45972</v>
      </c>
      <c r="C242" s="6">
        <v>0.41627314814814814</v>
      </c>
      <c r="D242" s="7" t="s">
        <v>289</v>
      </c>
      <c r="E242" t="s">
        <v>67</v>
      </c>
      <c r="F242" t="s">
        <v>468</v>
      </c>
      <c r="I242" s="8" t="s">
        <v>391</v>
      </c>
      <c r="J242" s="8" t="s">
        <v>2982</v>
      </c>
      <c r="K242" t="s">
        <v>392</v>
      </c>
      <c r="L242" t="s">
        <v>393</v>
      </c>
      <c r="M242" s="3" t="str">
        <f>HYPERLINK(СторонТрансп[[#This Row],[RelativePath]])</f>
        <v>5 Крыльцо общага\K07156189_22_20251111T095926Z.jpg</v>
      </c>
    </row>
    <row r="243" spans="1:13" x14ac:dyDescent="0.25">
      <c r="A243" t="s">
        <v>14</v>
      </c>
      <c r="B243" s="4">
        <v>45972</v>
      </c>
      <c r="C243" s="6">
        <v>0.4226273148148148</v>
      </c>
      <c r="D243" s="7" t="s">
        <v>289</v>
      </c>
      <c r="E243" t="s">
        <v>67</v>
      </c>
      <c r="F243" t="s">
        <v>468</v>
      </c>
      <c r="I243" s="8" t="s">
        <v>394</v>
      </c>
      <c r="J243" s="8" t="s">
        <v>2982</v>
      </c>
      <c r="K243" t="s">
        <v>395</v>
      </c>
      <c r="L243" t="s">
        <v>396</v>
      </c>
      <c r="M243" s="3" t="str">
        <f>HYPERLINK(СторонТрансп[[#This Row],[RelativePath]])</f>
        <v>5 Крыльцо общага\K07156189_22_20251111T100835Z.jpg</v>
      </c>
    </row>
    <row r="244" spans="1:13" x14ac:dyDescent="0.25">
      <c r="A244" t="s">
        <v>14</v>
      </c>
      <c r="B244" s="4">
        <v>45972</v>
      </c>
      <c r="C244" s="6">
        <v>0.42736111111111114</v>
      </c>
      <c r="D244" s="7" t="s">
        <v>289</v>
      </c>
      <c r="E244" t="s">
        <v>67</v>
      </c>
      <c r="F244" t="s">
        <v>468</v>
      </c>
      <c r="I244" s="8" t="s">
        <v>397</v>
      </c>
      <c r="J244" s="8" t="s">
        <v>2982</v>
      </c>
      <c r="K244" t="s">
        <v>398</v>
      </c>
      <c r="L244" t="s">
        <v>399</v>
      </c>
      <c r="M244" s="3" t="str">
        <f>HYPERLINK(СторонТрансп[[#This Row],[RelativePath]])</f>
        <v>5 Крыльцо общага\K07156189_22_20251111T101524Z.jpg</v>
      </c>
    </row>
    <row r="245" spans="1:13" x14ac:dyDescent="0.25">
      <c r="A245" t="s">
        <v>14</v>
      </c>
      <c r="B245" s="4">
        <v>45972</v>
      </c>
      <c r="C245" s="6">
        <v>0.42944444444444446</v>
      </c>
      <c r="D245" s="7" t="s">
        <v>289</v>
      </c>
      <c r="E245" t="s">
        <v>67</v>
      </c>
      <c r="F245" t="s">
        <v>468</v>
      </c>
      <c r="I245" s="8" t="s">
        <v>400</v>
      </c>
      <c r="J245" s="8" t="s">
        <v>2982</v>
      </c>
      <c r="K245" t="s">
        <v>401</v>
      </c>
      <c r="L245" t="s">
        <v>402</v>
      </c>
      <c r="M245" s="3" t="str">
        <f>HYPERLINK(СторонТрансп[[#This Row],[RelativePath]])</f>
        <v>5 Крыльцо общага\K07156189_22_20251111T101824Z.jpg</v>
      </c>
    </row>
    <row r="246" spans="1:13" x14ac:dyDescent="0.25">
      <c r="A246" t="s">
        <v>14</v>
      </c>
      <c r="B246" s="4">
        <v>45972</v>
      </c>
      <c r="C246" s="6">
        <v>0.4316550925925926</v>
      </c>
      <c r="D246" s="7" t="s">
        <v>289</v>
      </c>
      <c r="E246" t="s">
        <v>67</v>
      </c>
      <c r="F246" t="s">
        <v>468</v>
      </c>
      <c r="I246" s="8" t="s">
        <v>403</v>
      </c>
      <c r="J246" s="8" t="s">
        <v>2982</v>
      </c>
      <c r="K246" t="s">
        <v>404</v>
      </c>
      <c r="L246" t="s">
        <v>405</v>
      </c>
      <c r="M246" s="3" t="str">
        <f>HYPERLINK(СторонТрансп[[#This Row],[RelativePath]])</f>
        <v>5 Крыльцо общага\K07156189_22_20251111T102135Z.jpg</v>
      </c>
    </row>
    <row r="247" spans="1:13" x14ac:dyDescent="0.25">
      <c r="A247" t="s">
        <v>14</v>
      </c>
      <c r="B247" s="4">
        <v>45972</v>
      </c>
      <c r="C247" s="6">
        <v>0.43408564814814815</v>
      </c>
      <c r="D247" s="7" t="s">
        <v>289</v>
      </c>
      <c r="E247" t="s">
        <v>67</v>
      </c>
      <c r="F247" t="s">
        <v>468</v>
      </c>
      <c r="I247" s="8" t="s">
        <v>406</v>
      </c>
      <c r="J247" s="8" t="s">
        <v>2982</v>
      </c>
      <c r="K247" t="s">
        <v>407</v>
      </c>
      <c r="L247" t="s">
        <v>408</v>
      </c>
      <c r="M247" s="3" t="str">
        <f>HYPERLINK(СторонТрансп[[#This Row],[RelativePath]])</f>
        <v>5 Крыльцо общага\K07156189_22_20251111T102505Z.jpg</v>
      </c>
    </row>
    <row r="248" spans="1:13" x14ac:dyDescent="0.25">
      <c r="A248" t="s">
        <v>14</v>
      </c>
      <c r="B248" s="4">
        <v>45972</v>
      </c>
      <c r="C248" s="6">
        <v>0.43606481481481479</v>
      </c>
      <c r="D248" s="7" t="s">
        <v>289</v>
      </c>
      <c r="E248" t="s">
        <v>67</v>
      </c>
      <c r="F248" t="s">
        <v>469</v>
      </c>
      <c r="H248" t="s">
        <v>470</v>
      </c>
      <c r="I248" s="8" t="s">
        <v>409</v>
      </c>
      <c r="J248" s="8" t="s">
        <v>2982</v>
      </c>
      <c r="K248" t="s">
        <v>410</v>
      </c>
      <c r="L248" t="s">
        <v>411</v>
      </c>
      <c r="M248" s="3" t="str">
        <f>HYPERLINK(СторонТрансп[[#This Row],[RelativePath]])</f>
        <v>5 Крыльцо общага\K07156189_22_20251111T102756Z.jpg</v>
      </c>
    </row>
    <row r="249" spans="1:13" x14ac:dyDescent="0.25">
      <c r="A249" t="s">
        <v>14</v>
      </c>
      <c r="B249" s="4">
        <v>45972</v>
      </c>
      <c r="C249" s="6">
        <v>0.4387847222222222</v>
      </c>
      <c r="D249" s="7" t="s">
        <v>471</v>
      </c>
      <c r="E249" t="s">
        <v>67</v>
      </c>
      <c r="F249" t="s">
        <v>468</v>
      </c>
      <c r="I249" s="8" t="s">
        <v>412</v>
      </c>
      <c r="J249" s="8" t="s">
        <v>2982</v>
      </c>
      <c r="K249" t="s">
        <v>413</v>
      </c>
      <c r="L249" t="s">
        <v>414</v>
      </c>
      <c r="M249" s="3" t="str">
        <f>HYPERLINK(СторонТрансп[[#This Row],[RelativePath]])</f>
        <v>5 Крыльцо общага\K07156189_22_20251111T103151Z.jpg</v>
      </c>
    </row>
    <row r="250" spans="1:13" x14ac:dyDescent="0.25">
      <c r="A250" t="s">
        <v>14</v>
      </c>
      <c r="B250" s="4">
        <v>45972</v>
      </c>
      <c r="C250" s="6">
        <v>0.44353009259259257</v>
      </c>
      <c r="D250" s="7" t="s">
        <v>472</v>
      </c>
      <c r="E250" t="s">
        <v>67</v>
      </c>
      <c r="F250" t="s">
        <v>468</v>
      </c>
      <c r="I250" s="8" t="s">
        <v>415</v>
      </c>
      <c r="J250" s="8" t="s">
        <v>2982</v>
      </c>
      <c r="K250" t="s">
        <v>416</v>
      </c>
      <c r="L250" t="s">
        <v>417</v>
      </c>
      <c r="M250" s="3" t="str">
        <f>HYPERLINK(СторонТрансп[[#This Row],[RelativePath]])</f>
        <v>5 Крыльцо общага\K07156189_22_20251111T103841Z.jpg</v>
      </c>
    </row>
    <row r="251" spans="1:13" x14ac:dyDescent="0.25">
      <c r="A251" t="s">
        <v>15</v>
      </c>
      <c r="B251" s="4">
        <v>45973</v>
      </c>
      <c r="C251" s="6">
        <v>0.69714120370370369</v>
      </c>
      <c r="D251" s="7" t="s">
        <v>4</v>
      </c>
      <c r="E251" t="s">
        <v>477</v>
      </c>
      <c r="H251" t="s">
        <v>478</v>
      </c>
      <c r="I251" s="8" t="s">
        <v>427</v>
      </c>
      <c r="J251" s="8" t="s">
        <v>2982</v>
      </c>
      <c r="K251" t="s">
        <v>428</v>
      </c>
      <c r="L251" t="s">
        <v>429</v>
      </c>
      <c r="M251" s="3" t="str">
        <f>HYPERLINK(СторонТрансп[[#This Row],[RelativePath]])</f>
        <v>5 Крыльцо общага\K07156189_22_20251112T164353Z.jpg</v>
      </c>
    </row>
    <row r="252" spans="1:13" x14ac:dyDescent="0.25">
      <c r="A252" t="s">
        <v>22</v>
      </c>
      <c r="B252" s="4">
        <v>45998</v>
      </c>
      <c r="C252" s="6">
        <v>0.61542824074074076</v>
      </c>
      <c r="D252" s="7" t="s">
        <v>1606</v>
      </c>
      <c r="E252" t="s">
        <v>5263</v>
      </c>
      <c r="F252" t="s">
        <v>4233</v>
      </c>
      <c r="I252" s="8" t="s">
        <v>5148</v>
      </c>
      <c r="J252" s="8" t="s">
        <v>2982</v>
      </c>
      <c r="K252" t="s">
        <v>5149</v>
      </c>
      <c r="L252" t="s">
        <v>5150</v>
      </c>
      <c r="M252" s="3" t="str">
        <f>HYPERLINK(СторонТрансп[[#This Row],[RelativePath]])</f>
        <v>5 Крыльцо общага\K07156189_22_20251207T144613Z.jpg</v>
      </c>
    </row>
    <row r="253" spans="1:13" x14ac:dyDescent="0.25">
      <c r="A253" t="s">
        <v>22</v>
      </c>
      <c r="B253" s="4">
        <v>45998</v>
      </c>
      <c r="C253" s="6">
        <v>0.61756944444444439</v>
      </c>
      <c r="D253" s="7" t="s">
        <v>289</v>
      </c>
      <c r="E253" t="s">
        <v>5263</v>
      </c>
      <c r="F253" t="s">
        <v>5093</v>
      </c>
      <c r="I253" s="8" t="s">
        <v>5151</v>
      </c>
      <c r="J253" s="8" t="s">
        <v>2982</v>
      </c>
      <c r="K253" t="s">
        <v>5152</v>
      </c>
      <c r="L253" t="s">
        <v>5153</v>
      </c>
      <c r="M253" s="3" t="str">
        <f>HYPERLINK(СторонТрансп[[#This Row],[RelativePath]])</f>
        <v>5 Крыльцо общага\K07156189_22_20251207T144918Z.jpg</v>
      </c>
    </row>
    <row r="254" spans="1:13" x14ac:dyDescent="0.25">
      <c r="A254" t="s">
        <v>22</v>
      </c>
      <c r="B254" s="4">
        <v>45998</v>
      </c>
      <c r="C254" s="6">
        <v>0.62070601851851848</v>
      </c>
      <c r="D254" s="7" t="s">
        <v>289</v>
      </c>
      <c r="E254" t="s">
        <v>5263</v>
      </c>
      <c r="F254" t="s">
        <v>5093</v>
      </c>
      <c r="H254" t="s">
        <v>2936</v>
      </c>
      <c r="I254" s="8" t="s">
        <v>5154</v>
      </c>
      <c r="J254" s="8" t="s">
        <v>2982</v>
      </c>
      <c r="K254" t="s">
        <v>5155</v>
      </c>
      <c r="L254" t="s">
        <v>5156</v>
      </c>
      <c r="M254" s="3" t="str">
        <f>HYPERLINK(СторонТрансп[[#This Row],[RelativePath]])</f>
        <v>5 Крыльцо общага\K07156189_22_20251207T145349Z.jpg</v>
      </c>
    </row>
    <row r="255" spans="1:13" x14ac:dyDescent="0.25">
      <c r="A255" t="s">
        <v>22</v>
      </c>
      <c r="B255" s="4">
        <v>45998</v>
      </c>
      <c r="C255" s="6">
        <v>0.62306712962962962</v>
      </c>
      <c r="D255" s="7" t="s">
        <v>289</v>
      </c>
      <c r="E255" t="s">
        <v>5263</v>
      </c>
      <c r="F255" t="s">
        <v>5093</v>
      </c>
      <c r="H255" t="s">
        <v>2936</v>
      </c>
      <c r="I255" s="8" t="s">
        <v>5157</v>
      </c>
      <c r="J255" s="8" t="s">
        <v>2982</v>
      </c>
      <c r="K255" t="s">
        <v>5158</v>
      </c>
      <c r="L255" t="s">
        <v>5159</v>
      </c>
      <c r="M255" s="3" t="str">
        <f>HYPERLINK(СторонТрансп[[#This Row],[RelativePath]])</f>
        <v>5 Крыльцо общага\K07156189_22_20251207T145713Z.jpg</v>
      </c>
    </row>
    <row r="256" spans="1:13" x14ac:dyDescent="0.25">
      <c r="A256" t="s">
        <v>22</v>
      </c>
      <c r="B256" s="4">
        <v>45998</v>
      </c>
      <c r="C256" s="6">
        <v>0.62668981481481478</v>
      </c>
      <c r="D256" s="7" t="s">
        <v>289</v>
      </c>
      <c r="E256" t="s">
        <v>5263</v>
      </c>
      <c r="F256" t="s">
        <v>5093</v>
      </c>
      <c r="H256" t="s">
        <v>2936</v>
      </c>
      <c r="I256" s="8" t="s">
        <v>5160</v>
      </c>
      <c r="J256" s="8" t="s">
        <v>2982</v>
      </c>
      <c r="K256" t="s">
        <v>5161</v>
      </c>
      <c r="L256" t="s">
        <v>5162</v>
      </c>
      <c r="M256" s="3" t="str">
        <f>HYPERLINK(СторонТрансп[[#This Row],[RelativePath]])</f>
        <v>5 Крыльцо общага\K07156189_22_20251207T150226Z.jpg</v>
      </c>
    </row>
    <row r="257" spans="1:13" x14ac:dyDescent="0.25">
      <c r="A257" t="s">
        <v>22</v>
      </c>
      <c r="B257" s="4">
        <v>45998</v>
      </c>
      <c r="C257" s="6">
        <v>0.62921296296296292</v>
      </c>
      <c r="D257" s="7" t="s">
        <v>289</v>
      </c>
      <c r="E257" t="s">
        <v>5263</v>
      </c>
      <c r="F257" t="s">
        <v>5093</v>
      </c>
      <c r="H257" t="s">
        <v>2936</v>
      </c>
      <c r="I257" s="8" t="s">
        <v>5163</v>
      </c>
      <c r="J257" s="8" t="s">
        <v>2982</v>
      </c>
      <c r="K257" t="s">
        <v>5164</v>
      </c>
      <c r="L257" t="s">
        <v>5165</v>
      </c>
      <c r="M257" s="3" t="str">
        <f>HYPERLINK(СторонТрансп[[#This Row],[RelativePath]])</f>
        <v>5 Крыльцо общага\K07156189_22_20251207T150604Z.jpg</v>
      </c>
    </row>
    <row r="258" spans="1:13" x14ac:dyDescent="0.25">
      <c r="A258" t="s">
        <v>22</v>
      </c>
      <c r="B258" s="4">
        <v>45998</v>
      </c>
      <c r="C258" s="6">
        <v>0.63689814814814816</v>
      </c>
      <c r="D258" s="7" t="s">
        <v>289</v>
      </c>
      <c r="E258" t="s">
        <v>5263</v>
      </c>
      <c r="F258" t="s">
        <v>5093</v>
      </c>
      <c r="H258" t="s">
        <v>2936</v>
      </c>
      <c r="I258" s="8" t="s">
        <v>5166</v>
      </c>
      <c r="J258" s="8" t="s">
        <v>2982</v>
      </c>
      <c r="K258" t="s">
        <v>5167</v>
      </c>
      <c r="L258" t="s">
        <v>5168</v>
      </c>
      <c r="M258" s="3" t="str">
        <f>HYPERLINK(СторонТрансп[[#This Row],[RelativePath]])</f>
        <v>5 Крыльцо общага\K07156189_22_20251207T151708Z.jpg</v>
      </c>
    </row>
    <row r="259" spans="1:13" x14ac:dyDescent="0.25">
      <c r="A259" t="s">
        <v>22</v>
      </c>
      <c r="B259" s="4">
        <v>45998</v>
      </c>
      <c r="C259" s="6">
        <v>0.6521527777777778</v>
      </c>
      <c r="D259" s="7" t="s">
        <v>4232</v>
      </c>
      <c r="E259" t="s">
        <v>5263</v>
      </c>
      <c r="F259" t="s">
        <v>1609</v>
      </c>
      <c r="I259" s="8" t="s">
        <v>5169</v>
      </c>
      <c r="J259" s="8" t="s">
        <v>2982</v>
      </c>
      <c r="K259" t="s">
        <v>5170</v>
      </c>
      <c r="L259" t="s">
        <v>5171</v>
      </c>
      <c r="M259" s="3" t="str">
        <f>HYPERLINK(СторонТрансп[[#This Row],[RelativePath]])</f>
        <v>5 Крыльцо общага\K07156189_22_20251207T153906Z.jpg</v>
      </c>
    </row>
    <row r="260" spans="1:13" x14ac:dyDescent="0.25">
      <c r="A260" t="s">
        <v>22</v>
      </c>
      <c r="B260" s="4">
        <v>45998</v>
      </c>
      <c r="C260" s="6">
        <v>0.67266203703703709</v>
      </c>
      <c r="D260" s="7" t="s">
        <v>650</v>
      </c>
      <c r="E260" t="s">
        <v>5263</v>
      </c>
      <c r="F260" t="s">
        <v>1609</v>
      </c>
      <c r="I260" s="8" t="s">
        <v>5172</v>
      </c>
      <c r="J260" s="8" t="s">
        <v>2982</v>
      </c>
      <c r="K260" t="s">
        <v>5173</v>
      </c>
      <c r="L260" t="s">
        <v>5174</v>
      </c>
      <c r="M260" s="3" t="str">
        <f>HYPERLINK(СторонТрансп[[#This Row],[RelativePath]])</f>
        <v>5 Крыльцо общага\K07156189_22_20251207T160838Z.jpg</v>
      </c>
    </row>
    <row r="261" spans="1:13" x14ac:dyDescent="0.25">
      <c r="A261" t="s">
        <v>16</v>
      </c>
      <c r="B261" s="4">
        <v>46016</v>
      </c>
      <c r="C261" s="6">
        <v>0.51192129629629635</v>
      </c>
      <c r="D261" s="7" t="s">
        <v>4</v>
      </c>
      <c r="E261" t="s">
        <v>4193</v>
      </c>
      <c r="I261" s="8" t="s">
        <v>7673</v>
      </c>
      <c r="J261" s="8" t="s">
        <v>2982</v>
      </c>
      <c r="K261" t="s">
        <v>7674</v>
      </c>
      <c r="L261" t="s">
        <v>7675</v>
      </c>
      <c r="M261" s="3" t="str">
        <f>HYPERLINK(СторонТрансп[[#This Row],[RelativePath]])</f>
        <v>5 Крыльцо общага\K07156189_22_20251225T121710Z.jpg</v>
      </c>
    </row>
    <row r="262" spans="1:13" x14ac:dyDescent="0.25">
      <c r="A262" t="s">
        <v>18</v>
      </c>
      <c r="B262" s="4">
        <v>45990</v>
      </c>
      <c r="C262" s="6">
        <v>0.54023148148148148</v>
      </c>
      <c r="D262" s="7" t="s">
        <v>1606</v>
      </c>
      <c r="E262" t="s">
        <v>4194</v>
      </c>
      <c r="I262" s="8" t="s">
        <v>3561</v>
      </c>
      <c r="J262" s="8" t="s">
        <v>2984</v>
      </c>
      <c r="K262" t="s">
        <v>3562</v>
      </c>
      <c r="L262" t="s">
        <v>3563</v>
      </c>
      <c r="M262" s="3" t="str">
        <f>HYPERLINK(СторонТрансп[[#This Row],[RelativePath]])</f>
        <v>7 Площадка 2 бетонщики\K07156189_18_20251129T125756Z.jpg</v>
      </c>
    </row>
    <row r="263" spans="1:13" x14ac:dyDescent="0.25">
      <c r="A263" t="s">
        <v>18</v>
      </c>
      <c r="B263" s="4">
        <v>45990</v>
      </c>
      <c r="C263" s="6">
        <v>0.54586805555555551</v>
      </c>
      <c r="D263" s="7" t="s">
        <v>1606</v>
      </c>
      <c r="E263" t="s">
        <v>4217</v>
      </c>
      <c r="I263" s="8" t="s">
        <v>3564</v>
      </c>
      <c r="J263" s="8" t="s">
        <v>2984</v>
      </c>
      <c r="K263" t="s">
        <v>3565</v>
      </c>
      <c r="L263" t="s">
        <v>3566</v>
      </c>
      <c r="M263" s="3" t="str">
        <f>HYPERLINK(СторонТрансп[[#This Row],[RelativePath]])</f>
        <v>7 Площадка 2 бетонщики\K07156189_18_20251129T130603Z.jpg</v>
      </c>
    </row>
    <row r="264" spans="1:13" x14ac:dyDescent="0.25">
      <c r="A264" t="s">
        <v>18</v>
      </c>
      <c r="B264" s="4">
        <v>45990</v>
      </c>
      <c r="C264" s="6">
        <v>0.55248842592592595</v>
      </c>
      <c r="D264" s="7" t="s">
        <v>289</v>
      </c>
      <c r="E264" t="s">
        <v>4217</v>
      </c>
      <c r="F264" t="s">
        <v>4211</v>
      </c>
      <c r="I264" s="8" t="s">
        <v>3567</v>
      </c>
      <c r="J264" s="8" t="s">
        <v>2984</v>
      </c>
      <c r="K264" t="s">
        <v>3568</v>
      </c>
      <c r="L264" t="s">
        <v>3569</v>
      </c>
      <c r="M264" s="3" t="str">
        <f>HYPERLINK(СторонТрансп[[#This Row],[RelativePath]])</f>
        <v>7 Площадка 2 бетонщики\K07156189_18_20251129T131535Z.jpg</v>
      </c>
    </row>
    <row r="265" spans="1:13" x14ac:dyDescent="0.25">
      <c r="A265" t="s">
        <v>18</v>
      </c>
      <c r="B265" s="4">
        <v>45990</v>
      </c>
      <c r="C265" s="6">
        <v>0.55314814814814817</v>
      </c>
      <c r="D265" s="7" t="s">
        <v>289</v>
      </c>
      <c r="E265" t="s">
        <v>4217</v>
      </c>
      <c r="F265" t="s">
        <v>4211</v>
      </c>
      <c r="H265" t="s">
        <v>2936</v>
      </c>
      <c r="I265" s="8" t="s">
        <v>3570</v>
      </c>
      <c r="J265" s="8" t="s">
        <v>2984</v>
      </c>
      <c r="K265" t="s">
        <v>3571</v>
      </c>
      <c r="L265" t="s">
        <v>3572</v>
      </c>
      <c r="M265" s="3" t="str">
        <f>HYPERLINK(СторонТрансп[[#This Row],[RelativePath]])</f>
        <v>7 Площадка 2 бетонщики\K07156189_18_20251129T131632Z.jpg</v>
      </c>
    </row>
    <row r="266" spans="1:13" x14ac:dyDescent="0.25">
      <c r="A266" t="s">
        <v>18</v>
      </c>
      <c r="B266" s="4">
        <v>45990</v>
      </c>
      <c r="C266" s="6">
        <v>0.55888888888888888</v>
      </c>
      <c r="D266" s="7" t="s">
        <v>289</v>
      </c>
      <c r="E266" t="s">
        <v>4217</v>
      </c>
      <c r="F266" t="s">
        <v>4211</v>
      </c>
      <c r="H266" t="s">
        <v>2936</v>
      </c>
      <c r="I266" s="8" t="s">
        <v>3573</v>
      </c>
      <c r="J266" s="8" t="s">
        <v>2984</v>
      </c>
      <c r="K266" t="s">
        <v>3574</v>
      </c>
      <c r="L266" t="s">
        <v>3575</v>
      </c>
      <c r="M266" s="3" t="str">
        <f>HYPERLINK(СторонТрансп[[#This Row],[RelativePath]])</f>
        <v>7 Площадка 2 бетонщики\K07156189_18_20251129T132448Z.jpg</v>
      </c>
    </row>
    <row r="267" spans="1:13" x14ac:dyDescent="0.25">
      <c r="A267" t="s">
        <v>18</v>
      </c>
      <c r="B267" s="4">
        <v>45990</v>
      </c>
      <c r="C267" s="6">
        <v>0.5607523148148148</v>
      </c>
      <c r="D267" s="7" t="s">
        <v>289</v>
      </c>
      <c r="E267" t="s">
        <v>4217</v>
      </c>
      <c r="F267" t="s">
        <v>4211</v>
      </c>
      <c r="H267" t="s">
        <v>2936</v>
      </c>
      <c r="I267" s="8" t="s">
        <v>3576</v>
      </c>
      <c r="J267" s="8" t="s">
        <v>2984</v>
      </c>
      <c r="K267" t="s">
        <v>3577</v>
      </c>
      <c r="L267" t="s">
        <v>3578</v>
      </c>
      <c r="M267" s="3" t="str">
        <f>HYPERLINK(СторонТрансп[[#This Row],[RelativePath]])</f>
        <v>7 Площадка 2 бетонщики\K07156189_18_20251129T132729Z.jpg</v>
      </c>
    </row>
    <row r="268" spans="1:13" x14ac:dyDescent="0.25">
      <c r="A268" t="s">
        <v>18</v>
      </c>
      <c r="B268" s="4">
        <v>45990</v>
      </c>
      <c r="C268" s="6">
        <v>0.56593749999999998</v>
      </c>
      <c r="D268" s="7" t="s">
        <v>289</v>
      </c>
      <c r="E268" t="s">
        <v>4217</v>
      </c>
      <c r="F268" t="s">
        <v>4211</v>
      </c>
      <c r="H268" t="s">
        <v>2936</v>
      </c>
      <c r="I268" s="8" t="s">
        <v>3579</v>
      </c>
      <c r="J268" s="8" t="s">
        <v>2984</v>
      </c>
      <c r="K268" t="s">
        <v>3580</v>
      </c>
      <c r="L268" t="s">
        <v>3581</v>
      </c>
      <c r="M268" s="3" t="str">
        <f>HYPERLINK(СторонТрансп[[#This Row],[RelativePath]])</f>
        <v>7 Площадка 2 бетонщики\K07156189_18_20251129T133457Z.jpg</v>
      </c>
    </row>
    <row r="269" spans="1:13" x14ac:dyDescent="0.25">
      <c r="A269" t="s">
        <v>18</v>
      </c>
      <c r="B269" s="4">
        <v>45990</v>
      </c>
      <c r="C269" s="6">
        <v>0.56846064814814812</v>
      </c>
      <c r="D269" s="7" t="s">
        <v>289</v>
      </c>
      <c r="E269" t="s">
        <v>4217</v>
      </c>
      <c r="F269" t="s">
        <v>4211</v>
      </c>
      <c r="H269" t="s">
        <v>2936</v>
      </c>
      <c r="I269" s="8" t="s">
        <v>3582</v>
      </c>
      <c r="J269" s="8" t="s">
        <v>2984</v>
      </c>
      <c r="K269" t="s">
        <v>3583</v>
      </c>
      <c r="L269" t="s">
        <v>3584</v>
      </c>
      <c r="M269" s="3" t="str">
        <f>HYPERLINK(СторонТрансп[[#This Row],[RelativePath]])</f>
        <v>7 Площадка 2 бетонщики\K07156189_18_20251129T133835Z.jpg</v>
      </c>
    </row>
    <row r="270" spans="1:13" x14ac:dyDescent="0.25">
      <c r="A270" t="s">
        <v>18</v>
      </c>
      <c r="B270" s="4">
        <v>45990</v>
      </c>
      <c r="C270" s="6">
        <v>0.57168981481481485</v>
      </c>
      <c r="D270" s="7" t="s">
        <v>289</v>
      </c>
      <c r="E270" t="s">
        <v>4217</v>
      </c>
      <c r="F270" t="s">
        <v>4211</v>
      </c>
      <c r="H270" t="s">
        <v>2936</v>
      </c>
      <c r="I270" s="8" t="s">
        <v>3585</v>
      </c>
      <c r="J270" s="8" t="s">
        <v>2984</v>
      </c>
      <c r="K270" t="s">
        <v>3586</v>
      </c>
      <c r="L270" t="s">
        <v>3587</v>
      </c>
      <c r="M270" s="3" t="str">
        <f>HYPERLINK(СторонТрансп[[#This Row],[RelativePath]])</f>
        <v>7 Площадка 2 бетонщики\K07156189_18_20251129T134314Z.jpg</v>
      </c>
    </row>
    <row r="271" spans="1:13" x14ac:dyDescent="0.25">
      <c r="A271" t="s">
        <v>18</v>
      </c>
      <c r="B271" s="4">
        <v>45990</v>
      </c>
      <c r="C271" s="6">
        <v>0.57275462962962964</v>
      </c>
      <c r="D271" s="7" t="s">
        <v>289</v>
      </c>
      <c r="E271" t="s">
        <v>4217</v>
      </c>
      <c r="F271" t="s">
        <v>4211</v>
      </c>
      <c r="H271" t="s">
        <v>2936</v>
      </c>
      <c r="I271" s="8" t="s">
        <v>3588</v>
      </c>
      <c r="J271" s="8" t="s">
        <v>2984</v>
      </c>
      <c r="K271" t="s">
        <v>3589</v>
      </c>
      <c r="L271" t="s">
        <v>3590</v>
      </c>
      <c r="M271" s="3" t="str">
        <f>HYPERLINK(СторонТрансп[[#This Row],[RelativePath]])</f>
        <v>7 Площадка 2 бетонщики\K07156189_18_20251129T134446Z.jpg</v>
      </c>
    </row>
    <row r="272" spans="1:13" x14ac:dyDescent="0.25">
      <c r="A272" t="s">
        <v>18</v>
      </c>
      <c r="B272" s="4">
        <v>45990</v>
      </c>
      <c r="C272" s="6">
        <v>0.57449074074074069</v>
      </c>
      <c r="D272" s="7" t="s">
        <v>289</v>
      </c>
      <c r="E272" t="s">
        <v>4217</v>
      </c>
      <c r="F272" t="s">
        <v>4211</v>
      </c>
      <c r="H272" t="s">
        <v>2936</v>
      </c>
      <c r="I272" s="8" t="s">
        <v>3591</v>
      </c>
      <c r="J272" s="8" t="s">
        <v>2984</v>
      </c>
      <c r="K272" t="s">
        <v>3592</v>
      </c>
      <c r="L272" t="s">
        <v>3593</v>
      </c>
      <c r="M272" s="3" t="str">
        <f>HYPERLINK(СторонТрансп[[#This Row],[RelativePath]])</f>
        <v>7 Площадка 2 бетонщики\K07156189_18_20251129T134716Z.jpg</v>
      </c>
    </row>
    <row r="273" spans="1:13" x14ac:dyDescent="0.25">
      <c r="A273" t="s">
        <v>18</v>
      </c>
      <c r="B273" s="4">
        <v>45990</v>
      </c>
      <c r="C273" s="6">
        <v>0.57677083333333334</v>
      </c>
      <c r="D273" s="7" t="s">
        <v>289</v>
      </c>
      <c r="E273" t="s">
        <v>4217</v>
      </c>
      <c r="F273" t="s">
        <v>4211</v>
      </c>
      <c r="H273" t="s">
        <v>2936</v>
      </c>
      <c r="I273" s="8" t="s">
        <v>3594</v>
      </c>
      <c r="J273" s="8" t="s">
        <v>2984</v>
      </c>
      <c r="K273" t="s">
        <v>3595</v>
      </c>
      <c r="L273" t="s">
        <v>3596</v>
      </c>
      <c r="M273" s="3" t="str">
        <f>HYPERLINK(СторонТрансп[[#This Row],[RelativePath]])</f>
        <v>7 Площадка 2 бетонщики\K07156189_18_20251129T135033Z.jpg</v>
      </c>
    </row>
    <row r="274" spans="1:13" x14ac:dyDescent="0.25">
      <c r="A274" t="s">
        <v>18</v>
      </c>
      <c r="B274" s="4">
        <v>45990</v>
      </c>
      <c r="C274" s="6">
        <v>0.57995370370370369</v>
      </c>
      <c r="D274" s="7" t="s">
        <v>289</v>
      </c>
      <c r="E274" t="s">
        <v>4217</v>
      </c>
      <c r="F274" t="s">
        <v>4211</v>
      </c>
      <c r="H274" t="s">
        <v>2936</v>
      </c>
      <c r="I274" s="8" t="s">
        <v>3597</v>
      </c>
      <c r="J274" s="8" t="s">
        <v>2984</v>
      </c>
      <c r="K274" t="s">
        <v>3598</v>
      </c>
      <c r="L274" t="s">
        <v>3599</v>
      </c>
      <c r="M274" s="3" t="str">
        <f>HYPERLINK(СторонТрансп[[#This Row],[RelativePath]])</f>
        <v>7 Площадка 2 бетонщики\K07156189_18_20251129T135508Z.jpg</v>
      </c>
    </row>
    <row r="275" spans="1:13" x14ac:dyDescent="0.25">
      <c r="A275" t="s">
        <v>18</v>
      </c>
      <c r="B275" s="4">
        <v>45990</v>
      </c>
      <c r="C275" s="6">
        <v>0.58212962962962966</v>
      </c>
      <c r="D275" s="7" t="s">
        <v>289</v>
      </c>
      <c r="E275" t="s">
        <v>4217</v>
      </c>
      <c r="F275" t="s">
        <v>4211</v>
      </c>
      <c r="H275" t="s">
        <v>2936</v>
      </c>
      <c r="I275" s="8" t="s">
        <v>3600</v>
      </c>
      <c r="J275" s="8" t="s">
        <v>2984</v>
      </c>
      <c r="K275" t="s">
        <v>3601</v>
      </c>
      <c r="L275" t="s">
        <v>3602</v>
      </c>
      <c r="M275" s="3" t="str">
        <f>HYPERLINK(СторонТрансп[[#This Row],[RelativePath]])</f>
        <v>7 Площадка 2 бетонщики\K07156189_18_20251129T135816Z.jpg</v>
      </c>
    </row>
    <row r="276" spans="1:13" x14ac:dyDescent="0.25">
      <c r="A276" t="s">
        <v>18</v>
      </c>
      <c r="B276" s="4">
        <v>45990</v>
      </c>
      <c r="C276" s="6">
        <v>0.58278935185185188</v>
      </c>
      <c r="D276" s="7" t="s">
        <v>289</v>
      </c>
      <c r="E276" t="s">
        <v>4217</v>
      </c>
      <c r="F276" t="s">
        <v>4211</v>
      </c>
      <c r="H276" t="s">
        <v>2936</v>
      </c>
      <c r="I276" s="8" t="s">
        <v>3603</v>
      </c>
      <c r="J276" s="8" t="s">
        <v>2984</v>
      </c>
      <c r="K276" t="s">
        <v>3604</v>
      </c>
      <c r="L276" t="s">
        <v>3605</v>
      </c>
      <c r="M276" s="3" t="str">
        <f>HYPERLINK(СторонТрансп[[#This Row],[RelativePath]])</f>
        <v>7 Площадка 2 бетонщики\K07156189_18_20251129T135913Z.jpg</v>
      </c>
    </row>
    <row r="277" spans="1:13" x14ac:dyDescent="0.25">
      <c r="A277" t="s">
        <v>18</v>
      </c>
      <c r="B277" s="4">
        <v>45990</v>
      </c>
      <c r="C277" s="6">
        <v>0.58450231481481485</v>
      </c>
      <c r="D277" s="7" t="s">
        <v>289</v>
      </c>
      <c r="E277" t="s">
        <v>4217</v>
      </c>
      <c r="F277" t="s">
        <v>4211</v>
      </c>
      <c r="H277" t="s">
        <v>2936</v>
      </c>
      <c r="I277" s="8" t="s">
        <v>3606</v>
      </c>
      <c r="J277" s="8" t="s">
        <v>2984</v>
      </c>
      <c r="K277" t="s">
        <v>3607</v>
      </c>
      <c r="L277" t="s">
        <v>3608</v>
      </c>
      <c r="M277" s="3" t="str">
        <f>HYPERLINK(СторонТрансп[[#This Row],[RelativePath]])</f>
        <v>7 Площадка 2 бетонщики\K07156189_18_20251129T140141Z.jpg</v>
      </c>
    </row>
    <row r="278" spans="1:13" x14ac:dyDescent="0.25">
      <c r="A278" t="s">
        <v>18</v>
      </c>
      <c r="B278" s="4">
        <v>45990</v>
      </c>
      <c r="C278" s="6">
        <v>0.59234953703703708</v>
      </c>
      <c r="D278" s="7" t="s">
        <v>650</v>
      </c>
      <c r="E278" t="s">
        <v>4217</v>
      </c>
      <c r="F278" t="s">
        <v>4211</v>
      </c>
      <c r="H278" t="s">
        <v>4218</v>
      </c>
      <c r="I278" s="8" t="s">
        <v>3609</v>
      </c>
      <c r="J278" s="8" t="s">
        <v>2984</v>
      </c>
      <c r="K278" t="s">
        <v>3610</v>
      </c>
      <c r="L278" t="s">
        <v>3611</v>
      </c>
      <c r="M278" s="3" t="str">
        <f>HYPERLINK(СторонТрансп[[#This Row],[RelativePath]])</f>
        <v>7 Площадка 2 бетонщики\K07156189_18_20251129T141259Z.jpg</v>
      </c>
    </row>
    <row r="279" spans="1:13" x14ac:dyDescent="0.25">
      <c r="A279" t="s">
        <v>18</v>
      </c>
      <c r="B279" s="4">
        <v>45990</v>
      </c>
      <c r="C279" s="6">
        <v>0.61375000000000002</v>
      </c>
      <c r="D279" s="7" t="s">
        <v>289</v>
      </c>
      <c r="E279" t="s">
        <v>4194</v>
      </c>
      <c r="F279" t="s">
        <v>4211</v>
      </c>
      <c r="I279" s="8" t="s">
        <v>3612</v>
      </c>
      <c r="J279" s="8" t="s">
        <v>2984</v>
      </c>
      <c r="K279" t="s">
        <v>3613</v>
      </c>
      <c r="L279" t="s">
        <v>3614</v>
      </c>
      <c r="M279" s="3" t="str">
        <f>HYPERLINK(СторонТрансп[[#This Row],[RelativePath]])</f>
        <v>7 Площадка 2 бетонщики\K07156189_18_20251129T144348Z.jpg</v>
      </c>
    </row>
    <row r="280" spans="1:13" x14ac:dyDescent="0.25">
      <c r="A280" t="s">
        <v>18</v>
      </c>
      <c r="B280" s="4">
        <v>45990</v>
      </c>
      <c r="C280" s="6">
        <v>0.61790509259259263</v>
      </c>
      <c r="D280" s="7" t="s">
        <v>289</v>
      </c>
      <c r="E280" t="s">
        <v>4194</v>
      </c>
      <c r="F280" t="s">
        <v>4211</v>
      </c>
      <c r="H280" t="s">
        <v>2936</v>
      </c>
      <c r="I280" s="8" t="s">
        <v>3615</v>
      </c>
      <c r="J280" s="8" t="s">
        <v>2984</v>
      </c>
      <c r="K280" t="s">
        <v>3616</v>
      </c>
      <c r="L280" t="s">
        <v>3617</v>
      </c>
      <c r="M280" s="3" t="str">
        <f>HYPERLINK(СторонТрансп[[#This Row],[RelativePath]])</f>
        <v>7 Площадка 2 бетонщики\K07156189_18_20251129T144947Z.jpg</v>
      </c>
    </row>
    <row r="281" spans="1:13" x14ac:dyDescent="0.25">
      <c r="A281" t="s">
        <v>18</v>
      </c>
      <c r="B281" s="4">
        <v>45990</v>
      </c>
      <c r="C281" s="6">
        <v>0.61982638888888886</v>
      </c>
      <c r="D281" s="7" t="s">
        <v>289</v>
      </c>
      <c r="E281" t="s">
        <v>4194</v>
      </c>
      <c r="F281" t="s">
        <v>4211</v>
      </c>
      <c r="H281" t="s">
        <v>2936</v>
      </c>
      <c r="I281" s="8" t="s">
        <v>3618</v>
      </c>
      <c r="J281" s="8" t="s">
        <v>2984</v>
      </c>
      <c r="K281" t="s">
        <v>3619</v>
      </c>
      <c r="L281" t="s">
        <v>3620</v>
      </c>
      <c r="M281" s="3" t="str">
        <f>HYPERLINK(СторонТрансп[[#This Row],[RelativePath]])</f>
        <v>7 Площадка 2 бетонщики\K07156189_18_20251129T145233Z.jpg</v>
      </c>
    </row>
    <row r="282" spans="1:13" x14ac:dyDescent="0.25">
      <c r="A282" t="s">
        <v>18</v>
      </c>
      <c r="B282" s="4">
        <v>45990</v>
      </c>
      <c r="C282" s="6">
        <v>0.6216666666666667</v>
      </c>
      <c r="D282" s="7" t="s">
        <v>289</v>
      </c>
      <c r="E282" t="s">
        <v>4194</v>
      </c>
      <c r="F282" t="s">
        <v>4211</v>
      </c>
      <c r="H282" t="s">
        <v>2936</v>
      </c>
      <c r="I282" s="8" t="s">
        <v>3621</v>
      </c>
      <c r="J282" s="8" t="s">
        <v>2984</v>
      </c>
      <c r="K282" t="s">
        <v>3622</v>
      </c>
      <c r="L282" t="s">
        <v>3623</v>
      </c>
      <c r="M282" s="3" t="str">
        <f>HYPERLINK(СторонТрансп[[#This Row],[RelativePath]])</f>
        <v>7 Площадка 2 бетонщики\K07156189_18_20251129T145512Z.jpg</v>
      </c>
    </row>
    <row r="283" spans="1:13" x14ac:dyDescent="0.25">
      <c r="A283" t="s">
        <v>18</v>
      </c>
      <c r="B283" s="4">
        <v>45990</v>
      </c>
      <c r="C283" s="6">
        <v>0.62410879629629634</v>
      </c>
      <c r="D283" s="7" t="s">
        <v>289</v>
      </c>
      <c r="E283" t="s">
        <v>4194</v>
      </c>
      <c r="F283" t="s">
        <v>4211</v>
      </c>
      <c r="H283" t="s">
        <v>2936</v>
      </c>
      <c r="I283" s="8" t="s">
        <v>3624</v>
      </c>
      <c r="J283" s="8" t="s">
        <v>2984</v>
      </c>
      <c r="K283" t="s">
        <v>3625</v>
      </c>
      <c r="L283" t="s">
        <v>3626</v>
      </c>
      <c r="M283" s="3" t="str">
        <f>HYPERLINK(СторонТрансп[[#This Row],[RelativePath]])</f>
        <v>7 Площадка 2 бетонщики\K07156189_18_20251129T145843Z.jpg</v>
      </c>
    </row>
    <row r="284" spans="1:13" x14ac:dyDescent="0.25">
      <c r="A284" t="s">
        <v>18</v>
      </c>
      <c r="B284" s="4">
        <v>45990</v>
      </c>
      <c r="C284" s="6">
        <v>0.62604166666666672</v>
      </c>
      <c r="D284" s="7" t="s">
        <v>289</v>
      </c>
      <c r="E284" t="s">
        <v>4194</v>
      </c>
      <c r="F284" t="s">
        <v>4211</v>
      </c>
      <c r="H284" t="s">
        <v>2936</v>
      </c>
      <c r="I284" s="8" t="s">
        <v>3627</v>
      </c>
      <c r="J284" s="8" t="s">
        <v>2984</v>
      </c>
      <c r="K284" t="s">
        <v>3628</v>
      </c>
      <c r="L284" t="s">
        <v>3629</v>
      </c>
      <c r="M284" s="3" t="str">
        <f>HYPERLINK(СторонТрансп[[#This Row],[RelativePath]])</f>
        <v>7 Площадка 2 бетонщики\K07156189_18_20251129T150130Z.jpg</v>
      </c>
    </row>
    <row r="285" spans="1:13" x14ac:dyDescent="0.25">
      <c r="A285" t="s">
        <v>18</v>
      </c>
      <c r="B285" s="4">
        <v>45990</v>
      </c>
      <c r="C285" s="6">
        <v>0.63124999999999998</v>
      </c>
      <c r="D285" s="7" t="s">
        <v>289</v>
      </c>
      <c r="E285" t="s">
        <v>4194</v>
      </c>
      <c r="F285" t="s">
        <v>4211</v>
      </c>
      <c r="H285" t="s">
        <v>2936</v>
      </c>
      <c r="I285" s="8" t="s">
        <v>3630</v>
      </c>
      <c r="J285" s="8" t="s">
        <v>2984</v>
      </c>
      <c r="K285" t="s">
        <v>3631</v>
      </c>
      <c r="L285" t="s">
        <v>3632</v>
      </c>
      <c r="M285" s="3" t="str">
        <f>HYPERLINK(СторонТрансп[[#This Row],[RelativePath]])</f>
        <v>7 Площадка 2 бетонщики\K07156189_18_20251129T150900Z.jpg</v>
      </c>
    </row>
    <row r="286" spans="1:13" x14ac:dyDescent="0.25">
      <c r="A286" t="s">
        <v>18</v>
      </c>
      <c r="B286" s="4">
        <v>45990</v>
      </c>
      <c r="C286" s="6">
        <v>0.6338773148148148</v>
      </c>
      <c r="D286" s="7" t="s">
        <v>289</v>
      </c>
      <c r="E286" t="s">
        <v>4194</v>
      </c>
      <c r="F286" t="s">
        <v>4211</v>
      </c>
      <c r="H286" t="s">
        <v>2936</v>
      </c>
      <c r="I286" s="8" t="s">
        <v>3633</v>
      </c>
      <c r="J286" s="8" t="s">
        <v>2984</v>
      </c>
      <c r="K286" t="s">
        <v>3634</v>
      </c>
      <c r="L286" t="s">
        <v>3635</v>
      </c>
      <c r="M286" s="3" t="str">
        <f>HYPERLINK(СторонТрансп[[#This Row],[RelativePath]])</f>
        <v>7 Площадка 2 бетонщики\K07156189_18_20251129T151247Z.jpg</v>
      </c>
    </row>
    <row r="287" spans="1:13" x14ac:dyDescent="0.25">
      <c r="A287" t="s">
        <v>18</v>
      </c>
      <c r="B287" s="4">
        <v>45990</v>
      </c>
      <c r="C287" s="6">
        <v>0.63736111111111116</v>
      </c>
      <c r="D287" s="7" t="s">
        <v>289</v>
      </c>
      <c r="E287" t="s">
        <v>4194</v>
      </c>
      <c r="F287" t="s">
        <v>4211</v>
      </c>
      <c r="H287" t="s">
        <v>2936</v>
      </c>
      <c r="I287" s="8" t="s">
        <v>3636</v>
      </c>
      <c r="J287" s="8" t="s">
        <v>2984</v>
      </c>
      <c r="K287" t="s">
        <v>3637</v>
      </c>
      <c r="L287" t="s">
        <v>3638</v>
      </c>
      <c r="M287" s="3" t="str">
        <f>HYPERLINK(СторонТрансп[[#This Row],[RelativePath]])</f>
        <v>7 Площадка 2 бетонщики\K07156189_18_20251129T151748Z.jpg</v>
      </c>
    </row>
    <row r="288" spans="1:13" x14ac:dyDescent="0.25">
      <c r="A288" t="s">
        <v>18</v>
      </c>
      <c r="B288" s="4">
        <v>45990</v>
      </c>
      <c r="C288" s="6">
        <v>0.63914351851851847</v>
      </c>
      <c r="D288" s="7" t="s">
        <v>289</v>
      </c>
      <c r="E288" t="s">
        <v>4194</v>
      </c>
      <c r="F288" t="s">
        <v>4211</v>
      </c>
      <c r="H288" t="s">
        <v>2936</v>
      </c>
      <c r="I288" s="8" t="s">
        <v>3639</v>
      </c>
      <c r="J288" s="8" t="s">
        <v>2984</v>
      </c>
      <c r="K288" t="s">
        <v>3640</v>
      </c>
      <c r="L288" t="s">
        <v>3641</v>
      </c>
      <c r="M288" s="3" t="str">
        <f>HYPERLINK(СторонТрансп[[#This Row],[RelativePath]])</f>
        <v>7 Площадка 2 бетонщики\K07156189_18_20251129T152022Z.jpg</v>
      </c>
    </row>
    <row r="289" spans="1:13" x14ac:dyDescent="0.25">
      <c r="A289" t="s">
        <v>18</v>
      </c>
      <c r="B289" s="4">
        <v>45990</v>
      </c>
      <c r="C289" s="6">
        <v>0.64195601851851847</v>
      </c>
      <c r="D289" s="7" t="s">
        <v>289</v>
      </c>
      <c r="E289" t="s">
        <v>4194</v>
      </c>
      <c r="F289" t="s">
        <v>4211</v>
      </c>
      <c r="H289" t="s">
        <v>2936</v>
      </c>
      <c r="I289" s="8" t="s">
        <v>3642</v>
      </c>
      <c r="J289" s="8" t="s">
        <v>2984</v>
      </c>
      <c r="K289" t="s">
        <v>3643</v>
      </c>
      <c r="L289" t="s">
        <v>3644</v>
      </c>
      <c r="M289" s="3" t="str">
        <f>HYPERLINK(СторонТрансп[[#This Row],[RelativePath]])</f>
        <v>7 Площадка 2 бетонщики\K07156189_18_20251129T152425Z.jpg</v>
      </c>
    </row>
    <row r="290" spans="1:13" x14ac:dyDescent="0.25">
      <c r="A290" t="s">
        <v>18</v>
      </c>
      <c r="B290" s="4">
        <v>45990</v>
      </c>
      <c r="C290" s="6">
        <v>0.64386574074074077</v>
      </c>
      <c r="D290" s="7" t="s">
        <v>289</v>
      </c>
      <c r="E290" t="s">
        <v>4194</v>
      </c>
      <c r="F290" t="s">
        <v>87</v>
      </c>
      <c r="I290" s="8" t="s">
        <v>3645</v>
      </c>
      <c r="J290" s="8" t="s">
        <v>2984</v>
      </c>
      <c r="K290" t="s">
        <v>3646</v>
      </c>
      <c r="L290" t="s">
        <v>3647</v>
      </c>
      <c r="M290" s="3" t="str">
        <f>HYPERLINK(СторонТрансп[[#This Row],[RelativePath]])</f>
        <v>7 Площадка 2 бетонщики\K07156189_18_20251129T152710Z.jpg</v>
      </c>
    </row>
    <row r="291" spans="1:13" x14ac:dyDescent="0.25">
      <c r="A291" t="s">
        <v>18</v>
      </c>
      <c r="B291" s="4">
        <v>45990</v>
      </c>
      <c r="C291" s="6">
        <v>0.64961805555555552</v>
      </c>
      <c r="D291" s="7" t="s">
        <v>1606</v>
      </c>
      <c r="E291" t="s">
        <v>4195</v>
      </c>
      <c r="I291" s="8" t="s">
        <v>3648</v>
      </c>
      <c r="J291" s="8" t="s">
        <v>2984</v>
      </c>
      <c r="K291" t="s">
        <v>3649</v>
      </c>
      <c r="L291" t="s">
        <v>3377</v>
      </c>
      <c r="M291" s="3" t="str">
        <f>HYPERLINK(СторонТрансп[[#This Row],[RelativePath]])</f>
        <v>7 Площадка 2 бетонщики\K07156189_18_20251129T153527Z.jpg</v>
      </c>
    </row>
    <row r="292" spans="1:13" x14ac:dyDescent="0.25">
      <c r="A292" t="s">
        <v>18</v>
      </c>
      <c r="B292" s="4">
        <v>45990</v>
      </c>
      <c r="C292" s="6">
        <v>0.64981481481481485</v>
      </c>
      <c r="D292" s="7" t="s">
        <v>1606</v>
      </c>
      <c r="E292" t="s">
        <v>4195</v>
      </c>
      <c r="H292" t="s">
        <v>2936</v>
      </c>
      <c r="I292" s="8" t="s">
        <v>3650</v>
      </c>
      <c r="J292" s="8" t="s">
        <v>2984</v>
      </c>
      <c r="K292" t="s">
        <v>3651</v>
      </c>
      <c r="L292" t="s">
        <v>3652</v>
      </c>
      <c r="M292" s="3" t="str">
        <f>HYPERLINK(СторонТрансп[[#This Row],[RelativePath]])</f>
        <v>7 Площадка 2 бетонщики\K07156189_18_20251129T153544Z.jpg</v>
      </c>
    </row>
    <row r="293" spans="1:13" x14ac:dyDescent="0.25">
      <c r="A293" t="s">
        <v>18</v>
      </c>
      <c r="B293" s="4">
        <v>45990</v>
      </c>
      <c r="C293" s="6">
        <v>0.65312499999999996</v>
      </c>
      <c r="D293" s="7" t="s">
        <v>289</v>
      </c>
      <c r="E293" t="s">
        <v>4195</v>
      </c>
      <c r="F293" t="s">
        <v>4211</v>
      </c>
      <c r="I293" s="8" t="s">
        <v>3653</v>
      </c>
      <c r="J293" s="8" t="s">
        <v>2984</v>
      </c>
      <c r="K293" t="s">
        <v>3654</v>
      </c>
      <c r="L293" t="s">
        <v>3655</v>
      </c>
      <c r="M293" s="3" t="str">
        <f>HYPERLINK(СторонТрансп[[#This Row],[RelativePath]])</f>
        <v>7 Площадка 2 бетонщики\K07156189_18_20251129T154030Z.jpg</v>
      </c>
    </row>
    <row r="294" spans="1:13" x14ac:dyDescent="0.25">
      <c r="A294" t="s">
        <v>18</v>
      </c>
      <c r="B294" s="4">
        <v>45990</v>
      </c>
      <c r="C294" s="6">
        <v>0.65543981481481484</v>
      </c>
      <c r="D294" s="7" t="s">
        <v>289</v>
      </c>
      <c r="E294" t="s">
        <v>4195</v>
      </c>
      <c r="F294" t="s">
        <v>4211</v>
      </c>
      <c r="H294" t="s">
        <v>2936</v>
      </c>
      <c r="I294" s="8" t="s">
        <v>3656</v>
      </c>
      <c r="J294" s="8" t="s">
        <v>2984</v>
      </c>
      <c r="K294" t="s">
        <v>3657</v>
      </c>
      <c r="L294" t="s">
        <v>3658</v>
      </c>
      <c r="M294" s="3" t="str">
        <f>HYPERLINK(СторонТрансп[[#This Row],[RelativePath]])</f>
        <v>7 Площадка 2 бетонщики\K07156189_18_20251129T154350Z.jpg</v>
      </c>
    </row>
    <row r="295" spans="1:13" x14ac:dyDescent="0.25">
      <c r="A295" t="s">
        <v>18</v>
      </c>
      <c r="B295" s="4">
        <v>45990</v>
      </c>
      <c r="C295" s="6">
        <v>0.65699074074074071</v>
      </c>
      <c r="D295" s="7" t="s">
        <v>289</v>
      </c>
      <c r="E295" t="s">
        <v>4195</v>
      </c>
      <c r="F295" t="s">
        <v>4211</v>
      </c>
      <c r="H295" t="s">
        <v>2936</v>
      </c>
      <c r="I295" s="8" t="s">
        <v>3659</v>
      </c>
      <c r="J295" s="8" t="s">
        <v>2984</v>
      </c>
      <c r="K295" t="s">
        <v>3660</v>
      </c>
      <c r="L295" t="s">
        <v>3661</v>
      </c>
      <c r="M295" s="3" t="str">
        <f>HYPERLINK(СторонТрансп[[#This Row],[RelativePath]])</f>
        <v>7 Площадка 2 бетонщики\K07156189_18_20251129T154604Z.jpg</v>
      </c>
    </row>
    <row r="296" spans="1:13" x14ac:dyDescent="0.25">
      <c r="A296" t="s">
        <v>18</v>
      </c>
      <c r="B296" s="4">
        <v>45990</v>
      </c>
      <c r="C296" s="6">
        <v>0.65927083333333336</v>
      </c>
      <c r="D296" s="7" t="s">
        <v>289</v>
      </c>
      <c r="E296" t="s">
        <v>4195</v>
      </c>
      <c r="F296" t="s">
        <v>4211</v>
      </c>
      <c r="H296" t="s">
        <v>2936</v>
      </c>
      <c r="I296" s="8" t="s">
        <v>3662</v>
      </c>
      <c r="J296" s="8" t="s">
        <v>2984</v>
      </c>
      <c r="K296" t="s">
        <v>3663</v>
      </c>
      <c r="L296" t="s">
        <v>3664</v>
      </c>
      <c r="M296" s="3" t="str">
        <f>HYPERLINK(СторонТрансп[[#This Row],[RelativePath]])</f>
        <v>7 Площадка 2 бетонщики\K07156189_18_20251129T154921Z.jpg</v>
      </c>
    </row>
    <row r="297" spans="1:13" x14ac:dyDescent="0.25">
      <c r="A297" t="s">
        <v>18</v>
      </c>
      <c r="B297" s="4">
        <v>45990</v>
      </c>
      <c r="C297" s="6">
        <v>0.66106481481481483</v>
      </c>
      <c r="D297" s="7" t="s">
        <v>289</v>
      </c>
      <c r="E297" t="s">
        <v>4195</v>
      </c>
      <c r="F297" t="s">
        <v>4211</v>
      </c>
      <c r="H297" t="s">
        <v>2936</v>
      </c>
      <c r="I297" s="8" t="s">
        <v>3665</v>
      </c>
      <c r="J297" s="8" t="s">
        <v>2984</v>
      </c>
      <c r="K297" t="s">
        <v>3666</v>
      </c>
      <c r="L297" t="s">
        <v>3667</v>
      </c>
      <c r="M297" s="3" t="str">
        <f>HYPERLINK(СторонТрансп[[#This Row],[RelativePath]])</f>
        <v>7 Площадка 2 бетонщики\K07156189_18_20251129T155156Z.jpg</v>
      </c>
    </row>
    <row r="298" spans="1:13" x14ac:dyDescent="0.25">
      <c r="A298" t="s">
        <v>18</v>
      </c>
      <c r="B298" s="4">
        <v>45990</v>
      </c>
      <c r="C298" s="6">
        <v>0.66378472222222218</v>
      </c>
      <c r="D298" s="7" t="s">
        <v>289</v>
      </c>
      <c r="E298" t="s">
        <v>4195</v>
      </c>
      <c r="F298" t="s">
        <v>4211</v>
      </c>
      <c r="H298" t="s">
        <v>2936</v>
      </c>
      <c r="I298" s="8" t="s">
        <v>3668</v>
      </c>
      <c r="J298" s="8" t="s">
        <v>2984</v>
      </c>
      <c r="K298" t="s">
        <v>3669</v>
      </c>
      <c r="L298" t="s">
        <v>3670</v>
      </c>
      <c r="M298" s="3" t="str">
        <f>HYPERLINK(СторонТрансп[[#This Row],[RelativePath]])</f>
        <v>7 Площадка 2 бетонщики\K07156189_18_20251129T155551Z.jpg</v>
      </c>
    </row>
    <row r="299" spans="1:13" x14ac:dyDescent="0.25">
      <c r="A299" t="s">
        <v>18</v>
      </c>
      <c r="B299" s="4">
        <v>45990</v>
      </c>
      <c r="C299" s="6">
        <v>0.66733796296296299</v>
      </c>
      <c r="D299" s="7" t="s">
        <v>289</v>
      </c>
      <c r="E299" t="s">
        <v>4195</v>
      </c>
      <c r="F299" t="s">
        <v>4211</v>
      </c>
      <c r="H299" t="s">
        <v>2936</v>
      </c>
      <c r="I299" s="8" t="s">
        <v>3671</v>
      </c>
      <c r="J299" s="8" t="s">
        <v>2984</v>
      </c>
      <c r="K299" t="s">
        <v>3672</v>
      </c>
      <c r="L299" t="s">
        <v>3673</v>
      </c>
      <c r="M299" s="3" t="str">
        <f>HYPERLINK(СторонТрансп[[#This Row],[RelativePath]])</f>
        <v>7 Площадка 2 бетонщики\K07156189_18_20251129T160058Z.jpg</v>
      </c>
    </row>
    <row r="300" spans="1:13" x14ac:dyDescent="0.25">
      <c r="A300" t="s">
        <v>18</v>
      </c>
      <c r="B300" s="4">
        <v>45990</v>
      </c>
      <c r="C300" s="6">
        <v>0.66971064814814818</v>
      </c>
      <c r="D300" s="7" t="s">
        <v>289</v>
      </c>
      <c r="E300" t="s">
        <v>4195</v>
      </c>
      <c r="F300" t="s">
        <v>4211</v>
      </c>
      <c r="H300" t="s">
        <v>2936</v>
      </c>
      <c r="I300" s="8" t="s">
        <v>3674</v>
      </c>
      <c r="J300" s="8" t="s">
        <v>2984</v>
      </c>
      <c r="K300" t="s">
        <v>3675</v>
      </c>
      <c r="L300" t="s">
        <v>3676</v>
      </c>
      <c r="M300" s="3" t="str">
        <f>HYPERLINK(СторонТрансп[[#This Row],[RelativePath]])</f>
        <v>7 Площадка 2 бетонщики\K07156189_18_20251129T160423Z.jpg</v>
      </c>
    </row>
    <row r="301" spans="1:13" x14ac:dyDescent="0.25">
      <c r="A301" t="s">
        <v>18</v>
      </c>
      <c r="B301" s="4">
        <v>45990</v>
      </c>
      <c r="C301" s="6">
        <v>0.67155092592592591</v>
      </c>
      <c r="D301" s="7" t="s">
        <v>289</v>
      </c>
      <c r="E301" t="s">
        <v>4195</v>
      </c>
      <c r="F301" t="s">
        <v>4211</v>
      </c>
      <c r="H301" t="s">
        <v>2936</v>
      </c>
      <c r="I301" s="8" t="s">
        <v>3677</v>
      </c>
      <c r="J301" s="8" t="s">
        <v>2984</v>
      </c>
      <c r="K301" t="s">
        <v>3678</v>
      </c>
      <c r="L301" t="s">
        <v>3679</v>
      </c>
      <c r="M301" s="3" t="str">
        <f>HYPERLINK(СторонТрансп[[#This Row],[RelativePath]])</f>
        <v>7 Площадка 2 бетонщики\K07156189_18_20251129T160702Z.jpg</v>
      </c>
    </row>
    <row r="302" spans="1:13" x14ac:dyDescent="0.25">
      <c r="A302" t="s">
        <v>18</v>
      </c>
      <c r="B302" s="4">
        <v>45990</v>
      </c>
      <c r="C302" s="6">
        <v>0.67405092592592597</v>
      </c>
      <c r="D302" s="7" t="s">
        <v>289</v>
      </c>
      <c r="E302" t="s">
        <v>4195</v>
      </c>
      <c r="F302" t="s">
        <v>4211</v>
      </c>
      <c r="H302" t="s">
        <v>2936</v>
      </c>
      <c r="I302" s="8" t="s">
        <v>3680</v>
      </c>
      <c r="J302" s="8" t="s">
        <v>2984</v>
      </c>
      <c r="K302" t="s">
        <v>3681</v>
      </c>
      <c r="L302" t="s">
        <v>3682</v>
      </c>
      <c r="M302" s="3" t="str">
        <f>HYPERLINK(СторонТрансп[[#This Row],[RelativePath]])</f>
        <v>7 Площадка 2 бетонщики\K07156189_18_20251129T161038Z.jpg</v>
      </c>
    </row>
    <row r="303" spans="1:13" x14ac:dyDescent="0.25">
      <c r="A303" t="s">
        <v>18</v>
      </c>
      <c r="B303" s="4">
        <v>45990</v>
      </c>
      <c r="C303" s="6">
        <v>0.67570601851851853</v>
      </c>
      <c r="D303" s="7" t="s">
        <v>289</v>
      </c>
      <c r="E303" t="s">
        <v>4195</v>
      </c>
      <c r="F303" t="s">
        <v>4211</v>
      </c>
      <c r="H303" t="s">
        <v>2936</v>
      </c>
      <c r="I303" s="8" t="s">
        <v>3683</v>
      </c>
      <c r="J303" s="8" t="s">
        <v>2984</v>
      </c>
      <c r="K303" t="s">
        <v>3684</v>
      </c>
      <c r="L303" t="s">
        <v>3685</v>
      </c>
      <c r="M303" s="3" t="str">
        <f>HYPERLINK(СторонТрансп[[#This Row],[RelativePath]])</f>
        <v>7 Площадка 2 бетонщики\K07156189_18_20251129T161301Z.jpg</v>
      </c>
    </row>
    <row r="304" spans="1:13" x14ac:dyDescent="0.25">
      <c r="A304" t="s">
        <v>18</v>
      </c>
      <c r="B304" s="4">
        <v>45990</v>
      </c>
      <c r="C304" s="6">
        <v>0.67623842592592598</v>
      </c>
      <c r="D304" s="7" t="s">
        <v>289</v>
      </c>
      <c r="E304" t="s">
        <v>4195</v>
      </c>
      <c r="F304" t="s">
        <v>4211</v>
      </c>
      <c r="H304" t="s">
        <v>2936</v>
      </c>
      <c r="I304" s="8" t="s">
        <v>3686</v>
      </c>
      <c r="J304" s="8" t="s">
        <v>2984</v>
      </c>
      <c r="K304" t="s">
        <v>3687</v>
      </c>
      <c r="L304" t="s">
        <v>3688</v>
      </c>
      <c r="M304" s="3" t="str">
        <f>HYPERLINK(СторонТрансп[[#This Row],[RelativePath]])</f>
        <v>7 Площадка 2 бетонщики\K07156189_18_20251129T161347Z.jpg</v>
      </c>
    </row>
    <row r="305" spans="1:13" x14ac:dyDescent="0.25">
      <c r="A305" t="s">
        <v>18</v>
      </c>
      <c r="B305" s="4">
        <v>45990</v>
      </c>
      <c r="C305" s="6">
        <v>0.67753472222222222</v>
      </c>
      <c r="D305" s="7" t="s">
        <v>289</v>
      </c>
      <c r="E305" t="s">
        <v>4195</v>
      </c>
      <c r="F305" t="s">
        <v>4211</v>
      </c>
      <c r="H305" t="s">
        <v>2936</v>
      </c>
      <c r="I305" s="8" t="s">
        <v>3689</v>
      </c>
      <c r="J305" s="8" t="s">
        <v>2984</v>
      </c>
      <c r="K305" t="s">
        <v>3690</v>
      </c>
      <c r="L305" t="s">
        <v>3691</v>
      </c>
      <c r="M305" s="3" t="str">
        <f>HYPERLINK(СторонТрансп[[#This Row],[RelativePath]])</f>
        <v>7 Площадка 2 бетонщики\K07156189_18_20251129T161539Z.jpg</v>
      </c>
    </row>
    <row r="306" spans="1:13" x14ac:dyDescent="0.25">
      <c r="A306" t="s">
        <v>18</v>
      </c>
      <c r="B306" s="4">
        <v>45990</v>
      </c>
      <c r="C306" s="6">
        <v>0.68038194444444444</v>
      </c>
      <c r="D306" s="7" t="s">
        <v>289</v>
      </c>
      <c r="E306" t="s">
        <v>4195</v>
      </c>
      <c r="F306" t="s">
        <v>4211</v>
      </c>
      <c r="H306" t="s">
        <v>2936</v>
      </c>
      <c r="I306" s="8" t="s">
        <v>3692</v>
      </c>
      <c r="J306" s="8" t="s">
        <v>2984</v>
      </c>
      <c r="K306" t="s">
        <v>3693</v>
      </c>
      <c r="L306" t="s">
        <v>3694</v>
      </c>
      <c r="M306" s="3" t="str">
        <f>HYPERLINK(СторонТрансп[[#This Row],[RelativePath]])</f>
        <v>7 Площадка 2 бетонщики\K07156189_18_20251129T161945Z.jpg</v>
      </c>
    </row>
    <row r="307" spans="1:13" x14ac:dyDescent="0.25">
      <c r="A307" t="s">
        <v>18</v>
      </c>
      <c r="B307" s="4">
        <v>45990</v>
      </c>
      <c r="C307" s="6">
        <v>0.68329861111111112</v>
      </c>
      <c r="D307" s="7" t="s">
        <v>289</v>
      </c>
      <c r="E307" t="s">
        <v>4195</v>
      </c>
      <c r="F307" t="s">
        <v>4211</v>
      </c>
      <c r="H307" t="s">
        <v>2936</v>
      </c>
      <c r="I307" s="8" t="s">
        <v>3695</v>
      </c>
      <c r="J307" s="8" t="s">
        <v>2984</v>
      </c>
      <c r="K307" t="s">
        <v>3696</v>
      </c>
      <c r="L307" t="s">
        <v>3697</v>
      </c>
      <c r="M307" s="3" t="str">
        <f>HYPERLINK(СторонТрансп[[#This Row],[RelativePath]])</f>
        <v>7 Площадка 2 бетонщики\K07156189_18_20251129T162357Z.jpg</v>
      </c>
    </row>
    <row r="308" spans="1:13" x14ac:dyDescent="0.25">
      <c r="A308" t="s">
        <v>18</v>
      </c>
      <c r="B308" s="4">
        <v>45990</v>
      </c>
      <c r="C308" s="6">
        <v>0.68376157407407412</v>
      </c>
      <c r="D308" s="7" t="s">
        <v>289</v>
      </c>
      <c r="E308" t="s">
        <v>4195</v>
      </c>
      <c r="F308" t="s">
        <v>4211</v>
      </c>
      <c r="H308" t="s">
        <v>2936</v>
      </c>
      <c r="I308" s="8" t="s">
        <v>3698</v>
      </c>
      <c r="J308" s="8" t="s">
        <v>2984</v>
      </c>
      <c r="K308" t="s">
        <v>3699</v>
      </c>
      <c r="L308" t="s">
        <v>3700</v>
      </c>
      <c r="M308" s="3" t="str">
        <f>HYPERLINK(СторонТрансп[[#This Row],[RelativePath]])</f>
        <v>7 Площадка 2 бетонщики\K07156189_18_20251129T162437Z.jpg</v>
      </c>
    </row>
    <row r="309" spans="1:13" x14ac:dyDescent="0.25">
      <c r="A309" t="s">
        <v>18</v>
      </c>
      <c r="B309" s="4">
        <v>45990</v>
      </c>
      <c r="C309" s="6">
        <v>0.68625000000000003</v>
      </c>
      <c r="D309" s="7" t="s">
        <v>289</v>
      </c>
      <c r="E309" t="s">
        <v>4195</v>
      </c>
      <c r="F309" t="s">
        <v>4211</v>
      </c>
      <c r="H309" t="s">
        <v>2936</v>
      </c>
      <c r="I309" s="8" t="s">
        <v>3701</v>
      </c>
      <c r="J309" s="8" t="s">
        <v>2984</v>
      </c>
      <c r="K309" t="s">
        <v>3702</v>
      </c>
      <c r="L309" t="s">
        <v>3703</v>
      </c>
      <c r="M309" s="3" t="str">
        <f>HYPERLINK(СторонТрансп[[#This Row],[RelativePath]])</f>
        <v>7 Площадка 2 бетонщики\K07156189_18_20251129T162812Z.jpg</v>
      </c>
    </row>
    <row r="310" spans="1:13" x14ac:dyDescent="0.25">
      <c r="A310" t="s">
        <v>18</v>
      </c>
      <c r="B310" s="4">
        <v>45990</v>
      </c>
      <c r="C310" s="6">
        <v>0.68951388888888887</v>
      </c>
      <c r="D310" s="7" t="s">
        <v>289</v>
      </c>
      <c r="E310" t="s">
        <v>4195</v>
      </c>
      <c r="F310" t="s">
        <v>4211</v>
      </c>
      <c r="H310" t="s">
        <v>2936</v>
      </c>
      <c r="I310" s="8" t="s">
        <v>3704</v>
      </c>
      <c r="J310" s="8" t="s">
        <v>2984</v>
      </c>
      <c r="K310" t="s">
        <v>3705</v>
      </c>
      <c r="L310" t="s">
        <v>3706</v>
      </c>
      <c r="M310" s="3" t="str">
        <f>HYPERLINK(СторонТрансп[[#This Row],[RelativePath]])</f>
        <v>7 Площадка 2 бетонщики\K07156189_18_20251129T163254Z.jpg</v>
      </c>
    </row>
    <row r="311" spans="1:13" x14ac:dyDescent="0.25">
      <c r="A311" t="s">
        <v>18</v>
      </c>
      <c r="B311" s="4">
        <v>45990</v>
      </c>
      <c r="C311" s="6">
        <v>0.6917592592592593</v>
      </c>
      <c r="D311" s="7" t="s">
        <v>289</v>
      </c>
      <c r="E311" t="s">
        <v>4195</v>
      </c>
      <c r="F311" t="s">
        <v>4211</v>
      </c>
      <c r="H311" t="s">
        <v>2936</v>
      </c>
      <c r="I311" s="8" t="s">
        <v>3707</v>
      </c>
      <c r="J311" s="8" t="s">
        <v>2984</v>
      </c>
      <c r="K311" t="s">
        <v>3708</v>
      </c>
      <c r="L311" t="s">
        <v>3709</v>
      </c>
      <c r="M311" s="3" t="str">
        <f>HYPERLINK(СторонТрансп[[#This Row],[RelativePath]])</f>
        <v>7 Площадка 2 бетонщики\K07156189_18_20251129T163608Z.jpg</v>
      </c>
    </row>
    <row r="312" spans="1:13" x14ac:dyDescent="0.25">
      <c r="A312" t="s">
        <v>18</v>
      </c>
      <c r="B312" s="4">
        <v>45990</v>
      </c>
      <c r="C312" s="6">
        <v>0.69224537037037037</v>
      </c>
      <c r="D312" s="7" t="s">
        <v>289</v>
      </c>
      <c r="E312" t="s">
        <v>4195</v>
      </c>
      <c r="F312" t="s">
        <v>4211</v>
      </c>
      <c r="H312" t="s">
        <v>2936</v>
      </c>
      <c r="I312" s="8" t="s">
        <v>3710</v>
      </c>
      <c r="J312" s="8" t="s">
        <v>2984</v>
      </c>
      <c r="K312" t="s">
        <v>3711</v>
      </c>
      <c r="L312" t="s">
        <v>3712</v>
      </c>
      <c r="M312" s="3" t="str">
        <f>HYPERLINK(СторонТрансп[[#This Row],[RelativePath]])</f>
        <v>7 Площадка 2 бетонщики\K07156189_18_20251129T163650Z.jpg</v>
      </c>
    </row>
    <row r="313" spans="1:13" x14ac:dyDescent="0.25">
      <c r="A313" t="s">
        <v>18</v>
      </c>
      <c r="B313" s="4">
        <v>45990</v>
      </c>
      <c r="C313" s="6">
        <v>0.703587962962963</v>
      </c>
      <c r="D313" s="7" t="s">
        <v>471</v>
      </c>
      <c r="E313" t="s">
        <v>4195</v>
      </c>
      <c r="I313" s="8" t="s">
        <v>3713</v>
      </c>
      <c r="J313" s="8" t="s">
        <v>2984</v>
      </c>
      <c r="K313" t="s">
        <v>3714</v>
      </c>
      <c r="L313" t="s">
        <v>3715</v>
      </c>
      <c r="M313" s="3" t="str">
        <f>HYPERLINK(СторонТрансп[[#This Row],[RelativePath]])</f>
        <v>7 Площадка 2 бетонщики\K07156189_18_20251129T165310Z.jpg</v>
      </c>
    </row>
    <row r="314" spans="1:13" x14ac:dyDescent="0.25">
      <c r="A314" t="s">
        <v>18</v>
      </c>
      <c r="B314" s="4">
        <v>45990</v>
      </c>
      <c r="C314" s="6">
        <v>0.71069444444444441</v>
      </c>
      <c r="D314" s="7" t="s">
        <v>650</v>
      </c>
      <c r="E314" t="s">
        <v>4195</v>
      </c>
      <c r="F314" t="s">
        <v>4211</v>
      </c>
      <c r="H314" t="s">
        <v>4219</v>
      </c>
      <c r="I314" s="8" t="s">
        <v>3716</v>
      </c>
      <c r="J314" s="8" t="s">
        <v>2984</v>
      </c>
      <c r="K314" t="s">
        <v>3717</v>
      </c>
      <c r="L314" t="s">
        <v>3467</v>
      </c>
      <c r="M314" s="3" t="str">
        <f>HYPERLINK(СторонТрансп[[#This Row],[RelativePath]])</f>
        <v>7 Площадка 2 бетонщики\K07156189_18_20251129T170324Z.jpg</v>
      </c>
    </row>
    <row r="315" spans="1:13" x14ac:dyDescent="0.25">
      <c r="A315" t="s">
        <v>14</v>
      </c>
      <c r="B315" s="4">
        <v>45972</v>
      </c>
      <c r="C315" s="6">
        <v>0.46350694444444446</v>
      </c>
      <c r="D315" s="7" t="s">
        <v>1606</v>
      </c>
      <c r="E315" t="s">
        <v>63</v>
      </c>
      <c r="F315" t="s">
        <v>51</v>
      </c>
      <c r="I315" s="8" t="s">
        <v>1453</v>
      </c>
      <c r="J315" s="8" t="s">
        <v>2985</v>
      </c>
      <c r="K315" t="s">
        <v>1454</v>
      </c>
      <c r="L315" t="s">
        <v>1455</v>
      </c>
      <c r="M315" s="3" t="str">
        <f>HYPERLINK(СторонТрансп[[#This Row],[RelativePath]])</f>
        <v>10 Сушилка навес\E33149364_3_20251111T110727Z.jpg</v>
      </c>
    </row>
    <row r="316" spans="1:13" x14ac:dyDescent="0.25">
      <c r="A316" t="s">
        <v>14</v>
      </c>
      <c r="B316" s="4">
        <v>45972</v>
      </c>
      <c r="C316" s="6">
        <v>0.46743055555555557</v>
      </c>
      <c r="D316" s="7" t="s">
        <v>289</v>
      </c>
      <c r="E316" t="s">
        <v>63</v>
      </c>
      <c r="F316" t="s">
        <v>58</v>
      </c>
      <c r="H316" t="s">
        <v>1620</v>
      </c>
      <c r="I316" s="8" t="s">
        <v>1456</v>
      </c>
      <c r="J316" s="8" t="s">
        <v>2985</v>
      </c>
      <c r="K316" t="s">
        <v>1457</v>
      </c>
      <c r="L316" t="s">
        <v>1458</v>
      </c>
      <c r="M316" s="3" t="str">
        <f>HYPERLINK(СторонТрансп[[#This Row],[RelativePath]])</f>
        <v>10 Сушилка навес\E33149364_3_20251111T111306Z.jpg</v>
      </c>
    </row>
    <row r="317" spans="1:13" x14ac:dyDescent="0.25">
      <c r="A317" t="s">
        <v>14</v>
      </c>
      <c r="B317" s="4">
        <v>45972</v>
      </c>
      <c r="C317" s="6">
        <v>0.47805555555555557</v>
      </c>
      <c r="D317" s="7" t="s">
        <v>1999</v>
      </c>
      <c r="E317" t="s">
        <v>63</v>
      </c>
      <c r="F317" t="s">
        <v>58</v>
      </c>
      <c r="H317" t="s">
        <v>1620</v>
      </c>
      <c r="I317" s="8" t="s">
        <v>1459</v>
      </c>
      <c r="J317" s="8" t="s">
        <v>2985</v>
      </c>
      <c r="K317" t="s">
        <v>1460</v>
      </c>
      <c r="L317" t="s">
        <v>1461</v>
      </c>
      <c r="M317" s="3" t="str">
        <f>HYPERLINK(СторонТрансп[[#This Row],[RelativePath]])</f>
        <v>10 Сушилка навес\E33149364_3_20251111T112824Z.jpg</v>
      </c>
    </row>
    <row r="318" spans="1:13" x14ac:dyDescent="0.25">
      <c r="A318" t="s">
        <v>14</v>
      </c>
      <c r="B318" s="4">
        <v>45972</v>
      </c>
      <c r="C318" s="6">
        <v>0.48200231481481481</v>
      </c>
      <c r="D318" s="7" t="s">
        <v>1999</v>
      </c>
      <c r="E318" t="s">
        <v>63</v>
      </c>
      <c r="F318" t="s">
        <v>58</v>
      </c>
      <c r="H318" t="s">
        <v>1620</v>
      </c>
      <c r="I318" s="8" t="s">
        <v>1462</v>
      </c>
      <c r="J318" s="8" t="s">
        <v>2985</v>
      </c>
      <c r="K318" t="s">
        <v>1463</v>
      </c>
      <c r="L318" t="s">
        <v>1464</v>
      </c>
      <c r="M318" s="3" t="str">
        <f>HYPERLINK(СторонТрансп[[#This Row],[RelativePath]])</f>
        <v>10 Сушилка навес\E33149364_3_20251111T113405Z.jpg</v>
      </c>
    </row>
    <row r="319" spans="1:13" x14ac:dyDescent="0.25">
      <c r="A319" t="s">
        <v>14</v>
      </c>
      <c r="B319" s="4">
        <v>45972</v>
      </c>
      <c r="C319" s="6">
        <v>0.48243055555555553</v>
      </c>
      <c r="D319" s="7" t="s">
        <v>650</v>
      </c>
      <c r="E319" t="s">
        <v>63</v>
      </c>
      <c r="F319" t="s">
        <v>58</v>
      </c>
      <c r="I319" s="8" t="s">
        <v>1465</v>
      </c>
      <c r="J319" s="8" t="s">
        <v>2985</v>
      </c>
      <c r="K319" t="s">
        <v>1466</v>
      </c>
      <c r="L319" t="s">
        <v>1467</v>
      </c>
      <c r="M319" s="3" t="str">
        <f>HYPERLINK(СторонТрансп[[#This Row],[RelativePath]])</f>
        <v>10 Сушилка навес\E33149364_3_20251111T113442Z.jpg</v>
      </c>
    </row>
    <row r="320" spans="1:13" x14ac:dyDescent="0.25">
      <c r="A320" t="s">
        <v>15</v>
      </c>
      <c r="B320" s="4">
        <v>45987</v>
      </c>
      <c r="C320" s="6">
        <v>0.43567129629629631</v>
      </c>
      <c r="D320" s="7" t="s">
        <v>1606</v>
      </c>
      <c r="E320" t="s">
        <v>4192</v>
      </c>
      <c r="I320" s="8" t="s">
        <v>3962</v>
      </c>
      <c r="J320" s="8" t="s">
        <v>2985</v>
      </c>
      <c r="K320" t="s">
        <v>3963</v>
      </c>
      <c r="L320" t="s">
        <v>3964</v>
      </c>
      <c r="M320" s="3" t="str">
        <f>HYPERLINK(СторонТрансп[[#This Row],[RelativePath]])</f>
        <v>10 Сушилка навес\E33149364_3_20251126T102722Z.jpg</v>
      </c>
    </row>
    <row r="321" spans="1:13" x14ac:dyDescent="0.25">
      <c r="A321" t="s">
        <v>15</v>
      </c>
      <c r="B321" s="4">
        <v>45987</v>
      </c>
      <c r="C321" s="6">
        <v>0.44207175925925923</v>
      </c>
      <c r="D321" s="7" t="s">
        <v>289</v>
      </c>
      <c r="E321" t="s">
        <v>4192</v>
      </c>
      <c r="F321" t="s">
        <v>58</v>
      </c>
      <c r="H321" t="s">
        <v>1620</v>
      </c>
      <c r="I321" s="8" t="s">
        <v>3965</v>
      </c>
      <c r="J321" s="8" t="s">
        <v>2985</v>
      </c>
      <c r="K321" t="s">
        <v>3966</v>
      </c>
      <c r="L321" t="s">
        <v>3967</v>
      </c>
      <c r="M321" s="3" t="str">
        <f>HYPERLINK(СторонТрансп[[#This Row],[RelativePath]])</f>
        <v>10 Сушилка навес\E33149364_3_20251126T103635Z.jpg</v>
      </c>
    </row>
    <row r="322" spans="1:13" x14ac:dyDescent="0.25">
      <c r="A322" t="s">
        <v>15</v>
      </c>
      <c r="B322" s="4">
        <v>45987</v>
      </c>
      <c r="C322" s="6">
        <v>0.44216435185185188</v>
      </c>
      <c r="D322" s="7" t="s">
        <v>289</v>
      </c>
      <c r="E322" t="s">
        <v>4192</v>
      </c>
      <c r="F322" t="s">
        <v>58</v>
      </c>
      <c r="H322" t="s">
        <v>2936</v>
      </c>
      <c r="I322" s="8" t="s">
        <v>3968</v>
      </c>
      <c r="J322" s="8" t="s">
        <v>2985</v>
      </c>
      <c r="K322" t="s">
        <v>3969</v>
      </c>
      <c r="L322" t="s">
        <v>3970</v>
      </c>
      <c r="M322" s="3" t="str">
        <f>HYPERLINK(СторонТрансп[[#This Row],[RelativePath]])</f>
        <v>10 Сушилка навес\E33149364_3_20251126T103643Z.jpg</v>
      </c>
    </row>
    <row r="323" spans="1:13" x14ac:dyDescent="0.25">
      <c r="A323" t="s">
        <v>15</v>
      </c>
      <c r="B323" s="4">
        <v>45987</v>
      </c>
      <c r="C323" s="6">
        <v>0.44226851851851851</v>
      </c>
      <c r="D323" s="7" t="s">
        <v>289</v>
      </c>
      <c r="E323" t="s">
        <v>4192</v>
      </c>
      <c r="F323" t="s">
        <v>58</v>
      </c>
      <c r="H323" t="s">
        <v>2936</v>
      </c>
      <c r="I323" s="8" t="s">
        <v>3971</v>
      </c>
      <c r="J323" s="8" t="s">
        <v>2985</v>
      </c>
      <c r="K323" t="s">
        <v>3972</v>
      </c>
      <c r="L323" t="s">
        <v>3973</v>
      </c>
      <c r="M323" s="3" t="str">
        <f>HYPERLINK(СторонТрансп[[#This Row],[RelativePath]])</f>
        <v>10 Сушилка навес\E33149364_3_20251126T103652Z.jpg</v>
      </c>
    </row>
    <row r="324" spans="1:13" x14ac:dyDescent="0.25">
      <c r="A324" t="s">
        <v>15</v>
      </c>
      <c r="B324" s="4">
        <v>45987</v>
      </c>
      <c r="C324" s="6">
        <v>0.44241898148148145</v>
      </c>
      <c r="D324" s="7" t="s">
        <v>289</v>
      </c>
      <c r="E324" t="s">
        <v>4192</v>
      </c>
      <c r="F324" t="s">
        <v>58</v>
      </c>
      <c r="H324" t="s">
        <v>2936</v>
      </c>
      <c r="I324" s="8" t="s">
        <v>3974</v>
      </c>
      <c r="J324" s="8" t="s">
        <v>2985</v>
      </c>
      <c r="K324" t="s">
        <v>3975</v>
      </c>
      <c r="L324" t="s">
        <v>3976</v>
      </c>
      <c r="M324" s="3" t="str">
        <f>HYPERLINK(СторонТрансп[[#This Row],[RelativePath]])</f>
        <v>10 Сушилка навес\E33149364_3_20251126T103705Z.jpg</v>
      </c>
    </row>
    <row r="325" spans="1:13" x14ac:dyDescent="0.25">
      <c r="A325" t="s">
        <v>15</v>
      </c>
      <c r="B325" s="4">
        <v>45987</v>
      </c>
      <c r="C325" s="6">
        <v>0.44255787037037037</v>
      </c>
      <c r="D325" s="7" t="s">
        <v>289</v>
      </c>
      <c r="E325" t="s">
        <v>4192</v>
      </c>
      <c r="F325" t="s">
        <v>58</v>
      </c>
      <c r="H325" t="s">
        <v>2936</v>
      </c>
      <c r="I325" s="8" t="s">
        <v>3977</v>
      </c>
      <c r="J325" s="8" t="s">
        <v>2985</v>
      </c>
      <c r="K325" t="s">
        <v>3978</v>
      </c>
      <c r="L325" t="s">
        <v>3979</v>
      </c>
      <c r="M325" s="3" t="str">
        <f>HYPERLINK(СторонТрансп[[#This Row],[RelativePath]])</f>
        <v>10 Сушилка навес\E33149364_3_20251126T103717Z.jpg</v>
      </c>
    </row>
    <row r="326" spans="1:13" x14ac:dyDescent="0.25">
      <c r="A326" t="s">
        <v>15</v>
      </c>
      <c r="B326" s="4">
        <v>45987</v>
      </c>
      <c r="C326" s="6">
        <v>0.44269675925925928</v>
      </c>
      <c r="D326" s="7" t="s">
        <v>289</v>
      </c>
      <c r="E326" t="s">
        <v>4192</v>
      </c>
      <c r="F326" t="s">
        <v>58</v>
      </c>
      <c r="H326" t="s">
        <v>2936</v>
      </c>
      <c r="I326" s="8" t="s">
        <v>3980</v>
      </c>
      <c r="J326" s="8" t="s">
        <v>2985</v>
      </c>
      <c r="K326" t="s">
        <v>3981</v>
      </c>
      <c r="L326" t="s">
        <v>3982</v>
      </c>
      <c r="M326" s="3" t="str">
        <f>HYPERLINK(СторонТрансп[[#This Row],[RelativePath]])</f>
        <v>10 Сушилка навес\E33149364_3_20251126T103729Z.jpg</v>
      </c>
    </row>
    <row r="327" spans="1:13" x14ac:dyDescent="0.25">
      <c r="A327" t="s">
        <v>15</v>
      </c>
      <c r="B327" s="4">
        <v>45987</v>
      </c>
      <c r="C327" s="6">
        <v>0.44284722222222223</v>
      </c>
      <c r="D327" s="7" t="s">
        <v>289</v>
      </c>
      <c r="E327" t="s">
        <v>4192</v>
      </c>
      <c r="F327" t="s">
        <v>58</v>
      </c>
      <c r="H327" t="s">
        <v>2936</v>
      </c>
      <c r="I327" s="8" t="s">
        <v>3983</v>
      </c>
      <c r="J327" s="8" t="s">
        <v>2985</v>
      </c>
      <c r="K327" t="s">
        <v>3984</v>
      </c>
      <c r="L327" t="s">
        <v>3985</v>
      </c>
      <c r="M327" s="3" t="str">
        <f>HYPERLINK(СторонТрансп[[#This Row],[RelativePath]])</f>
        <v>10 Сушилка навес\E33149364_3_20251126T103742Z.jpg</v>
      </c>
    </row>
    <row r="328" spans="1:13" x14ac:dyDescent="0.25">
      <c r="A328" t="s">
        <v>15</v>
      </c>
      <c r="B328" s="4">
        <v>45987</v>
      </c>
      <c r="C328" s="6">
        <v>0.44359953703703703</v>
      </c>
      <c r="D328" s="7" t="s">
        <v>2013</v>
      </c>
      <c r="E328" t="s">
        <v>4192</v>
      </c>
      <c r="H328" t="s">
        <v>4236</v>
      </c>
      <c r="I328" s="8" t="s">
        <v>3986</v>
      </c>
      <c r="J328" s="8" t="s">
        <v>2985</v>
      </c>
      <c r="K328" t="s">
        <v>3987</v>
      </c>
      <c r="L328" t="s">
        <v>3988</v>
      </c>
      <c r="M328" s="3" t="str">
        <f>HYPERLINK(СторонТрансп[[#This Row],[RelativePath]])</f>
        <v>10 Сушилка навес\E33149364_3_20251126T103847Z.jpg</v>
      </c>
    </row>
    <row r="329" spans="1:13" x14ac:dyDescent="0.25">
      <c r="A329" t="s">
        <v>15</v>
      </c>
      <c r="B329" s="4">
        <v>45987</v>
      </c>
      <c r="C329" s="6">
        <v>0.44372685185185184</v>
      </c>
      <c r="D329" s="7" t="s">
        <v>289</v>
      </c>
      <c r="E329" t="s">
        <v>4192</v>
      </c>
      <c r="F329" t="s">
        <v>58</v>
      </c>
      <c r="I329" s="8" t="s">
        <v>3989</v>
      </c>
      <c r="J329" s="8" t="s">
        <v>2985</v>
      </c>
      <c r="K329" t="s">
        <v>3990</v>
      </c>
      <c r="L329" t="s">
        <v>3991</v>
      </c>
      <c r="M329" s="3" t="str">
        <f>HYPERLINK(СторонТрансп[[#This Row],[RelativePath]])</f>
        <v>10 Сушилка навес\E33149364_3_20251126T103858Z.jpg</v>
      </c>
    </row>
    <row r="330" spans="1:13" x14ac:dyDescent="0.25">
      <c r="A330" t="s">
        <v>15</v>
      </c>
      <c r="B330" s="4">
        <v>45987</v>
      </c>
      <c r="C330" s="6">
        <v>0.44473379629629628</v>
      </c>
      <c r="D330" s="7" t="s">
        <v>289</v>
      </c>
      <c r="E330" t="s">
        <v>4192</v>
      </c>
      <c r="F330" t="s">
        <v>58</v>
      </c>
      <c r="H330" t="s">
        <v>2936</v>
      </c>
      <c r="I330" s="8" t="s">
        <v>3992</v>
      </c>
      <c r="J330" s="8" t="s">
        <v>2985</v>
      </c>
      <c r="K330" t="s">
        <v>3993</v>
      </c>
      <c r="L330" t="s">
        <v>3994</v>
      </c>
      <c r="M330" s="3" t="str">
        <f>HYPERLINK(СторонТрансп[[#This Row],[RelativePath]])</f>
        <v>10 Сушилка навес\E33149364_3_20251126T104025Z.jpg</v>
      </c>
    </row>
    <row r="331" spans="1:13" x14ac:dyDescent="0.25">
      <c r="A331" t="s">
        <v>15</v>
      </c>
      <c r="B331" s="4">
        <v>45987</v>
      </c>
      <c r="C331" s="6">
        <v>0.44495370370370368</v>
      </c>
      <c r="D331" s="7" t="s">
        <v>289</v>
      </c>
      <c r="E331" t="s">
        <v>4192</v>
      </c>
      <c r="F331" t="s">
        <v>58</v>
      </c>
      <c r="H331" t="s">
        <v>2936</v>
      </c>
      <c r="I331" s="8" t="s">
        <v>3995</v>
      </c>
      <c r="J331" s="8" t="s">
        <v>2985</v>
      </c>
      <c r="K331" t="s">
        <v>3996</v>
      </c>
      <c r="L331" t="s">
        <v>3997</v>
      </c>
      <c r="M331" s="3" t="str">
        <f>HYPERLINK(СторонТрансп[[#This Row],[RelativePath]])</f>
        <v>10 Сушилка навес\E33149364_3_20251126T104044Z.jpg</v>
      </c>
    </row>
    <row r="332" spans="1:13" x14ac:dyDescent="0.25">
      <c r="A332" t="s">
        <v>15</v>
      </c>
      <c r="B332" s="4">
        <v>45987</v>
      </c>
      <c r="C332" s="6">
        <v>0.44578703703703704</v>
      </c>
      <c r="D332" s="7" t="s">
        <v>4232</v>
      </c>
      <c r="E332" t="s">
        <v>4192</v>
      </c>
      <c r="F332" t="s">
        <v>58</v>
      </c>
      <c r="I332" s="8" t="s">
        <v>3998</v>
      </c>
      <c r="J332" s="8" t="s">
        <v>2985</v>
      </c>
      <c r="K332" t="s">
        <v>3999</v>
      </c>
      <c r="L332" t="s">
        <v>4000</v>
      </c>
      <c r="M332" s="3" t="str">
        <f>HYPERLINK(СторонТрансп[[#This Row],[RelativePath]])</f>
        <v>10 Сушилка навес\E33149364_3_20251126T104156Z.jpg</v>
      </c>
    </row>
    <row r="333" spans="1:13" x14ac:dyDescent="0.25">
      <c r="A333" t="s">
        <v>15</v>
      </c>
      <c r="B333" s="4">
        <v>45987</v>
      </c>
      <c r="C333" s="6">
        <v>0.44631944444444444</v>
      </c>
      <c r="D333" s="7" t="s">
        <v>2013</v>
      </c>
      <c r="E333" t="s">
        <v>4192</v>
      </c>
      <c r="H333" t="s">
        <v>4237</v>
      </c>
      <c r="I333" s="8" t="s">
        <v>4001</v>
      </c>
      <c r="J333" s="8" t="s">
        <v>2985</v>
      </c>
      <c r="K333" t="s">
        <v>4002</v>
      </c>
      <c r="L333" t="s">
        <v>4003</v>
      </c>
      <c r="M333" s="3" t="str">
        <f>HYPERLINK(СторонТрансп[[#This Row],[RelativePath]])</f>
        <v>10 Сушилка навес\E33149364_3_20251126T104242Z.jpg</v>
      </c>
    </row>
    <row r="334" spans="1:13" x14ac:dyDescent="0.25">
      <c r="A334" t="s">
        <v>15</v>
      </c>
      <c r="B334" s="4">
        <v>45987</v>
      </c>
      <c r="C334" s="6">
        <v>0.4475925925925926</v>
      </c>
      <c r="D334" s="7" t="s">
        <v>289</v>
      </c>
      <c r="E334" t="s">
        <v>4192</v>
      </c>
      <c r="F334" t="s">
        <v>58</v>
      </c>
      <c r="I334" s="8" t="s">
        <v>4004</v>
      </c>
      <c r="J334" s="8" t="s">
        <v>2985</v>
      </c>
      <c r="K334" t="s">
        <v>4005</v>
      </c>
      <c r="L334" t="s">
        <v>4006</v>
      </c>
      <c r="M334" s="3" t="str">
        <f>HYPERLINK(СторонТрансп[[#This Row],[RelativePath]])</f>
        <v>10 Сушилка навес\E33149364_3_20251126T104432Z.jpg</v>
      </c>
    </row>
    <row r="335" spans="1:13" x14ac:dyDescent="0.25">
      <c r="A335" t="s">
        <v>15</v>
      </c>
      <c r="B335" s="4">
        <v>45987</v>
      </c>
      <c r="C335" s="6">
        <v>0.44767361111111109</v>
      </c>
      <c r="D335" s="7" t="s">
        <v>289</v>
      </c>
      <c r="E335" t="s">
        <v>4192</v>
      </c>
      <c r="F335" t="s">
        <v>58</v>
      </c>
      <c r="H335" t="s">
        <v>2936</v>
      </c>
      <c r="I335" s="8" t="s">
        <v>4007</v>
      </c>
      <c r="J335" s="8" t="s">
        <v>2985</v>
      </c>
      <c r="K335" t="s">
        <v>4008</v>
      </c>
      <c r="L335" t="s">
        <v>4009</v>
      </c>
      <c r="M335" s="3" t="str">
        <f>HYPERLINK(СторонТрансп[[#This Row],[RelativePath]])</f>
        <v>10 Сушилка навес\E33149364_3_20251126T104439Z.jpg</v>
      </c>
    </row>
    <row r="336" spans="1:13" x14ac:dyDescent="0.25">
      <c r="A336" t="s">
        <v>15</v>
      </c>
      <c r="B336" s="4">
        <v>45987</v>
      </c>
      <c r="C336" s="6">
        <v>0.4478125</v>
      </c>
      <c r="D336" s="7" t="s">
        <v>289</v>
      </c>
      <c r="E336" t="s">
        <v>4192</v>
      </c>
      <c r="F336" t="s">
        <v>58</v>
      </c>
      <c r="H336" t="s">
        <v>2936</v>
      </c>
      <c r="I336" s="8" t="s">
        <v>4010</v>
      </c>
      <c r="J336" s="8" t="s">
        <v>2985</v>
      </c>
      <c r="K336" t="s">
        <v>4011</v>
      </c>
      <c r="L336" t="s">
        <v>4012</v>
      </c>
      <c r="M336" s="3" t="str">
        <f>HYPERLINK(СторонТрансп[[#This Row],[RelativePath]])</f>
        <v>10 Сушилка навес\E33149364_3_20251126T104451Z.jpg</v>
      </c>
    </row>
    <row r="337" spans="1:13" x14ac:dyDescent="0.25">
      <c r="A337" t="s">
        <v>15</v>
      </c>
      <c r="B337" s="4">
        <v>45987</v>
      </c>
      <c r="C337" s="6">
        <v>0.45056712962962964</v>
      </c>
      <c r="D337" s="7" t="s">
        <v>289</v>
      </c>
      <c r="E337" t="s">
        <v>4192</v>
      </c>
      <c r="F337" t="s">
        <v>58</v>
      </c>
      <c r="H337" t="s">
        <v>2936</v>
      </c>
      <c r="I337" s="8" t="s">
        <v>4013</v>
      </c>
      <c r="J337" s="8" t="s">
        <v>2985</v>
      </c>
      <c r="K337" t="s">
        <v>4014</v>
      </c>
      <c r="L337" t="s">
        <v>4015</v>
      </c>
      <c r="M337" s="3" t="str">
        <f>HYPERLINK(СторонТрансп[[#This Row],[RelativePath]])</f>
        <v>10 Сушилка навес\E33149364_3_20251126T104849Z.jpg</v>
      </c>
    </row>
    <row r="338" spans="1:13" x14ac:dyDescent="0.25">
      <c r="A338" t="s">
        <v>15</v>
      </c>
      <c r="B338" s="4">
        <v>45987</v>
      </c>
      <c r="C338" s="6">
        <v>0.45187500000000003</v>
      </c>
      <c r="D338" s="7" t="s">
        <v>4235</v>
      </c>
      <c r="E338" t="s">
        <v>4192</v>
      </c>
      <c r="F338" t="s">
        <v>58</v>
      </c>
      <c r="I338" s="8" t="s">
        <v>4016</v>
      </c>
      <c r="J338" s="8" t="s">
        <v>2985</v>
      </c>
      <c r="K338" t="s">
        <v>4017</v>
      </c>
      <c r="L338" t="s">
        <v>4018</v>
      </c>
      <c r="M338" s="3" t="str">
        <f>HYPERLINK(СторонТрансп[[#This Row],[RelativePath]])</f>
        <v>10 Сушилка навес\E33149364_3_20251126T105042Z.jpg</v>
      </c>
    </row>
    <row r="339" spans="1:13" x14ac:dyDescent="0.25">
      <c r="A339" t="s">
        <v>22</v>
      </c>
      <c r="B339" s="4">
        <v>45998</v>
      </c>
      <c r="C339" s="6">
        <v>0.59520833333333334</v>
      </c>
      <c r="D339" s="7" t="s">
        <v>1606</v>
      </c>
      <c r="E339" t="s">
        <v>5263</v>
      </c>
      <c r="F339" t="s">
        <v>51</v>
      </c>
      <c r="I339" s="8" t="s">
        <v>5184</v>
      </c>
      <c r="J339" s="8" t="s">
        <v>2985</v>
      </c>
      <c r="K339" t="s">
        <v>5185</v>
      </c>
      <c r="L339" t="s">
        <v>5186</v>
      </c>
      <c r="M339" s="3" t="str">
        <f>HYPERLINK(СторонТрансп[[#This Row],[RelativePath]])</f>
        <v>10 Сушилка навес\E33149364_3_20251207T141706Z.jpg</v>
      </c>
    </row>
    <row r="340" spans="1:13" x14ac:dyDescent="0.25">
      <c r="A340" t="s">
        <v>22</v>
      </c>
      <c r="B340" s="4">
        <v>45998</v>
      </c>
      <c r="C340" s="6">
        <v>0.60039351851851852</v>
      </c>
      <c r="D340" s="7" t="s">
        <v>289</v>
      </c>
      <c r="E340" t="s">
        <v>5263</v>
      </c>
      <c r="F340" t="s">
        <v>4233</v>
      </c>
      <c r="I340" s="8" t="s">
        <v>5187</v>
      </c>
      <c r="J340" s="8" t="s">
        <v>2985</v>
      </c>
      <c r="K340" t="s">
        <v>5188</v>
      </c>
      <c r="L340" t="s">
        <v>5189</v>
      </c>
      <c r="M340" s="3" t="str">
        <f>HYPERLINK(СторонТрансп[[#This Row],[RelativePath]])</f>
        <v>10 Сушилка навес\E33149364_3_20251207T142434Z.jpg</v>
      </c>
    </row>
    <row r="341" spans="1:13" x14ac:dyDescent="0.25">
      <c r="A341" t="s">
        <v>22</v>
      </c>
      <c r="B341" s="4">
        <v>45998</v>
      </c>
      <c r="C341" s="6">
        <v>0.60648148148148151</v>
      </c>
      <c r="D341" s="7" t="s">
        <v>289</v>
      </c>
      <c r="E341" t="s">
        <v>5263</v>
      </c>
      <c r="F341" t="s">
        <v>4233</v>
      </c>
      <c r="H341" t="s">
        <v>2936</v>
      </c>
      <c r="I341" s="8" t="s">
        <v>5190</v>
      </c>
      <c r="J341" s="8" t="s">
        <v>2985</v>
      </c>
      <c r="K341" t="s">
        <v>5191</v>
      </c>
      <c r="L341" t="s">
        <v>5192</v>
      </c>
      <c r="M341" s="3" t="str">
        <f>HYPERLINK(СторонТрансп[[#This Row],[RelativePath]])</f>
        <v>10 Сушилка навес\E33149364_3_20251207T143320Z.jpg</v>
      </c>
    </row>
    <row r="342" spans="1:13" x14ac:dyDescent="0.25">
      <c r="A342" t="s">
        <v>22</v>
      </c>
      <c r="B342" s="4">
        <v>45998</v>
      </c>
      <c r="C342" s="6">
        <v>0.61306712962962961</v>
      </c>
      <c r="D342" s="7" t="s">
        <v>4232</v>
      </c>
      <c r="E342" t="s">
        <v>5263</v>
      </c>
      <c r="F342" t="s">
        <v>4233</v>
      </c>
      <c r="I342" s="8" t="s">
        <v>5193</v>
      </c>
      <c r="J342" s="8" t="s">
        <v>2985</v>
      </c>
      <c r="K342" t="s">
        <v>5194</v>
      </c>
      <c r="L342" t="s">
        <v>5195</v>
      </c>
      <c r="M342" s="3" t="str">
        <f>HYPERLINK(СторонТрансп[[#This Row],[RelativePath]])</f>
        <v>10 Сушилка навес\E33149364_3_20251207T144249Z.jpg</v>
      </c>
    </row>
    <row r="343" spans="1:13" x14ac:dyDescent="0.25">
      <c r="A343" t="s">
        <v>18</v>
      </c>
      <c r="B343" s="4">
        <v>46004</v>
      </c>
      <c r="C343" s="6">
        <v>0.38762731481481483</v>
      </c>
      <c r="D343" s="7" t="s">
        <v>4</v>
      </c>
      <c r="E343" t="s">
        <v>6167</v>
      </c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HYPERLINK(СторонТрансп[[#This Row],[RelativePath]])</f>
        <v>10 Сушилка навес\E33149364_3_20251213T091811Z.jpg</v>
      </c>
    </row>
    <row r="344" spans="1:13" x14ac:dyDescent="0.25">
      <c r="A344" t="s">
        <v>18</v>
      </c>
      <c r="B344" s="4">
        <v>46004</v>
      </c>
      <c r="C344" s="6">
        <v>0.55000000000000004</v>
      </c>
      <c r="D344" s="7" t="s">
        <v>4</v>
      </c>
      <c r="E344" t="s">
        <v>6167</v>
      </c>
      <c r="I344" s="8" t="s">
        <v>6101</v>
      </c>
      <c r="J344" s="8" t="s">
        <v>2985</v>
      </c>
      <c r="K344" t="s">
        <v>6102</v>
      </c>
      <c r="L344" t="s">
        <v>6103</v>
      </c>
      <c r="M344" s="3" t="str">
        <f>HYPERLINK(СторонТрансп[[#This Row],[RelativePath]])</f>
        <v>10 Сушилка навес\E33149364_3_20251213T131200Z.jpg</v>
      </c>
    </row>
    <row r="345" spans="1:13" x14ac:dyDescent="0.25">
      <c r="A345" t="s">
        <v>15</v>
      </c>
      <c r="B345" s="4">
        <v>46036</v>
      </c>
      <c r="C345" s="6">
        <v>0.49981481481481482</v>
      </c>
      <c r="D345" s="7" t="s">
        <v>8042</v>
      </c>
      <c r="E345" t="s">
        <v>4193</v>
      </c>
      <c r="I345" s="8" t="s">
        <v>9300</v>
      </c>
      <c r="J345" s="8" t="s">
        <v>2985</v>
      </c>
      <c r="K345" t="s">
        <v>9301</v>
      </c>
      <c r="L345" t="s">
        <v>9302</v>
      </c>
      <c r="M345" s="3" t="str">
        <f>HYPERLINK(СторонТрансп[[#This Row],[RelativePath]])</f>
        <v>10 Сушилка навес\E33149364_3_20260114T115944Z.jpg</v>
      </c>
    </row>
    <row r="346" spans="1:13" x14ac:dyDescent="0.25">
      <c r="A346" t="s">
        <v>15</v>
      </c>
      <c r="B346" s="4">
        <v>46036</v>
      </c>
      <c r="C346" s="6">
        <v>0.7074421296296296</v>
      </c>
      <c r="D346" s="7" t="s">
        <v>8042</v>
      </c>
      <c r="E346" t="s">
        <v>4193</v>
      </c>
      <c r="I346" s="8" t="s">
        <v>9306</v>
      </c>
      <c r="J346" s="8" t="s">
        <v>2985</v>
      </c>
      <c r="K346" t="s">
        <v>9307</v>
      </c>
      <c r="L346" t="s">
        <v>9308</v>
      </c>
      <c r="M346" s="3" t="str">
        <f>HYPERLINK(СторонТрансп[[#This Row],[RelativePath]])</f>
        <v>10 Сушилка навес\E33149364_3_20260114T165843Z.jpg</v>
      </c>
    </row>
    <row r="347" spans="1:13" x14ac:dyDescent="0.25">
      <c r="A347" t="s">
        <v>16</v>
      </c>
      <c r="B347" s="4">
        <v>46044</v>
      </c>
      <c r="C347" s="6">
        <v>0.50605324074074076</v>
      </c>
      <c r="D347" s="7" t="s">
        <v>159</v>
      </c>
      <c r="E347" t="s">
        <v>4193</v>
      </c>
      <c r="I347" s="8" t="s">
        <v>10065</v>
      </c>
      <c r="J347" s="8" t="s">
        <v>2985</v>
      </c>
      <c r="K347" t="s">
        <v>10066</v>
      </c>
      <c r="L347" t="s">
        <v>10067</v>
      </c>
      <c r="M347" s="3" t="str">
        <f>HYPERLINK(СторонТрансп[[#This Row],[RelativePath]])</f>
        <v>10 Сушилка навес\E33149364_3_20260122T120843Z.jpg</v>
      </c>
    </row>
    <row r="348" spans="1:13" x14ac:dyDescent="0.25">
      <c r="A348" t="s">
        <v>16</v>
      </c>
      <c r="B348" s="4">
        <v>46044</v>
      </c>
      <c r="C348" s="6">
        <v>0.52630787037037041</v>
      </c>
      <c r="D348" s="7" t="s">
        <v>10142</v>
      </c>
      <c r="E348" t="s">
        <v>4193</v>
      </c>
      <c r="I348" s="8" t="s">
        <v>10071</v>
      </c>
      <c r="J348" s="8" t="s">
        <v>2985</v>
      </c>
      <c r="K348" t="s">
        <v>10072</v>
      </c>
      <c r="L348" t="s">
        <v>10073</v>
      </c>
      <c r="M348" s="3" t="str">
        <f>HYPERLINK(СторонТрансп[[#This Row],[RelativePath]])</f>
        <v>10 Сушилка навес\E33149364_3_20260122T123753Z.jpg</v>
      </c>
    </row>
    <row r="349" spans="1:13" x14ac:dyDescent="0.25">
      <c r="A349" t="s">
        <v>15</v>
      </c>
      <c r="B349" s="4">
        <v>45973</v>
      </c>
      <c r="C349" s="6">
        <v>0.69604166666666667</v>
      </c>
      <c r="D349" s="7" t="s">
        <v>1606</v>
      </c>
      <c r="E349" t="s">
        <v>66</v>
      </c>
      <c r="F349" t="s">
        <v>69</v>
      </c>
      <c r="I349" s="8" t="s">
        <v>1748</v>
      </c>
      <c r="J349" s="8" t="s">
        <v>2986</v>
      </c>
      <c r="K349" t="s">
        <v>1749</v>
      </c>
      <c r="L349" t="s">
        <v>1750</v>
      </c>
      <c r="M349" s="3" t="str">
        <f>HYPERLINK(СторонТрансп[[#This Row],[RelativePath]])</f>
        <v>11 С ангара на базу\E33149364_4_20251112T164218Z.jpg</v>
      </c>
    </row>
    <row r="350" spans="1:13" x14ac:dyDescent="0.25">
      <c r="A350" t="s">
        <v>15</v>
      </c>
      <c r="B350" s="4">
        <v>45973</v>
      </c>
      <c r="C350" s="6">
        <v>0.69677083333333334</v>
      </c>
      <c r="D350" s="7" t="s">
        <v>290</v>
      </c>
      <c r="E350" t="s">
        <v>66</v>
      </c>
      <c r="F350" t="s">
        <v>69</v>
      </c>
      <c r="I350" s="8" t="s">
        <v>1751</v>
      </c>
      <c r="J350" s="8" t="s">
        <v>2986</v>
      </c>
      <c r="K350" t="s">
        <v>1752</v>
      </c>
      <c r="L350" t="s">
        <v>1753</v>
      </c>
      <c r="M350" s="3" t="str">
        <f>HYPERLINK(СторонТрансп[[#This Row],[RelativePath]])</f>
        <v>11 С ангара на базу\E33149364_4_20251112T164321Z.jpg</v>
      </c>
    </row>
    <row r="351" spans="1:13" x14ac:dyDescent="0.25">
      <c r="A351" t="s">
        <v>15</v>
      </c>
      <c r="B351" s="4">
        <v>45973</v>
      </c>
      <c r="C351" s="6">
        <v>0.70961805555555557</v>
      </c>
      <c r="D351" s="7" t="s">
        <v>650</v>
      </c>
      <c r="E351" t="s">
        <v>66</v>
      </c>
      <c r="F351" t="s">
        <v>51</v>
      </c>
      <c r="I351" s="8" t="s">
        <v>1754</v>
      </c>
      <c r="J351" s="8" t="s">
        <v>2986</v>
      </c>
      <c r="K351" t="s">
        <v>1755</v>
      </c>
      <c r="L351" t="s">
        <v>1756</v>
      </c>
      <c r="M351" s="3" t="str">
        <f>HYPERLINK(СторонТрансп[[#This Row],[RelativePath]])</f>
        <v>11 С ангара на базу\E33149364_4_20251112T170151Z.jpg</v>
      </c>
    </row>
    <row r="352" spans="1:13" x14ac:dyDescent="0.25">
      <c r="A352" t="s">
        <v>15</v>
      </c>
      <c r="B352" s="4">
        <v>45987</v>
      </c>
      <c r="C352" s="6">
        <v>0.44723379629629628</v>
      </c>
      <c r="D352" s="7" t="s">
        <v>289</v>
      </c>
      <c r="E352" t="s">
        <v>4192</v>
      </c>
      <c r="F352" t="s">
        <v>58</v>
      </c>
      <c r="I352" s="8" t="s">
        <v>4094</v>
      </c>
      <c r="J352" s="8" t="s">
        <v>2986</v>
      </c>
      <c r="K352" t="s">
        <v>4095</v>
      </c>
      <c r="L352" t="s">
        <v>4096</v>
      </c>
      <c r="M352" s="3" t="str">
        <f>HYPERLINK(СторонТрансп[[#This Row],[RelativePath]])</f>
        <v>11 С ангара на базу\E33149364_4_20251126T104401Z.jpg</v>
      </c>
    </row>
    <row r="353" spans="1:13" x14ac:dyDescent="0.25">
      <c r="A353" t="s">
        <v>15</v>
      </c>
      <c r="B353" s="4">
        <v>45987</v>
      </c>
      <c r="C353" s="6">
        <v>0.44848379629629631</v>
      </c>
      <c r="D353" s="7" t="s">
        <v>289</v>
      </c>
      <c r="E353" t="s">
        <v>4192</v>
      </c>
      <c r="F353" t="s">
        <v>58</v>
      </c>
      <c r="H353" t="s">
        <v>2936</v>
      </c>
      <c r="I353" s="8" t="s">
        <v>4097</v>
      </c>
      <c r="J353" s="8" t="s">
        <v>2986</v>
      </c>
      <c r="K353" t="s">
        <v>4098</v>
      </c>
      <c r="L353" t="s">
        <v>4099</v>
      </c>
      <c r="M353" s="3" t="str">
        <f>HYPERLINK(СторонТрансп[[#This Row],[RelativePath]])</f>
        <v>11 С ангара на базу\E33149364_4_20251126T104549Z.jpg</v>
      </c>
    </row>
    <row r="354" spans="1:13" x14ac:dyDescent="0.25">
      <c r="A354" t="s">
        <v>15</v>
      </c>
      <c r="B354" s="4">
        <v>45987</v>
      </c>
      <c r="C354" s="6">
        <v>0.44864583333333335</v>
      </c>
      <c r="D354" s="7" t="s">
        <v>289</v>
      </c>
      <c r="E354" t="s">
        <v>4192</v>
      </c>
      <c r="F354" t="s">
        <v>58</v>
      </c>
      <c r="H354" t="s">
        <v>2936</v>
      </c>
      <c r="I354" s="8" t="s">
        <v>4100</v>
      </c>
      <c r="J354" s="8" t="s">
        <v>2986</v>
      </c>
      <c r="K354" t="s">
        <v>4101</v>
      </c>
      <c r="L354" t="s">
        <v>4102</v>
      </c>
      <c r="M354" s="3" t="str">
        <f>HYPERLINK(СторонТрансп[[#This Row],[RelativePath]])</f>
        <v>11 С ангара на базу\E33149364_4_20251126T104603Z.jpg</v>
      </c>
    </row>
    <row r="355" spans="1:13" x14ac:dyDescent="0.25">
      <c r="A355" t="s">
        <v>15</v>
      </c>
      <c r="B355" s="4">
        <v>45987</v>
      </c>
      <c r="C355" s="6">
        <v>0.44947916666666665</v>
      </c>
      <c r="D355" s="7" t="s">
        <v>289</v>
      </c>
      <c r="E355" t="s">
        <v>4192</v>
      </c>
      <c r="F355" t="s">
        <v>58</v>
      </c>
      <c r="H355" t="s">
        <v>2936</v>
      </c>
      <c r="I355" s="8" t="s">
        <v>4103</v>
      </c>
      <c r="J355" s="8" t="s">
        <v>2986</v>
      </c>
      <c r="K355" t="s">
        <v>4104</v>
      </c>
      <c r="L355" t="s">
        <v>4105</v>
      </c>
      <c r="M355" s="3" t="str">
        <f>HYPERLINK(СторонТрансп[[#This Row],[RelativePath]])</f>
        <v>11 С ангара на базу\E33149364_4_20251126T104715Z.jpg</v>
      </c>
    </row>
    <row r="356" spans="1:13" x14ac:dyDescent="0.25">
      <c r="A356" t="s">
        <v>22</v>
      </c>
      <c r="B356" s="4">
        <v>45998</v>
      </c>
      <c r="C356" s="6">
        <v>0.59843749999999996</v>
      </c>
      <c r="D356" s="7" t="s">
        <v>5265</v>
      </c>
      <c r="E356" t="s">
        <v>5263</v>
      </c>
      <c r="F356" t="s">
        <v>4233</v>
      </c>
      <c r="I356" s="8" t="s">
        <v>5199</v>
      </c>
      <c r="J356" s="8" t="s">
        <v>2986</v>
      </c>
      <c r="K356" t="s">
        <v>5200</v>
      </c>
      <c r="L356" t="s">
        <v>5201</v>
      </c>
      <c r="M356" s="3" t="str">
        <f>HYPERLINK(СторонТрансп[[#This Row],[RelativePath]])</f>
        <v>11 С ангара на базу\E33149364_4_20251207T142145Z.jpg</v>
      </c>
    </row>
    <row r="357" spans="1:13" x14ac:dyDescent="0.25">
      <c r="A357" t="s">
        <v>22</v>
      </c>
      <c r="B357" s="4">
        <v>45998</v>
      </c>
      <c r="C357" s="6">
        <v>0.60221064814814818</v>
      </c>
      <c r="D357" s="7" t="s">
        <v>5265</v>
      </c>
      <c r="E357" t="s">
        <v>5263</v>
      </c>
      <c r="F357" t="s">
        <v>4233</v>
      </c>
      <c r="H357" t="s">
        <v>2936</v>
      </c>
      <c r="I357" s="8" t="s">
        <v>5202</v>
      </c>
      <c r="J357" s="8" t="s">
        <v>2986</v>
      </c>
      <c r="K357" t="s">
        <v>5203</v>
      </c>
      <c r="L357" t="s">
        <v>5204</v>
      </c>
      <c r="M357" s="3" t="str">
        <f>HYPERLINK(СторонТрансп[[#This Row],[RelativePath]])</f>
        <v>11 С ангара на базу\E33149364_4_20251207T142711Z.jpg</v>
      </c>
    </row>
    <row r="358" spans="1:13" x14ac:dyDescent="0.25">
      <c r="A358" t="s">
        <v>22</v>
      </c>
      <c r="B358" s="4">
        <v>45998</v>
      </c>
      <c r="C358" s="6">
        <v>0.60230324074074071</v>
      </c>
      <c r="D358" s="7" t="s">
        <v>5265</v>
      </c>
      <c r="E358" t="s">
        <v>5263</v>
      </c>
      <c r="F358" t="s">
        <v>4233</v>
      </c>
      <c r="H358" t="s">
        <v>2936</v>
      </c>
      <c r="I358" s="8" t="s">
        <v>5205</v>
      </c>
      <c r="J358" s="8" t="s">
        <v>2986</v>
      </c>
      <c r="K358" t="s">
        <v>5206</v>
      </c>
      <c r="L358" t="s">
        <v>5207</v>
      </c>
      <c r="M358" s="3" t="str">
        <f>HYPERLINK(СторонТрансп[[#This Row],[RelativePath]])</f>
        <v>11 С ангара на базу\E33149364_4_20251207T142719Z.jpg</v>
      </c>
    </row>
    <row r="359" spans="1:13" x14ac:dyDescent="0.25">
      <c r="A359" t="s">
        <v>22</v>
      </c>
      <c r="B359" s="4">
        <v>45998</v>
      </c>
      <c r="C359" s="6">
        <v>0.60530092592592588</v>
      </c>
      <c r="D359" s="7" t="s">
        <v>5265</v>
      </c>
      <c r="E359" t="s">
        <v>5263</v>
      </c>
      <c r="F359" t="s">
        <v>4233</v>
      </c>
      <c r="H359" t="s">
        <v>2936</v>
      </c>
      <c r="I359" s="8" t="s">
        <v>5208</v>
      </c>
      <c r="J359" s="8" t="s">
        <v>2986</v>
      </c>
      <c r="K359" t="s">
        <v>5209</v>
      </c>
      <c r="L359" t="s">
        <v>5210</v>
      </c>
      <c r="M359" s="3" t="str">
        <f>HYPERLINK(СторонТрансп[[#This Row],[RelativePath]])</f>
        <v>11 С ангара на базу\E33149364_4_20251207T143138Z.jpg</v>
      </c>
    </row>
    <row r="360" spans="1:13" x14ac:dyDescent="0.25">
      <c r="A360" t="s">
        <v>22</v>
      </c>
      <c r="B360" s="4">
        <v>45998</v>
      </c>
      <c r="C360" s="6">
        <v>0.6055787037037037</v>
      </c>
      <c r="D360" s="7" t="s">
        <v>5265</v>
      </c>
      <c r="E360" t="s">
        <v>5263</v>
      </c>
      <c r="F360" t="s">
        <v>4233</v>
      </c>
      <c r="H360" t="s">
        <v>2936</v>
      </c>
      <c r="I360" s="8" t="s">
        <v>5211</v>
      </c>
      <c r="J360" s="8" t="s">
        <v>2986</v>
      </c>
      <c r="K360" t="s">
        <v>5212</v>
      </c>
      <c r="L360" t="s">
        <v>5213</v>
      </c>
      <c r="M360" s="3" t="str">
        <f>HYPERLINK(СторонТрансп[[#This Row],[RelativePath]])</f>
        <v>11 С ангара на базу\E33149364_4_20251207T143202Z.jpg</v>
      </c>
    </row>
    <row r="361" spans="1:13" x14ac:dyDescent="0.25">
      <c r="A361" t="s">
        <v>22</v>
      </c>
      <c r="B361" s="4">
        <v>45998</v>
      </c>
      <c r="C361" s="6">
        <v>0.6134722222222222</v>
      </c>
      <c r="D361" s="7" t="s">
        <v>4235</v>
      </c>
      <c r="E361" t="s">
        <v>5263</v>
      </c>
      <c r="F361" t="s">
        <v>4233</v>
      </c>
      <c r="I361" s="8" t="s">
        <v>5214</v>
      </c>
      <c r="J361" s="8" t="s">
        <v>2986</v>
      </c>
      <c r="K361" t="s">
        <v>5215</v>
      </c>
      <c r="L361" t="s">
        <v>5216</v>
      </c>
      <c r="M361" s="3" t="str">
        <f>HYPERLINK(СторонТрансп[[#This Row],[RelativePath]])</f>
        <v>11 С ангара на базу\E33149364_4_20251207T144324Z.jpg</v>
      </c>
    </row>
    <row r="362" spans="1:13" x14ac:dyDescent="0.25">
      <c r="A362" t="s">
        <v>18</v>
      </c>
      <c r="B362" s="4">
        <v>46004</v>
      </c>
      <c r="C362" s="6">
        <v>0.38579861111111113</v>
      </c>
      <c r="D362" s="7" t="s">
        <v>1606</v>
      </c>
      <c r="E362" t="s">
        <v>6167</v>
      </c>
      <c r="F362" t="s">
        <v>6186</v>
      </c>
      <c r="H362" t="s">
        <v>6164</v>
      </c>
      <c r="I362" s="8" t="s">
        <v>6107</v>
      </c>
      <c r="J362" s="8" t="s">
        <v>2986</v>
      </c>
      <c r="K362" t="s">
        <v>6108</v>
      </c>
      <c r="L362" t="s">
        <v>6109</v>
      </c>
      <c r="M362" s="3" t="str">
        <f>HYPERLINK(СторонТрансп[[#This Row],[RelativePath]])</f>
        <v>11 С ангара на базу\E33149364_4_20251213T091533Z.jpg</v>
      </c>
    </row>
    <row r="363" spans="1:13" x14ac:dyDescent="0.25">
      <c r="A363" t="s">
        <v>18</v>
      </c>
      <c r="B363" s="4">
        <v>46004</v>
      </c>
      <c r="C363" s="6">
        <v>0.38621527777777775</v>
      </c>
      <c r="D363" s="7" t="s">
        <v>6187</v>
      </c>
      <c r="E363" t="s">
        <v>6167</v>
      </c>
      <c r="I363" s="8" t="s">
        <v>6110</v>
      </c>
      <c r="J363" s="8" t="s">
        <v>2986</v>
      </c>
      <c r="K363" t="s">
        <v>6111</v>
      </c>
      <c r="L363" t="s">
        <v>6112</v>
      </c>
      <c r="M363" s="3" t="str">
        <f>HYPERLINK(СторонТрансп[[#This Row],[RelativePath]])</f>
        <v>11 С ангара на базу\E33149364_4_20251213T091609Z.jpg</v>
      </c>
    </row>
    <row r="364" spans="1:13" x14ac:dyDescent="0.25">
      <c r="A364" t="s">
        <v>18</v>
      </c>
      <c r="B364" s="4">
        <v>46004</v>
      </c>
      <c r="C364" s="6">
        <v>0.39291666666666669</v>
      </c>
      <c r="D364" s="7" t="s">
        <v>289</v>
      </c>
      <c r="E364" t="s">
        <v>6167</v>
      </c>
      <c r="F364" t="s">
        <v>6188</v>
      </c>
      <c r="H364" t="s">
        <v>2936</v>
      </c>
      <c r="I364" s="8" t="s">
        <v>6113</v>
      </c>
      <c r="J364" s="8" t="s">
        <v>2986</v>
      </c>
      <c r="K364" t="s">
        <v>6114</v>
      </c>
      <c r="L364" t="s">
        <v>6115</v>
      </c>
      <c r="M364" s="3" t="str">
        <f>HYPERLINK(СторонТрансп[[#This Row],[RelativePath]])</f>
        <v>11 С ангара на базу\E33149364_4_20251213T092548Z.jpg</v>
      </c>
    </row>
    <row r="365" spans="1:13" x14ac:dyDescent="0.25">
      <c r="A365" t="s">
        <v>18</v>
      </c>
      <c r="B365" s="4">
        <v>46004</v>
      </c>
      <c r="C365" s="6">
        <v>0.39643518518518517</v>
      </c>
      <c r="D365" s="7" t="s">
        <v>289</v>
      </c>
      <c r="E365" t="s">
        <v>6167</v>
      </c>
      <c r="F365" t="s">
        <v>6188</v>
      </c>
      <c r="H365" t="s">
        <v>2936</v>
      </c>
      <c r="I365" s="8" t="s">
        <v>6116</v>
      </c>
      <c r="J365" s="8" t="s">
        <v>2986</v>
      </c>
      <c r="K365" t="s">
        <v>6117</v>
      </c>
      <c r="L365" t="s">
        <v>6118</v>
      </c>
      <c r="M365" s="3" t="str">
        <f>HYPERLINK(СторонТрансп[[#This Row],[RelativePath]])</f>
        <v>11 С ангара на базу\E33149364_4_20251213T093052Z.jpg</v>
      </c>
    </row>
    <row r="366" spans="1:13" x14ac:dyDescent="0.25">
      <c r="A366" t="s">
        <v>18</v>
      </c>
      <c r="B366" s="4">
        <v>46004</v>
      </c>
      <c r="C366" s="6">
        <v>0.39685185185185184</v>
      </c>
      <c r="D366" s="7" t="s">
        <v>289</v>
      </c>
      <c r="E366" t="s">
        <v>6167</v>
      </c>
      <c r="F366" t="s">
        <v>6188</v>
      </c>
      <c r="H366" t="s">
        <v>2936</v>
      </c>
      <c r="I366" s="8" t="s">
        <v>6119</v>
      </c>
      <c r="J366" s="8" t="s">
        <v>2986</v>
      </c>
      <c r="K366" t="s">
        <v>6120</v>
      </c>
      <c r="L366" t="s">
        <v>6121</v>
      </c>
      <c r="M366" s="3" t="str">
        <f>HYPERLINK(СторонТрансп[[#This Row],[RelativePath]])</f>
        <v>11 С ангара на базу\E33149364_4_20251213T093128Z.jpg</v>
      </c>
    </row>
    <row r="367" spans="1:13" x14ac:dyDescent="0.25">
      <c r="A367" t="s">
        <v>18</v>
      </c>
      <c r="B367" s="4">
        <v>46004</v>
      </c>
      <c r="C367" s="6">
        <v>0.3972222222222222</v>
      </c>
      <c r="D367" s="7" t="s">
        <v>289</v>
      </c>
      <c r="E367" t="s">
        <v>6167</v>
      </c>
      <c r="F367" t="s">
        <v>6188</v>
      </c>
      <c r="H367" t="s">
        <v>2936</v>
      </c>
      <c r="I367" s="8" t="s">
        <v>6122</v>
      </c>
      <c r="J367" s="8" t="s">
        <v>2986</v>
      </c>
      <c r="K367" t="s">
        <v>6123</v>
      </c>
      <c r="L367" t="s">
        <v>6124</v>
      </c>
      <c r="M367" s="3" t="str">
        <f>HYPERLINK(СторонТрансп[[#This Row],[RelativePath]])</f>
        <v>11 С ангара на базу\E33149364_4_20251213T093200Z.jpg</v>
      </c>
    </row>
    <row r="368" spans="1:13" x14ac:dyDescent="0.25">
      <c r="A368" t="s">
        <v>18</v>
      </c>
      <c r="B368" s="4">
        <v>46004</v>
      </c>
      <c r="C368" s="6">
        <v>0.39961805555555557</v>
      </c>
      <c r="D368" s="7" t="s">
        <v>289</v>
      </c>
      <c r="E368" t="s">
        <v>6167</v>
      </c>
      <c r="F368" t="s">
        <v>6188</v>
      </c>
      <c r="H368" t="s">
        <v>2936</v>
      </c>
      <c r="I368" s="8" t="s">
        <v>6125</v>
      </c>
      <c r="J368" s="8" t="s">
        <v>2986</v>
      </c>
      <c r="K368" t="s">
        <v>6126</v>
      </c>
      <c r="L368" t="s">
        <v>6127</v>
      </c>
      <c r="M368" s="3" t="str">
        <f>HYPERLINK(СторонТрансп[[#This Row],[RelativePath]])</f>
        <v>11 С ангара на базу\E33149364_4_20251213T093527Z.jpg</v>
      </c>
    </row>
    <row r="369" spans="1:13" x14ac:dyDescent="0.25">
      <c r="A369" t="s">
        <v>18</v>
      </c>
      <c r="B369" s="4">
        <v>46004</v>
      </c>
      <c r="C369" s="6">
        <v>0.39997685185185183</v>
      </c>
      <c r="D369" s="7" t="s">
        <v>289</v>
      </c>
      <c r="E369" t="s">
        <v>6167</v>
      </c>
      <c r="F369" t="s">
        <v>6188</v>
      </c>
      <c r="H369" t="s">
        <v>2936</v>
      </c>
      <c r="I369" s="8" t="s">
        <v>6128</v>
      </c>
      <c r="J369" s="8" t="s">
        <v>2986</v>
      </c>
      <c r="K369" t="s">
        <v>6129</v>
      </c>
      <c r="L369" t="s">
        <v>6130</v>
      </c>
      <c r="M369" s="3" t="str">
        <f>HYPERLINK(СторонТрансп[[#This Row],[RelativePath]])</f>
        <v>11 С ангара на базу\E33149364_4_20251213T093558Z.jpg</v>
      </c>
    </row>
    <row r="370" spans="1:13" x14ac:dyDescent="0.25">
      <c r="A370" t="s">
        <v>18</v>
      </c>
      <c r="B370" s="4">
        <v>46004</v>
      </c>
      <c r="C370" s="6">
        <v>0.40167824074074077</v>
      </c>
      <c r="D370" s="7" t="s">
        <v>289</v>
      </c>
      <c r="E370" t="s">
        <v>6167</v>
      </c>
      <c r="F370" t="s">
        <v>6188</v>
      </c>
      <c r="H370" t="s">
        <v>2936</v>
      </c>
      <c r="I370" s="8" t="s">
        <v>6131</v>
      </c>
      <c r="J370" s="8" t="s">
        <v>2986</v>
      </c>
      <c r="K370" t="s">
        <v>6132</v>
      </c>
      <c r="L370" t="s">
        <v>6133</v>
      </c>
      <c r="M370" s="3" t="str">
        <f>HYPERLINK(СторонТрансп[[#This Row],[RelativePath]])</f>
        <v>11 С ангара на базу\E33149364_4_20251213T093825Z.jpg</v>
      </c>
    </row>
    <row r="371" spans="1:13" x14ac:dyDescent="0.25">
      <c r="A371" t="s">
        <v>18</v>
      </c>
      <c r="B371" s="4">
        <v>46004</v>
      </c>
      <c r="C371" s="6">
        <v>0.40229166666666666</v>
      </c>
      <c r="D371" s="7" t="s">
        <v>289</v>
      </c>
      <c r="E371" t="s">
        <v>6167</v>
      </c>
      <c r="F371" t="s">
        <v>6188</v>
      </c>
      <c r="H371" t="s">
        <v>2936</v>
      </c>
      <c r="I371" s="8" t="s">
        <v>6134</v>
      </c>
      <c r="J371" s="8" t="s">
        <v>2986</v>
      </c>
      <c r="K371" t="s">
        <v>6135</v>
      </c>
      <c r="L371" t="s">
        <v>6136</v>
      </c>
      <c r="M371" s="3" t="str">
        <f>HYPERLINK(СторонТрансп[[#This Row],[RelativePath]])</f>
        <v>11 С ангара на базу\E33149364_4_20251213T093918Z.jpg</v>
      </c>
    </row>
    <row r="372" spans="1:13" x14ac:dyDescent="0.25">
      <c r="A372" t="s">
        <v>18</v>
      </c>
      <c r="B372" s="4">
        <v>46004</v>
      </c>
      <c r="C372" s="6">
        <v>0.40465277777777775</v>
      </c>
      <c r="D372" s="7" t="s">
        <v>650</v>
      </c>
      <c r="E372" t="s">
        <v>6167</v>
      </c>
      <c r="F372" t="s">
        <v>6188</v>
      </c>
      <c r="I372" s="8" t="s">
        <v>6137</v>
      </c>
      <c r="J372" s="8" t="s">
        <v>2986</v>
      </c>
      <c r="K372" t="s">
        <v>6138</v>
      </c>
      <c r="L372" t="s">
        <v>6139</v>
      </c>
      <c r="M372" s="3" t="str">
        <f>HYPERLINK(СторонТрансп[[#This Row],[RelativePath]])</f>
        <v>11 С ангара на базу\E33149364_4_20251213T094242Z.jpg</v>
      </c>
    </row>
    <row r="373" spans="1:13" x14ac:dyDescent="0.25">
      <c r="A373" t="s">
        <v>18</v>
      </c>
      <c r="B373" s="4">
        <v>46004</v>
      </c>
      <c r="C373" s="6">
        <v>0.54765046296296294</v>
      </c>
      <c r="D373" s="7" t="s">
        <v>1606</v>
      </c>
      <c r="E373" t="s">
        <v>6167</v>
      </c>
      <c r="F373" t="s">
        <v>1609</v>
      </c>
      <c r="I373" s="8" t="s">
        <v>6140</v>
      </c>
      <c r="J373" s="8" t="s">
        <v>2986</v>
      </c>
      <c r="K373" t="s">
        <v>6141</v>
      </c>
      <c r="L373" t="s">
        <v>6142</v>
      </c>
      <c r="M373" s="3" t="str">
        <f>HYPERLINK(СторонТрансп[[#This Row],[RelativePath]])</f>
        <v>11 С ангара на базу\E33149364_4_20251213T130837Z.jpg</v>
      </c>
    </row>
    <row r="374" spans="1:13" x14ac:dyDescent="0.25">
      <c r="A374" t="s">
        <v>18</v>
      </c>
      <c r="B374" s="4">
        <v>46004</v>
      </c>
      <c r="C374" s="6">
        <v>0.54907407407407405</v>
      </c>
      <c r="D374" s="7" t="s">
        <v>290</v>
      </c>
      <c r="E374" t="s">
        <v>6167</v>
      </c>
      <c r="F374" t="s">
        <v>58</v>
      </c>
      <c r="I374" s="8" t="s">
        <v>6143</v>
      </c>
      <c r="J374" s="8" t="s">
        <v>2986</v>
      </c>
      <c r="K374" t="s">
        <v>6144</v>
      </c>
      <c r="L374" t="s">
        <v>6145</v>
      </c>
      <c r="M374" s="3" t="str">
        <f>HYPERLINK(СторонТрансп[[#This Row],[RelativePath]])</f>
        <v>11 С ангара на базу\E33149364_4_20251213T131040Z.jpg</v>
      </c>
    </row>
    <row r="375" spans="1:13" x14ac:dyDescent="0.25">
      <c r="A375" t="s">
        <v>18</v>
      </c>
      <c r="B375" s="4">
        <v>46004</v>
      </c>
      <c r="C375" s="6">
        <v>0.549224537037037</v>
      </c>
      <c r="D375" s="7" t="s">
        <v>290</v>
      </c>
      <c r="E375" t="s">
        <v>6167</v>
      </c>
      <c r="F375" t="s">
        <v>58</v>
      </c>
      <c r="H375" t="s">
        <v>2936</v>
      </c>
      <c r="I375" s="8" t="s">
        <v>6146</v>
      </c>
      <c r="J375" s="8" t="s">
        <v>2986</v>
      </c>
      <c r="K375" t="s">
        <v>6147</v>
      </c>
      <c r="L375" t="s">
        <v>6148</v>
      </c>
      <c r="M375" s="3" t="str">
        <f>HYPERLINK(СторонТрансп[[#This Row],[RelativePath]])</f>
        <v>11 С ангара на базу\E33149364_4_20251213T131053Z.jpg</v>
      </c>
    </row>
    <row r="376" spans="1:13" x14ac:dyDescent="0.25">
      <c r="A376" t="s">
        <v>18</v>
      </c>
      <c r="B376" s="4">
        <v>46004</v>
      </c>
      <c r="C376" s="6">
        <v>0.55100694444444442</v>
      </c>
      <c r="D376" s="7" t="s">
        <v>290</v>
      </c>
      <c r="E376" t="s">
        <v>6167</v>
      </c>
      <c r="F376" t="s">
        <v>58</v>
      </c>
      <c r="H376" t="s">
        <v>2936</v>
      </c>
      <c r="I376" s="8" t="s">
        <v>6149</v>
      </c>
      <c r="J376" s="8" t="s">
        <v>2986</v>
      </c>
      <c r="K376" t="s">
        <v>6150</v>
      </c>
      <c r="L376" t="s">
        <v>6151</v>
      </c>
      <c r="M376" s="3" t="str">
        <f>HYPERLINK(СторонТрансп[[#This Row],[RelativePath]])</f>
        <v>11 С ангара на базу\E33149364_4_20251213T131327Z.jpg</v>
      </c>
    </row>
    <row r="377" spans="1:13" x14ac:dyDescent="0.25">
      <c r="A377" t="s">
        <v>18</v>
      </c>
      <c r="B377" s="4">
        <v>46004</v>
      </c>
      <c r="C377" s="6">
        <v>0.55111111111111111</v>
      </c>
      <c r="D377" s="7" t="s">
        <v>290</v>
      </c>
      <c r="E377" t="s">
        <v>6167</v>
      </c>
      <c r="F377" t="s">
        <v>58</v>
      </c>
      <c r="H377" t="s">
        <v>2936</v>
      </c>
      <c r="I377" s="8" t="s">
        <v>6152</v>
      </c>
      <c r="J377" s="8" t="s">
        <v>2986</v>
      </c>
      <c r="K377" t="s">
        <v>6153</v>
      </c>
      <c r="L377" t="s">
        <v>6154</v>
      </c>
      <c r="M377" s="3" t="str">
        <f>HYPERLINK(СторонТрансп[[#This Row],[RelativePath]])</f>
        <v>11 С ангара на базу\E33149364_4_20251213T131336Z.jpg</v>
      </c>
    </row>
    <row r="378" spans="1:13" x14ac:dyDescent="0.25">
      <c r="A378" t="s">
        <v>18</v>
      </c>
      <c r="B378" s="4">
        <v>46004</v>
      </c>
      <c r="C378" s="6">
        <v>0.55388888888888888</v>
      </c>
      <c r="D378" s="7" t="s">
        <v>650</v>
      </c>
      <c r="E378" t="s">
        <v>6167</v>
      </c>
      <c r="F378" t="s">
        <v>6189</v>
      </c>
      <c r="I378" s="8" t="s">
        <v>6155</v>
      </c>
      <c r="J378" s="8" t="s">
        <v>2986</v>
      </c>
      <c r="K378" t="s">
        <v>6156</v>
      </c>
      <c r="L378" t="s">
        <v>6157</v>
      </c>
      <c r="M378" s="3" t="str">
        <f>HYPERLINK(СторонТрансп[[#This Row],[RelativePath]])</f>
        <v>11 С ангара на базу\E33149364_4_20251213T131736Z.jpg</v>
      </c>
    </row>
    <row r="379" spans="1:13" x14ac:dyDescent="0.25">
      <c r="A379" t="s">
        <v>16</v>
      </c>
      <c r="B379" s="4">
        <v>46016</v>
      </c>
      <c r="C379" s="6">
        <v>0.61910879629629634</v>
      </c>
      <c r="D379" s="7" t="s">
        <v>4</v>
      </c>
      <c r="E379" t="s">
        <v>4193</v>
      </c>
      <c r="F379" t="s">
        <v>4240</v>
      </c>
      <c r="I379" s="8" t="s">
        <v>7562</v>
      </c>
      <c r="J379" s="8" t="s">
        <v>2986</v>
      </c>
      <c r="K379" t="s">
        <v>7563</v>
      </c>
      <c r="L379" t="s">
        <v>7564</v>
      </c>
      <c r="M379" s="3" t="str">
        <f>HYPERLINK(СторонТрансп[[#This Row],[RelativePath]])</f>
        <v>11 С ангара на базу\E33149364_4_20251225T145131Z.jpg</v>
      </c>
    </row>
    <row r="380" spans="1:13" x14ac:dyDescent="0.25">
      <c r="A380" t="s">
        <v>16</v>
      </c>
      <c r="B380" s="4">
        <v>46016</v>
      </c>
      <c r="C380" s="6">
        <v>0.62233796296296295</v>
      </c>
      <c r="D380" s="7" t="s">
        <v>650</v>
      </c>
      <c r="E380" t="s">
        <v>4193</v>
      </c>
      <c r="F380" t="s">
        <v>4240</v>
      </c>
      <c r="I380" s="8" t="s">
        <v>7565</v>
      </c>
      <c r="J380" s="8" t="s">
        <v>2986</v>
      </c>
      <c r="K380" t="s">
        <v>7566</v>
      </c>
      <c r="L380" t="s">
        <v>7567</v>
      </c>
      <c r="M380" s="3" t="str">
        <f>HYPERLINK(СторонТрансп[[#This Row],[RelativePath]])</f>
        <v>11 С ангара на базу\E33149364_4_20251225T145610Z.jpg</v>
      </c>
    </row>
    <row r="381" spans="1:13" x14ac:dyDescent="0.25">
      <c r="A381" t="s">
        <v>17</v>
      </c>
      <c r="B381" s="4">
        <v>46017</v>
      </c>
      <c r="C381" s="6">
        <v>0.41968749999999999</v>
      </c>
      <c r="D381" s="7" t="s">
        <v>1606</v>
      </c>
      <c r="E381" t="s">
        <v>4193</v>
      </c>
      <c r="F381" t="s">
        <v>5076</v>
      </c>
      <c r="I381" s="8" t="s">
        <v>7753</v>
      </c>
      <c r="J381" s="8" t="s">
        <v>2986</v>
      </c>
      <c r="K381" t="s">
        <v>7754</v>
      </c>
      <c r="L381" t="s">
        <v>7755</v>
      </c>
      <c r="M381" s="3" t="str">
        <f>HYPERLINK(СторонТрансп[[#This Row],[RelativePath]])</f>
        <v>11 С ангара на базу\E33149364_4_20251226T100421Z.jpg</v>
      </c>
    </row>
    <row r="382" spans="1:13" x14ac:dyDescent="0.25">
      <c r="A382" t="s">
        <v>17</v>
      </c>
      <c r="B382" s="4">
        <v>46017</v>
      </c>
      <c r="C382" s="6">
        <v>0.42020833333333335</v>
      </c>
      <c r="D382" s="7" t="s">
        <v>1606</v>
      </c>
      <c r="E382" t="s">
        <v>4193</v>
      </c>
      <c r="F382" t="s">
        <v>5076</v>
      </c>
      <c r="H382" t="s">
        <v>2936</v>
      </c>
      <c r="I382" s="8" t="s">
        <v>7756</v>
      </c>
      <c r="J382" s="8" t="s">
        <v>2986</v>
      </c>
      <c r="K382" t="s">
        <v>7757</v>
      </c>
      <c r="L382" t="s">
        <v>7758</v>
      </c>
      <c r="M382" s="3" t="str">
        <f>HYPERLINK(СторонТрансп[[#This Row],[RelativePath]])</f>
        <v>11 С ангара на базу\E33149364_4_20251226T100506Z.jpg</v>
      </c>
    </row>
    <row r="383" spans="1:13" x14ac:dyDescent="0.25">
      <c r="A383" t="s">
        <v>17</v>
      </c>
      <c r="B383" s="4">
        <v>46017</v>
      </c>
      <c r="C383" s="6">
        <v>0.49148148148148146</v>
      </c>
      <c r="D383" s="7" t="s">
        <v>650</v>
      </c>
      <c r="E383" t="s">
        <v>4193</v>
      </c>
      <c r="F383" t="s">
        <v>5076</v>
      </c>
      <c r="I383" s="8" t="s">
        <v>7768</v>
      </c>
      <c r="J383" s="8" t="s">
        <v>2986</v>
      </c>
      <c r="K383" t="s">
        <v>7769</v>
      </c>
      <c r="L383" t="s">
        <v>7770</v>
      </c>
      <c r="M383" s="3" t="str">
        <f>HYPERLINK(СторонТрансп[[#This Row],[RelativePath]])</f>
        <v>11 С ангара на базу\E33149364_4_20251226T114744Z.jpg</v>
      </c>
    </row>
    <row r="384" spans="1:13" x14ac:dyDescent="0.25">
      <c r="A384" t="s">
        <v>18</v>
      </c>
      <c r="B384" s="4">
        <v>46004</v>
      </c>
      <c r="C384" s="6">
        <v>0.55222222222222217</v>
      </c>
      <c r="D384" s="7" t="s">
        <v>4</v>
      </c>
      <c r="E384" t="s">
        <v>6167</v>
      </c>
      <c r="I384" s="8" t="s">
        <v>5999</v>
      </c>
      <c r="J384" s="8" t="s">
        <v>2988</v>
      </c>
      <c r="K384" t="s">
        <v>6000</v>
      </c>
      <c r="L384" t="s">
        <v>6001</v>
      </c>
      <c r="M384" s="3" t="str">
        <f>HYPERLINK(СторонТрансп[[#This Row],[RelativePath]])</f>
        <v>13 Склад хол\K07156189_23_20251213T131512Z.jpg</v>
      </c>
    </row>
    <row r="385" spans="1:13" x14ac:dyDescent="0.25">
      <c r="A385" t="s">
        <v>16</v>
      </c>
      <c r="B385" s="4">
        <v>46016</v>
      </c>
      <c r="C385" s="6">
        <v>0.52539351851851857</v>
      </c>
      <c r="D385" s="7" t="s">
        <v>4</v>
      </c>
      <c r="E385" t="s">
        <v>4193</v>
      </c>
      <c r="H385" t="s">
        <v>7718</v>
      </c>
      <c r="I385" s="8" t="s">
        <v>7685</v>
      </c>
      <c r="J385" s="8" t="s">
        <v>2988</v>
      </c>
      <c r="K385" t="s">
        <v>7686</v>
      </c>
      <c r="L385" t="s">
        <v>7687</v>
      </c>
      <c r="M385" s="3" t="str">
        <f>HYPERLINK(СторонТрансп[[#This Row],[RelativePath]])</f>
        <v>13 Склад хол\K07156189_23_20251225T123634Z.jpg</v>
      </c>
    </row>
    <row r="386" spans="1:13" x14ac:dyDescent="0.25">
      <c r="A386" t="s">
        <v>17</v>
      </c>
      <c r="B386" s="4">
        <v>46017</v>
      </c>
      <c r="C386" s="6">
        <v>0.42027777777777775</v>
      </c>
      <c r="D386" s="7" t="s">
        <v>4</v>
      </c>
      <c r="E386" t="s">
        <v>4193</v>
      </c>
      <c r="H386" t="s">
        <v>7718</v>
      </c>
      <c r="I386" s="8" t="s">
        <v>7801</v>
      </c>
      <c r="J386" s="8" t="s">
        <v>2988</v>
      </c>
      <c r="K386" t="s">
        <v>7802</v>
      </c>
      <c r="L386" t="s">
        <v>7803</v>
      </c>
      <c r="M386" s="3" t="str">
        <f>HYPERLINK(СторонТрансп[[#This Row],[RelativePath]])</f>
        <v>13 Склад хол\K07156189_23_20251226T100512Z.jpg</v>
      </c>
    </row>
  </sheetData>
  <conditionalFormatting sqref="E387:E408 D2:E386">
    <cfRule type="containsText" dxfId="11" priority="6" operator="containsText" text="Выезд с территории">
      <formula>NOT(ISERROR(SEARCH("Выезд с территории",D2)))</formula>
    </cfRule>
  </conditionalFormatting>
  <conditionalFormatting sqref="D2:D386">
    <cfRule type="containsText" dxfId="1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6">
    <cfRule type="containsText" dxfId="9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08">
    <cfRule type="containsText" dxfId="8" priority="2" operator="containsText" text="Газель базы">
      <formula>NOT(ISERROR(SEARCH("Газель базы",E2)))</formula>
    </cfRule>
    <cfRule type="containsText" dxfId="7" priority="3" operator="containsText" text="Погрузчик базы">
      <formula>NOT(ISERROR(SEARCH("Погрузчик базы",E2)))</formula>
    </cfRule>
  </conditionalFormatting>
  <conditionalFormatting sqref="E2:E408">
    <cfRule type="containsText" dxfId="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2026-01-24T01:24:20Z</dcterms:modified>
</cp:coreProperties>
</file>